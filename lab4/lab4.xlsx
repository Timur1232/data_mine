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омашний\Desktop\uni\data_mine\lab4\"/>
    </mc:Choice>
  </mc:AlternateContent>
  <xr:revisionPtr revIDLastSave="0" documentId="13_ncr:1_{0A75B6D5-4492-46AC-808C-D1B2117E1122}" xr6:coauthVersionLast="45" xr6:coauthVersionMax="45" xr10:uidLastSave="{00000000-0000-0000-0000-000000000000}"/>
  <bookViews>
    <workbookView xWindow="-120" yWindow="-120" windowWidth="20730" windowHeight="11160" xr2:uid="{B80CD55F-C05A-4F49-9105-D7DFF1802BF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F8" i="1"/>
  <c r="D9" i="1"/>
  <c r="E9" i="1"/>
  <c r="D10" i="1"/>
  <c r="E10" i="1"/>
  <c r="F2" i="1"/>
  <c r="E2" i="1"/>
  <c r="D2" i="1"/>
  <c r="A3" i="1"/>
  <c r="A4" i="1" s="1"/>
  <c r="A5" i="1" s="1"/>
  <c r="A6" i="1" s="1"/>
  <c r="A7" i="1" s="1"/>
  <c r="A8" i="1" s="1"/>
  <c r="A9" i="1" s="1"/>
  <c r="A10" i="1" s="1"/>
  <c r="A2" i="1"/>
  <c r="F10" i="1" l="1"/>
  <c r="F9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<sst xmlns="http://schemas.openxmlformats.org/spreadsheetml/2006/main" count="6" uniqueCount="6">
  <si>
    <t>Dii</t>
  </si>
  <si>
    <t>Dij</t>
  </si>
  <si>
    <t>J1</t>
  </si>
  <si>
    <t>J2</t>
  </si>
  <si>
    <t>J</t>
  </si>
  <si>
    <t>Кластеры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</si>
</sst>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2" fontId="0" fillId="0" borderId="0" xfId="0" applyNumberFormat="1" applyBorder="1"/>
    <xf numFmtId="171" fontId="0" fillId="0" borderId="6" xfId="0" applyNumberFormat="1" applyBorder="1"/>
    <xf numFmtId="0" fontId="0" fillId="0" borderId="7" xfId="0" applyBorder="1"/>
    <xf numFmtId="2" fontId="0" fillId="0" borderId="1" xfId="0" applyNumberFormat="1" applyBorder="1"/>
    <xf numFmtId="171" fontId="0" fillId="0" borderId="8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Численная мера качества классификации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Лист1!$F$2:$F$10</c:f>
              <c:numCache>
                <c:formatCode>0.00000</c:formatCode>
                <c:ptCount val="9"/>
                <c:pt idx="0">
                  <c:v>0.22720806702105056</c:v>
                </c:pt>
                <c:pt idx="1">
                  <c:v>2.078715806938301E-2</c:v>
                </c:pt>
                <c:pt idx="2">
                  <c:v>9.3491426242584014E-3</c:v>
                </c:pt>
                <c:pt idx="3">
                  <c:v>1.6785255924091648E-3</c:v>
                </c:pt>
                <c:pt idx="4">
                  <c:v>8.3091236695569462E-4</c:v>
                </c:pt>
                <c:pt idx="5">
                  <c:v>6.3113005861791969E-4</c:v>
                </c:pt>
                <c:pt idx="6">
                  <c:v>5.1191029013651331E-4</c:v>
                </c:pt>
                <c:pt idx="7">
                  <c:v>1.9550181280321454E-4</c:v>
                </c:pt>
                <c:pt idx="8">
                  <c:v>1.2362089947753796E-4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E-4836-9511-A1597EF9C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764672"/>
        <c:axId val="2063437088"/>
      </c:lineChart>
      <c:catAx>
        <c:axId val="19257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37088"/>
        <c:crosses val="autoZero"/>
        <c:auto val="1"/>
        <c:lblAlgn val="ctr"/>
        <c:lblOffset val="100"/>
        <c:noMultiLvlLbl val="0"/>
      </c:catAx>
      <c:valAx>
        <c:axId val="206343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76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1</xdr:row>
      <xdr:rowOff>80962</xdr:rowOff>
    </xdr:from>
    <xdr:to>
      <xdr:col>13</xdr:col>
      <xdr:colOff>457200</xdr:colOff>
      <xdr:row>14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B6C560C-5B34-41D6-8C69-40DF765BE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C235-246B-49C7-9629-04A5E9F7D7DC}">
  <dimension ref="A1:F10"/>
  <sheetViews>
    <sheetView tabSelected="1" workbookViewId="0">
      <selection activeCell="E18" sqref="E18"/>
    </sheetView>
  </sheetViews>
  <sheetFormatPr defaultRowHeight="15" x14ac:dyDescent="0.25"/>
  <cols>
    <col min="1" max="1" width="13.7109375" customWidth="1"/>
    <col min="2" max="2" width="17.85546875" bestFit="1" customWidth="1"/>
    <col min="3" max="3" width="18.85546875" bestFit="1" customWidth="1"/>
    <col min="4" max="5" width="17.85546875" bestFit="1" customWidth="1"/>
    <col min="6" max="6" width="11.7109375" customWidth="1"/>
  </cols>
  <sheetData>
    <row r="1" spans="1:6" x14ac:dyDescent="0.25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6" x14ac:dyDescent="0.25">
      <c r="A2" s="4">
        <f>2</f>
        <v>2</v>
      </c>
      <c r="B2" s="5">
        <v>25084505321973</v>
      </c>
      <c r="C2" s="5">
        <v>110403233700540</v>
      </c>
      <c r="D2" s="5">
        <f>B2/(A2*(A2-1))</f>
        <v>12542252660986.5</v>
      </c>
      <c r="E2" s="5">
        <f>C2/A2</f>
        <v>55201616850270</v>
      </c>
      <c r="F2" s="6">
        <f>D2/E2</f>
        <v>0.22720806702105056</v>
      </c>
    </row>
    <row r="3" spans="1:6" x14ac:dyDescent="0.25">
      <c r="A3" s="4">
        <f>A2+1</f>
        <v>3</v>
      </c>
      <c r="B3" s="5">
        <v>5407977143609</v>
      </c>
      <c r="C3" s="5">
        <v>130079761878905</v>
      </c>
      <c r="D3" s="5">
        <f t="shared" ref="D3:D10" si="0">B3/(A3*(A3-1))</f>
        <v>901329523934.83337</v>
      </c>
      <c r="E3" s="5">
        <f t="shared" ref="E3:E10" si="1">C3/A3</f>
        <v>43359920626301.664</v>
      </c>
      <c r="F3" s="6">
        <f t="shared" ref="F3:F10" si="2">D3/E3</f>
        <v>2.078715806938301E-2</v>
      </c>
    </row>
    <row r="4" spans="1:6" x14ac:dyDescent="0.25">
      <c r="A4" s="4">
        <f t="shared" ref="A4:A10" si="3">A3+1</f>
        <v>4</v>
      </c>
      <c r="B4" s="5">
        <v>3696407855173</v>
      </c>
      <c r="C4" s="5">
        <v>131791331167340</v>
      </c>
      <c r="D4" s="5">
        <f t="shared" si="0"/>
        <v>308033987931.08331</v>
      </c>
      <c r="E4" s="5">
        <f t="shared" si="1"/>
        <v>32947832791835</v>
      </c>
      <c r="F4" s="6">
        <f t="shared" si="2"/>
        <v>9.3491426242584014E-3</v>
      </c>
    </row>
    <row r="5" spans="1:6" x14ac:dyDescent="0.25">
      <c r="A5" s="4">
        <f t="shared" si="3"/>
        <v>5</v>
      </c>
      <c r="B5" s="5">
        <v>903611608784</v>
      </c>
      <c r="C5" s="5">
        <v>134584127413729</v>
      </c>
      <c r="D5" s="5">
        <f t="shared" si="0"/>
        <v>45180580439.199997</v>
      </c>
      <c r="E5" s="5">
        <f t="shared" si="1"/>
        <v>26916825482745.801</v>
      </c>
      <c r="F5" s="6">
        <f t="shared" si="2"/>
        <v>1.6785255924091648E-3</v>
      </c>
    </row>
    <row r="6" spans="1:6" x14ac:dyDescent="0.25">
      <c r="A6" s="4">
        <f t="shared" si="3"/>
        <v>6</v>
      </c>
      <c r="B6" s="5">
        <v>560563294753</v>
      </c>
      <c r="C6" s="5">
        <v>134927175727760</v>
      </c>
      <c r="D6" s="5">
        <f t="shared" si="0"/>
        <v>18685443158.433334</v>
      </c>
      <c r="E6" s="5">
        <f t="shared" si="1"/>
        <v>22487862621293.332</v>
      </c>
      <c r="F6" s="6">
        <f t="shared" si="2"/>
        <v>8.3091236695569462E-4</v>
      </c>
    </row>
    <row r="7" spans="1:6" x14ac:dyDescent="0.25">
      <c r="A7" s="4">
        <f t="shared" si="3"/>
        <v>7</v>
      </c>
      <c r="B7" s="5">
        <v>511126783168</v>
      </c>
      <c r="C7" s="5">
        <v>134976612239346</v>
      </c>
      <c r="D7" s="5">
        <f t="shared" si="0"/>
        <v>12169685313.523809</v>
      </c>
      <c r="E7" s="5">
        <f t="shared" si="1"/>
        <v>19282373177049.43</v>
      </c>
      <c r="F7" s="6">
        <f t="shared" si="2"/>
        <v>6.3113005861791969E-4</v>
      </c>
    </row>
    <row r="8" spans="1:6" x14ac:dyDescent="0.25">
      <c r="A8" s="4">
        <f t="shared" si="3"/>
        <v>8</v>
      </c>
      <c r="B8" s="5">
        <v>483769448639</v>
      </c>
      <c r="C8" s="5">
        <v>135003969573874</v>
      </c>
      <c r="D8" s="5">
        <f t="shared" si="0"/>
        <v>8638740154.2678566</v>
      </c>
      <c r="E8" s="5">
        <f t="shared" si="1"/>
        <v>16875496196734.25</v>
      </c>
      <c r="F8" s="6">
        <f t="shared" si="2"/>
        <v>5.1191029013651331E-4</v>
      </c>
    </row>
    <row r="9" spans="1:6" x14ac:dyDescent="0.25">
      <c r="A9" s="4">
        <f t="shared" si="3"/>
        <v>9</v>
      </c>
      <c r="B9" s="5">
        <v>211573884109</v>
      </c>
      <c r="C9" s="5">
        <v>135276165138404</v>
      </c>
      <c r="D9" s="5">
        <f t="shared" si="0"/>
        <v>2938526168.1805553</v>
      </c>
      <c r="E9" s="5">
        <f t="shared" si="1"/>
        <v>15030685015378.223</v>
      </c>
      <c r="F9" s="6">
        <f t="shared" si="2"/>
        <v>1.9550181280321454E-4</v>
      </c>
    </row>
    <row r="10" spans="1:6" x14ac:dyDescent="0.25">
      <c r="A10" s="7">
        <f t="shared" si="3"/>
        <v>10</v>
      </c>
      <c r="B10" s="8">
        <v>150574518079</v>
      </c>
      <c r="C10" s="8">
        <v>135337164504435</v>
      </c>
      <c r="D10" s="8">
        <f t="shared" si="0"/>
        <v>1673050200.8777778</v>
      </c>
      <c r="E10" s="8">
        <f t="shared" si="1"/>
        <v>13533716450443.5</v>
      </c>
      <c r="F10" s="9">
        <f t="shared" si="2"/>
        <v>1.2362089947753796E-4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Домашний</cp:lastModifiedBy>
  <dcterms:created xsi:type="dcterms:W3CDTF">2026-04-28T14:49:16Z</dcterms:created>
  <dcterms:modified xsi:type="dcterms:W3CDTF">2026-04-28T17:39:17Z</dcterms:modified>
</cp:coreProperties>
</file>