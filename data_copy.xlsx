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омашний\Desktop\uni\data_mine\"/>
    </mc:Choice>
  </mc:AlternateContent>
  <xr:revisionPtr revIDLastSave="0" documentId="13_ncr:1_{2E6F0829-3857-4D29-812D-652FCD18D121}" xr6:coauthVersionLast="45" xr6:coauthVersionMax="45" xr10:uidLastSave="{00000000-0000-0000-0000-000000000000}"/>
  <bookViews>
    <workbookView xWindow="-120" yWindow="-120" windowWidth="20730" windowHeight="11160" activeTab="3" xr2:uid="{413AA870-FCD8-416E-BDA2-DE2905C9F9C0}"/>
  </bookViews>
  <sheets>
    <sheet name="final" sheetId="6" r:id="rId1"/>
    <sheet name="disp_for_r" sheetId="7" r:id="rId2"/>
    <sheet name="disp_res" sheetId="9" r:id="rId3"/>
    <sheet name="for_disp" sheetId="8" r:id="rId4"/>
    <sheet name="energy" sheetId="1" r:id="rId5"/>
    <sheet name="imports" sheetId="2" r:id="rId6"/>
    <sheet name="glued" sheetId="4" r:id="rId7"/>
    <sheet name="imports_filtered" sheetId="5" r:id="rId8"/>
    <sheet name="count_empty" sheetId="3" r:id="rId9"/>
  </sheets>
  <definedNames>
    <definedName name="_xlnm._FilterDatabase" localSheetId="4" hidden="1">energy!$A$1:$V$3650</definedName>
    <definedName name="_xlnm._FilterDatabase" localSheetId="6" hidden="1">glued!$A$1:$P$176</definedName>
    <definedName name="_xlnm._FilterDatabase" localSheetId="5" hidden="1">imports!$A$1:$AK$139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9" i="4" l="1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3" i="4"/>
  <c r="P4" i="4"/>
  <c r="P5" i="4"/>
  <c r="P6" i="4"/>
  <c r="P7" i="4"/>
  <c r="P8" i="4"/>
  <c r="P2" i="4"/>
  <c r="D2" i="3" l="1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A2" i="3"/>
  <c r="B2" i="3"/>
  <c r="C2" i="3"/>
  <c r="A5" i="3"/>
</calcChain>
</file>

<file path=xl/sharedStrings.xml><?xml version="1.0" encoding="utf-8"?>
<sst xmlns="http://schemas.openxmlformats.org/spreadsheetml/2006/main" count="4499" uniqueCount="283">
  <si>
    <t>Entity</t>
  </si>
  <si>
    <t>Year</t>
  </si>
  <si>
    <t>Access to electricity (% of population)</t>
  </si>
  <si>
    <t>Access to clean fuels for cooking</t>
  </si>
  <si>
    <t>Renewable-electricity-generating-capacity-per-capita</t>
  </si>
  <si>
    <t>Financial flows to developing countries (US $)</t>
  </si>
  <si>
    <t>Renewable energy share in the total final energy consumption (%)</t>
  </si>
  <si>
    <t>Electricity from fossil fuels (TWh)</t>
  </si>
  <si>
    <t>Electricity from nuclear (TWh)</t>
  </si>
  <si>
    <t>Electricity from renewables (TWh)</t>
  </si>
  <si>
    <t>Low-carbon electricity (% electricity)</t>
  </si>
  <si>
    <t>Primary energy consumption per capita (kWh/person)</t>
  </si>
  <si>
    <t>Energy intensity level of primary energy (MJ/$2017 PPP GDP)</t>
  </si>
  <si>
    <t>Value_co2_emissions_kt_by_country</t>
  </si>
  <si>
    <t>Renewables (% equivalent primary energy)</t>
  </si>
  <si>
    <t>gdp_growth</t>
  </si>
  <si>
    <t>gdp_per_capita</t>
  </si>
  <si>
    <t>Density\n(P/Km2)</t>
  </si>
  <si>
    <t>Land Area(Km2)</t>
  </si>
  <si>
    <t>Latitude</t>
  </si>
  <si>
    <t>Longitude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</si>
  <si>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</si>
  <si>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</si>
  <si>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</si>
  <si>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</si>
  <si>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</si>
  <si>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</si>
  <si>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</si>
  <si>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</si>
  <si>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</si>
  <si>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</si>
  <si>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</si>
  <si>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</si>
  <si>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</si>
  <si>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</si>
  <si>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</si>
  <si>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</si>
  <si>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</si>
  <si>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</si>
  <si>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</si>
  <si>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</si>
  <si>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</si>
  <si>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</si>
  <si>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</si>
  <si>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</si>
  <si>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</si>
  <si>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</si>
  <si>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</si>
  <si>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</si>
  <si>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</si>
  <si>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</si>
  <si>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</si>
  <si>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</si>
  <si>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</si>
  <si>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</si>
  <si>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</si>
  <si>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</si>
  <si>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</si>
  <si>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</si>
  <si>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</si>
  <si>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</si>
  <si>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</si>
  <si>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</si>
  <si>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</si>
  <si>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</si>
  <si>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</si>
  <si>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</si>
  <si>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</si>
  <si>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</si>
  <si>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</si>
  <si>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</si>
  <si>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</si>
  <si>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</si>
  <si>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</si>
  <si>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</si>
  <si>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</si>
  <si>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</si>
  <si>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</si>
  <si>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</si>
  <si>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Guiana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</si>
  <si>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</si>
  <si>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</si>
  <si>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</si>
  <si>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</si>
  <si>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</si>
  <si>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</si>
  <si>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</si>
  <si>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</si>
  <si>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</si>
  <si>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</si>
  <si>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</si>
  <si>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</si>
  <si>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</si>
  <si>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</si>
  <si>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</si>
  <si>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</si>
  <si>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</si>
  <si>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</si>
  <si>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</si>
  <si>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</si>
  <si>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</si>
  <si>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</si>
  <si>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</si>
  <si>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</si>
  <si>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</si>
  <si>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</si>
  <si>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</si>
  <si>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</si>
  <si>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</si>
  <si>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</si>
  <si>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</si>
  <si>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</si>
  <si>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</si>
  <si>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</si>
  <si>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</si>
  <si>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</si>
  <si>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</si>
  <si>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</si>
  <si>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</si>
  <si>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</si>
  <si>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</si>
  <si>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</si>
  <si>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</si>
  <si>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</si>
  <si>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</si>
  <si>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</si>
  <si>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</si>
  <si>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</si>
  <si>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</si>
  <si>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</si>
  <si>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</si>
  <si>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</si>
  <si>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</si>
  <si>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</si>
  <si>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</si>
  <si>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</si>
  <si>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</si>
  <si>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</si>
  <si>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</si>
  <si>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</si>
  <si>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</si>
  <si>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</si>
  <si>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</si>
  <si>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</si>
  <si>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</si>
  <si>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</si>
  <si>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</si>
  <si>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</si>
  <si>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</si>
  <si>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</si>
  <si>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</si>
  <si>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</si>
  <si>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</si>
  <si>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</si>
  <si>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</si>
  <si>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</si>
  <si>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</si>
  <si>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</si>
  <si>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</si>
  <si>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</si>
  <si>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</si>
  <si>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</si>
  <si>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</si>
  <si>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</si>
  <si>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</si>
  <si>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</si>
  <si>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</si>
  <si>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</si>
  <si>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</si>
  <si>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</si>
  <si>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</si>
  <si>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</si>
  <si>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</si>
  <si>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</si>
  <si>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</si>
  <si>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</si>
  <si>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</si>
  <si>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</si>
  <si>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</si>
  <si>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</si>
  <si>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</si>
  <si>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</si>
  <si>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</si>
  <si>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</si>
  <si>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</si>
  <si>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</si>
  <si>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</si>
  <si>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</si>
  <si>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</si>
  <si>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</si>
  <si>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</si>
  <si>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</si>
  <si>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</si>
  <si>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</si>
  <si>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</si>
  <si>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</si>
  <si>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</si>
  <si>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Country Name</t>
  </si>
  <si>
    <t>Indicator Name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</si>
  <si>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</si>
  <si>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</si>
  <si>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</si>
  <si>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</si>
  <si>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</si>
  <si>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</si>
  <si>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</si>
  <si>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</si>
  <si>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</si>
  <si>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</si>
  <si>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</si>
  <si>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</si>
  <si>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</si>
  <si>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</si>
  <si>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</si>
  <si>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</si>
  <si>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</si>
  <si>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</si>
  <si>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</si>
  <si>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</si>
  <si>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</si>
  <si>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</si>
  <si>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</si>
  <si>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</si>
  <si>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</si>
  <si>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</si>
  <si>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</si>
  <si>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</si>
  <si>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</si>
  <si>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</si>
  <si>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</si>
  <si>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</si>
  <si>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Energy imports, net (% of energy use)</t>
  </si>
  <si>
    <t>Bolivia</t>
  </si>
  <si>
    <t>Brunei</t>
  </si>
  <si>
    <t>Congo, Rep.</t>
  </si>
  <si>
    <t>Cote d'Ivoire</t>
  </si>
  <si>
    <t>Curaçao</t>
  </si>
  <si>
    <t>Czech Republic</t>
  </si>
  <si>
    <t>Egypt, Arab Rep.</t>
  </si>
  <si>
    <t>Ethiopia(excludes Eritrea)</t>
  </si>
  <si>
    <t>Fm Sudan</t>
  </si>
  <si>
    <t>Hong Kong, China</t>
  </si>
  <si>
    <t>Iran, Islamic Rep.</t>
  </si>
  <si>
    <t>Korea, Rep.</t>
  </si>
  <si>
    <t>Kyrgyz Republic</t>
  </si>
  <si>
    <t>Lao PDR</t>
  </si>
  <si>
    <t>Moldova</t>
  </si>
  <si>
    <t>Russian Federation</t>
  </si>
  <si>
    <t>Slovak Republic</t>
  </si>
  <si>
    <t>Syrian Arab Republic</t>
  </si>
  <si>
    <t>Tanzania</t>
  </si>
  <si>
    <t>Venezuela</t>
  </si>
  <si>
    <t>Vietnam</t>
  </si>
  <si>
    <t>Primary energy consumption per capita</t>
  </si>
  <si>
    <t>Electricity from fossil fuels</t>
  </si>
  <si>
    <t>Electricity from renewables</t>
  </si>
  <si>
    <t>Low-carbon electricity</t>
  </si>
  <si>
    <t>Density</t>
  </si>
  <si>
    <t>Access to electricity</t>
  </si>
  <si>
    <t>Renewables</t>
  </si>
  <si>
    <t>Energy imports</t>
  </si>
  <si>
    <t>3-31</t>
  </si>
  <si>
    <t>36-93</t>
  </si>
  <si>
    <t>94-206</t>
  </si>
  <si>
    <t>219-8358</t>
  </si>
  <si>
    <t>Однофакторный дисперсионный анализ</t>
  </si>
  <si>
    <t>ИТОГИ</t>
  </si>
  <si>
    <t>Группы</t>
  </si>
  <si>
    <t>Счет</t>
  </si>
  <si>
    <t>Сумма</t>
  </si>
  <si>
    <t>Среднее</t>
  </si>
  <si>
    <t>Дисперсия</t>
  </si>
  <si>
    <t>Дисперсионный анализ</t>
  </si>
  <si>
    <t>Источник вариации</t>
  </si>
  <si>
    <t>SS</t>
  </si>
  <si>
    <t>df</t>
  </si>
  <si>
    <t>MS</t>
  </si>
  <si>
    <t>F</t>
  </si>
  <si>
    <t>P-Значение</t>
  </si>
  <si>
    <t>F критическое</t>
  </si>
  <si>
    <t>Между группами</t>
  </si>
  <si>
    <t>Внутри групп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</si>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</sst>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 Unicode MS"/>
    </font>
    <font>
      <sz val="8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/>
    <xf numFmtId="0" fontId="1" fillId="0" borderId="0" xfId="0" applyNumberFormat="1" applyFont="1"/>
    <xf numFmtId="0" fontId="2" fillId="0" borderId="0" xfId="0" applyFont="1" applyAlignment="1">
      <alignment vertical="center"/>
    </xf>
    <xf numFmtId="0" fontId="1" fillId="0" borderId="1" xfId="0" applyFont="1" applyBorder="1"/>
    <xf numFmtId="49" fontId="0" fillId="0" borderId="0" xfId="0" applyNumberFormat="1"/>
    <xf numFmtId="2" fontId="0" fillId="0" borderId="0" xfId="0" applyNumberFormat="1"/>
    <xf numFmtId="49" fontId="0" fillId="0" borderId="1" xfId="0" applyNumberFormat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</cellXfs>
  <cellStyles count="1"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46B2-AA64-440C-BE5D-C0F81C8709B5}">
  <dimension ref="A1:L64"/>
  <sheetViews>
    <sheetView topLeftCell="C1" zoomScale="85" zoomScaleNormal="85" workbookViewId="0">
      <selection activeCell="G1" sqref="G1:G1048576"/>
    </sheetView>
  </sheetViews>
  <sheetFormatPr defaultRowHeight="15"/>
  <cols>
    <col min="1" max="1" width="20" bestFit="1" customWidth="1"/>
    <col min="2" max="2" width="49.85546875" bestFit="1" customWidth="1"/>
    <col min="3" max="3" width="34.42578125" bestFit="1" customWidth="1"/>
    <col min="4" max="4" width="31.140625" bestFit="1" customWidth="1"/>
    <col min="5" max="5" width="32" bestFit="1" customWidth="1"/>
    <col min="6" max="6" width="34.140625" bestFit="1" customWidth="1"/>
    <col min="7" max="7" width="17.28515625" bestFit="1" customWidth="1"/>
    <col min="8" max="8" width="35.140625" bestFit="1" customWidth="1"/>
    <col min="9" max="9" width="40.140625" bestFit="1" customWidth="1"/>
    <col min="10" max="10" width="12.7109375" bestFit="1" customWidth="1"/>
    <col min="11" max="11" width="14.7109375" bestFit="1" customWidth="1"/>
    <col min="12" max="12" width="35" bestFit="1" customWidth="1"/>
  </cols>
  <sheetData>
    <row r="1" spans="1:12">
      <c r="A1" s="2" t="s">
        <v>0</v>
      </c>
      <c r="B1" s="2" t="s">
        <v>253</v>
      </c>
      <c r="C1" s="2" t="s">
        <v>13</v>
      </c>
      <c r="D1" s="2" t="s">
        <v>254</v>
      </c>
      <c r="E1" s="2" t="s">
        <v>255</v>
      </c>
      <c r="F1" s="2" t="s">
        <v>256</v>
      </c>
      <c r="G1" s="2" t="s">
        <v>257</v>
      </c>
      <c r="H1" s="2" t="s">
        <v>258</v>
      </c>
      <c r="I1" s="2" t="s">
        <v>259</v>
      </c>
      <c r="J1" s="2" t="s">
        <v>15</v>
      </c>
      <c r="K1" s="2" t="s">
        <v>16</v>
      </c>
      <c r="L1" s="5" t="s">
        <v>260</v>
      </c>
    </row>
    <row r="2" spans="1:12">
      <c r="A2" t="s">
        <v>23</v>
      </c>
      <c r="B2">
        <v>16259.053</v>
      </c>
      <c r="C2">
        <v>171250</v>
      </c>
      <c r="D2">
        <v>75.849999999999994</v>
      </c>
      <c r="E2">
        <v>0.84</v>
      </c>
      <c r="F2">
        <v>1.0953188</v>
      </c>
      <c r="G2">
        <v>18</v>
      </c>
      <c r="H2">
        <v>99.5</v>
      </c>
      <c r="I2">
        <v>0.29474697</v>
      </c>
      <c r="J2">
        <v>1</v>
      </c>
      <c r="K2">
        <v>3989.6682759999999</v>
      </c>
      <c r="L2" s="4">
        <v>-133.35274649055356</v>
      </c>
    </row>
    <row r="3" spans="1:12">
      <c r="A3" t="s">
        <v>26</v>
      </c>
      <c r="B3">
        <v>20725.168000000001</v>
      </c>
      <c r="C3">
        <v>168100.0061</v>
      </c>
      <c r="D3">
        <v>90.56</v>
      </c>
      <c r="E3">
        <v>34.630000000000003</v>
      </c>
      <c r="F3">
        <v>31.991589000000001</v>
      </c>
      <c r="G3">
        <v>17</v>
      </c>
      <c r="H3">
        <v>100</v>
      </c>
      <c r="I3">
        <v>11.926772</v>
      </c>
      <c r="J3">
        <v>-2.025934237</v>
      </c>
      <c r="K3">
        <v>10056.637940000001</v>
      </c>
      <c r="L3" s="4">
        <v>2.4916770796544179</v>
      </c>
    </row>
    <row r="4" spans="1:12">
      <c r="A4" t="s">
        <v>29</v>
      </c>
      <c r="B4">
        <v>66263.539999999994</v>
      </c>
      <c r="C4">
        <v>386529.9988</v>
      </c>
      <c r="D4">
        <v>196.45</v>
      </c>
      <c r="E4">
        <v>53.41</v>
      </c>
      <c r="F4">
        <v>21.375969999999999</v>
      </c>
      <c r="G4">
        <v>3</v>
      </c>
      <c r="H4">
        <v>100</v>
      </c>
      <c r="I4">
        <v>8.8807220000000004</v>
      </c>
      <c r="J4">
        <v>2.113149425</v>
      </c>
      <c r="K4">
        <v>54875.285960000001</v>
      </c>
      <c r="L4" s="4">
        <v>-230.54024812099971</v>
      </c>
    </row>
    <row r="5" spans="1:12">
      <c r="A5" t="s">
        <v>30</v>
      </c>
      <c r="B5">
        <v>48314.258000000002</v>
      </c>
      <c r="C5">
        <v>64769.996639999998</v>
      </c>
      <c r="D5">
        <v>16.22</v>
      </c>
      <c r="E5">
        <v>54.64</v>
      </c>
      <c r="F5">
        <v>77.109795000000005</v>
      </c>
      <c r="G5">
        <v>109</v>
      </c>
      <c r="H5">
        <v>100</v>
      </c>
      <c r="I5">
        <v>35.611378000000002</v>
      </c>
      <c r="J5">
        <v>1.4912108500000001</v>
      </c>
      <c r="K5">
        <v>50114.401109999999</v>
      </c>
      <c r="L5" s="4">
        <v>74.476281896077239</v>
      </c>
    </row>
    <row r="6" spans="1:12">
      <c r="A6" t="s">
        <v>31</v>
      </c>
      <c r="B6">
        <v>17546.780999999999</v>
      </c>
      <c r="C6">
        <v>35509.998319999999</v>
      </c>
      <c r="D6">
        <v>22.91</v>
      </c>
      <c r="E6">
        <v>1.69</v>
      </c>
      <c r="F6">
        <v>6.8699190000000003</v>
      </c>
      <c r="G6">
        <v>123</v>
      </c>
      <c r="H6">
        <v>100</v>
      </c>
      <c r="I6">
        <v>2.6745839999999999</v>
      </c>
      <c r="J6">
        <v>2.5</v>
      </c>
      <c r="K6">
        <v>4805.7537179999999</v>
      </c>
      <c r="L6" s="4">
        <v>-274.4174564968165</v>
      </c>
    </row>
    <row r="7" spans="1:12">
      <c r="A7" t="s">
        <v>34</v>
      </c>
      <c r="B7">
        <v>2916.3175999999999</v>
      </c>
      <c r="C7">
        <v>90739.997860000003</v>
      </c>
      <c r="D7">
        <v>78.37</v>
      </c>
      <c r="E7">
        <v>1.1399999999999999</v>
      </c>
      <c r="F7">
        <v>1.4337819000000001</v>
      </c>
      <c r="G7">
        <v>1265</v>
      </c>
      <c r="H7">
        <v>92.2</v>
      </c>
      <c r="I7">
        <v>0.67512870000000003</v>
      </c>
      <c r="J7">
        <v>8.1526841490000006</v>
      </c>
      <c r="K7">
        <v>1855.740094</v>
      </c>
      <c r="L7" s="4">
        <v>30.297494089433673</v>
      </c>
    </row>
    <row r="8" spans="1:12">
      <c r="A8" t="s">
        <v>36</v>
      </c>
      <c r="B8">
        <v>31923.436000000002</v>
      </c>
      <c r="C8">
        <v>57669.998169999999</v>
      </c>
      <c r="D8">
        <v>36.74</v>
      </c>
      <c r="E8">
        <v>0.94</v>
      </c>
      <c r="F8">
        <v>2.4946920000000001</v>
      </c>
      <c r="G8">
        <v>47</v>
      </c>
      <c r="H8">
        <v>100</v>
      </c>
      <c r="I8">
        <v>0.70776963000000004</v>
      </c>
      <c r="J8">
        <v>1.4</v>
      </c>
      <c r="K8">
        <v>6837.7178260000001</v>
      </c>
      <c r="L8" s="4">
        <v>85.255535181284188</v>
      </c>
    </row>
    <row r="9" spans="1:12">
      <c r="A9" t="s">
        <v>37</v>
      </c>
      <c r="B9">
        <v>64152.26</v>
      </c>
      <c r="C9">
        <v>93010.002139999997</v>
      </c>
      <c r="D9">
        <v>29.32</v>
      </c>
      <c r="E9">
        <v>19.47</v>
      </c>
      <c r="F9">
        <v>68.237465</v>
      </c>
      <c r="G9">
        <v>383</v>
      </c>
      <c r="H9">
        <v>100</v>
      </c>
      <c r="I9">
        <v>7.9593819999999997</v>
      </c>
      <c r="J9">
        <v>2.1495596809999999</v>
      </c>
      <c r="K9">
        <v>46591.491609999997</v>
      </c>
      <c r="L9" s="4">
        <v>90.93022607944684</v>
      </c>
    </row>
    <row r="10" spans="1:12">
      <c r="A10" t="s">
        <v>44</v>
      </c>
      <c r="B10">
        <v>16681.945</v>
      </c>
      <c r="C10">
        <v>434299.9878</v>
      </c>
      <c r="D10">
        <v>90.91</v>
      </c>
      <c r="E10">
        <v>512.59</v>
      </c>
      <c r="F10">
        <v>85.305340000000001</v>
      </c>
      <c r="G10">
        <v>25</v>
      </c>
      <c r="H10">
        <v>99.8</v>
      </c>
      <c r="I10">
        <v>47.304844000000003</v>
      </c>
      <c r="J10">
        <v>1.411152985</v>
      </c>
      <c r="K10">
        <v>8897.5529659999993</v>
      </c>
      <c r="L10" s="4">
        <v>-4.0596361235300238</v>
      </c>
    </row>
    <row r="11" spans="1:12">
      <c r="A11" t="s">
        <v>45</v>
      </c>
      <c r="B11">
        <v>29996.026999999998</v>
      </c>
      <c r="C11">
        <v>39139.999389999997</v>
      </c>
      <c r="D11">
        <v>19.75</v>
      </c>
      <c r="E11">
        <v>7.49</v>
      </c>
      <c r="F11">
        <v>54.908676</v>
      </c>
      <c r="G11">
        <v>64</v>
      </c>
      <c r="H11">
        <v>100</v>
      </c>
      <c r="I11">
        <v>9.948385</v>
      </c>
      <c r="J11">
        <v>4.0375920819999997</v>
      </c>
      <c r="K11">
        <v>9879.2685330000004</v>
      </c>
      <c r="L11" s="4">
        <v>39.323183297250772</v>
      </c>
    </row>
    <row r="12" spans="1:12">
      <c r="A12" t="s">
        <v>50</v>
      </c>
      <c r="B12">
        <v>107980.76</v>
      </c>
      <c r="C12">
        <v>580210.022</v>
      </c>
      <c r="D12">
        <v>110.65</v>
      </c>
      <c r="E12">
        <v>421.8</v>
      </c>
      <c r="F12">
        <v>82.378333999999995</v>
      </c>
      <c r="G12">
        <v>4</v>
      </c>
      <c r="H12">
        <v>100</v>
      </c>
      <c r="I12">
        <v>28.586376000000001</v>
      </c>
      <c r="J12">
        <v>1.879592028</v>
      </c>
      <c r="K12">
        <v>46338.340960000001</v>
      </c>
      <c r="L12" s="4">
        <v>-75.769176162835052</v>
      </c>
    </row>
    <row r="13" spans="1:12">
      <c r="A13" t="s">
        <v>54</v>
      </c>
      <c r="B13">
        <v>24894.513999999999</v>
      </c>
      <c r="C13">
        <v>91370.00275</v>
      </c>
      <c r="D13">
        <v>45.16</v>
      </c>
      <c r="E13">
        <v>32.229999999999997</v>
      </c>
      <c r="F13">
        <v>41.646210000000004</v>
      </c>
      <c r="G13">
        <v>26</v>
      </c>
      <c r="H13">
        <v>100</v>
      </c>
      <c r="I13">
        <v>24.144995000000002</v>
      </c>
      <c r="J13">
        <v>0.94200530699999996</v>
      </c>
      <c r="K13">
        <v>14741.714400000001</v>
      </c>
      <c r="L13" s="4">
        <v>69.22588715228855</v>
      </c>
    </row>
    <row r="14" spans="1:12">
      <c r="A14" t="s">
        <v>55</v>
      </c>
      <c r="B14">
        <v>28277.445</v>
      </c>
      <c r="C14">
        <v>10707219.73</v>
      </c>
      <c r="D14">
        <v>5098.22</v>
      </c>
      <c r="E14">
        <v>2014.57</v>
      </c>
      <c r="F14">
        <v>31.672895</v>
      </c>
      <c r="G14">
        <v>153</v>
      </c>
      <c r="H14">
        <v>100</v>
      </c>
      <c r="I14">
        <v>13.51596</v>
      </c>
      <c r="J14">
        <v>5.9497142329999999</v>
      </c>
      <c r="K14">
        <v>10143.838170000001</v>
      </c>
      <c r="L14" s="4">
        <v>22.220973887868901</v>
      </c>
    </row>
    <row r="15" spans="1:12">
      <c r="A15" t="s">
        <v>56</v>
      </c>
      <c r="B15">
        <v>11221.787</v>
      </c>
      <c r="C15">
        <v>81040.000920000006</v>
      </c>
      <c r="D15">
        <v>23.84</v>
      </c>
      <c r="E15">
        <v>54.31</v>
      </c>
      <c r="F15">
        <v>69.494560000000007</v>
      </c>
      <c r="G15">
        <v>46</v>
      </c>
      <c r="H15">
        <v>99.755920000000003</v>
      </c>
      <c r="I15">
        <v>29.890343000000001</v>
      </c>
      <c r="J15">
        <v>3.2811168049999999</v>
      </c>
      <c r="K15">
        <v>6424.9794920000004</v>
      </c>
      <c r="L15" s="4">
        <v>-181.41411240267524</v>
      </c>
    </row>
    <row r="16" spans="1:12">
      <c r="A16" t="s">
        <v>60</v>
      </c>
      <c r="B16">
        <v>23200.728999999999</v>
      </c>
      <c r="C16">
        <v>16520.000459999999</v>
      </c>
      <c r="D16">
        <v>4.3099999999999996</v>
      </c>
      <c r="E16">
        <v>8.35</v>
      </c>
      <c r="F16">
        <v>65.955770000000001</v>
      </c>
      <c r="G16">
        <v>73</v>
      </c>
      <c r="H16">
        <v>100</v>
      </c>
      <c r="I16">
        <v>23.463097000000001</v>
      </c>
      <c r="J16">
        <v>3.4819456029999998</v>
      </c>
      <c r="K16">
        <v>15311.766900000001</v>
      </c>
      <c r="L16" s="4">
        <v>57.796268210215892</v>
      </c>
    </row>
    <row r="17" spans="1:12">
      <c r="A17" t="s">
        <v>64</v>
      </c>
      <c r="B17">
        <v>33139.277000000002</v>
      </c>
      <c r="C17">
        <v>29700.000759999999</v>
      </c>
      <c r="D17">
        <v>6.44</v>
      </c>
      <c r="E17">
        <v>23.07</v>
      </c>
      <c r="F17">
        <v>78.17689</v>
      </c>
      <c r="G17">
        <v>137</v>
      </c>
      <c r="H17">
        <v>100</v>
      </c>
      <c r="I17">
        <v>32.795659999999998</v>
      </c>
      <c r="J17">
        <v>2.1146642080000002</v>
      </c>
      <c r="K17">
        <v>59775.735099999998</v>
      </c>
      <c r="L17" s="4">
        <v>43.767617174696923</v>
      </c>
    </row>
    <row r="18" spans="1:12">
      <c r="A18" t="s">
        <v>68</v>
      </c>
      <c r="B18">
        <v>12160.402</v>
      </c>
      <c r="C18">
        <v>39290.000919999999</v>
      </c>
      <c r="D18">
        <v>7.09</v>
      </c>
      <c r="E18">
        <v>25.2</v>
      </c>
      <c r="F18">
        <v>78.042730000000006</v>
      </c>
      <c r="G18">
        <v>71</v>
      </c>
      <c r="H18">
        <v>99.09</v>
      </c>
      <c r="I18">
        <v>31.769020000000001</v>
      </c>
      <c r="J18">
        <v>1.2105103000000001E-2</v>
      </c>
      <c r="K18">
        <v>6222.5246530000004</v>
      </c>
      <c r="L18" s="4">
        <v>-95.754231825890443</v>
      </c>
    </row>
    <row r="19" spans="1:12">
      <c r="A19" t="s">
        <v>73</v>
      </c>
      <c r="B19">
        <v>47295.336000000003</v>
      </c>
      <c r="C19">
        <v>10180.000309999999</v>
      </c>
      <c r="D19">
        <v>5.47</v>
      </c>
      <c r="E19">
        <v>2.14</v>
      </c>
      <c r="F19">
        <v>28.120895000000001</v>
      </c>
      <c r="G19">
        <v>31</v>
      </c>
      <c r="H19">
        <v>100</v>
      </c>
      <c r="I19">
        <v>9.9129900000000006</v>
      </c>
      <c r="J19">
        <v>4.0963426439999999</v>
      </c>
      <c r="K19">
        <v>23397.120009999999</v>
      </c>
      <c r="L19" s="4">
        <v>5.1176670124326771</v>
      </c>
    </row>
    <row r="20" spans="1:12">
      <c r="A20" t="s">
        <v>77</v>
      </c>
      <c r="B20">
        <v>59219.417999999998</v>
      </c>
      <c r="C20">
        <v>40709.999080000001</v>
      </c>
      <c r="D20">
        <v>12.63</v>
      </c>
      <c r="E20">
        <v>31.88</v>
      </c>
      <c r="F20">
        <v>81.529690000000002</v>
      </c>
      <c r="G20">
        <v>18</v>
      </c>
      <c r="H20">
        <v>100</v>
      </c>
      <c r="I20">
        <v>29.214561</v>
      </c>
      <c r="J20">
        <v>1.220754143</v>
      </c>
      <c r="K20">
        <v>48628.641759999999</v>
      </c>
      <c r="L20" s="4">
        <v>44.403710301262898</v>
      </c>
    </row>
    <row r="21" spans="1:12">
      <c r="A21" t="s">
        <v>78</v>
      </c>
      <c r="B21">
        <v>42326.785000000003</v>
      </c>
      <c r="C21">
        <v>300519.989</v>
      </c>
      <c r="D21">
        <v>53.5</v>
      </c>
      <c r="E21">
        <v>113.21</v>
      </c>
      <c r="F21">
        <v>90.543019999999999</v>
      </c>
      <c r="G21">
        <v>119</v>
      </c>
      <c r="H21">
        <v>100</v>
      </c>
      <c r="I21">
        <v>12.384905</v>
      </c>
      <c r="J21">
        <v>1.842971814</v>
      </c>
      <c r="K21">
        <v>40578.644289999997</v>
      </c>
      <c r="L21" s="4">
        <v>49.706520625646164</v>
      </c>
    </row>
    <row r="22" spans="1:12">
      <c r="A22" t="s">
        <v>83</v>
      </c>
      <c r="B22">
        <v>44467.745999999999</v>
      </c>
      <c r="C22">
        <v>657400.02439999999</v>
      </c>
      <c r="D22">
        <v>284.08999999999997</v>
      </c>
      <c r="E22">
        <v>240.33</v>
      </c>
      <c r="F22">
        <v>52.611384999999999</v>
      </c>
      <c r="G22">
        <v>240</v>
      </c>
      <c r="H22">
        <v>100</v>
      </c>
      <c r="I22">
        <v>18.768305000000002</v>
      </c>
      <c r="J22">
        <v>1.0555082469999999</v>
      </c>
      <c r="K22">
        <v>46794.899290000001</v>
      </c>
      <c r="L22" s="4">
        <v>69.924000647515456</v>
      </c>
    </row>
    <row r="23" spans="1:12">
      <c r="A23" t="s">
        <v>85</v>
      </c>
      <c r="B23">
        <v>29966.309000000001</v>
      </c>
      <c r="C23">
        <v>60000</v>
      </c>
      <c r="D23">
        <v>32.479999999999997</v>
      </c>
      <c r="E23">
        <v>16.100000000000001</v>
      </c>
      <c r="F23">
        <v>33.141210000000001</v>
      </c>
      <c r="G23">
        <v>81</v>
      </c>
      <c r="H23">
        <v>100</v>
      </c>
      <c r="I23">
        <v>13.694194</v>
      </c>
      <c r="J23">
        <v>1.8035952559999999</v>
      </c>
      <c r="K23">
        <v>19133.75776</v>
      </c>
      <c r="L23" s="4">
        <v>87.498998984916568</v>
      </c>
    </row>
    <row r="24" spans="1:12">
      <c r="A24" t="s">
        <v>93</v>
      </c>
      <c r="B24">
        <v>28131.205000000002</v>
      </c>
      <c r="C24">
        <v>46380.001069999998</v>
      </c>
      <c r="D24">
        <v>13.2</v>
      </c>
      <c r="E24">
        <v>4.7</v>
      </c>
      <c r="F24">
        <v>61.392223000000001</v>
      </c>
      <c r="G24">
        <v>107</v>
      </c>
      <c r="H24">
        <v>100</v>
      </c>
      <c r="I24">
        <v>4.9454612999999998</v>
      </c>
      <c r="J24">
        <v>4.5540630719999999</v>
      </c>
      <c r="K24">
        <v>16735.659780000002</v>
      </c>
      <c r="L24" s="4">
        <v>69.812666621860558</v>
      </c>
    </row>
    <row r="25" spans="1:12">
      <c r="A25" t="s">
        <v>95</v>
      </c>
      <c r="B25">
        <v>6731.8050000000003</v>
      </c>
      <c r="C25">
        <v>2456300.0490000001</v>
      </c>
      <c r="D25">
        <v>1273.5899999999999</v>
      </c>
      <c r="E25">
        <v>303.16000000000003</v>
      </c>
      <c r="F25">
        <v>21.475914</v>
      </c>
      <c r="G25">
        <v>464</v>
      </c>
      <c r="H25">
        <v>97.308266000000003</v>
      </c>
      <c r="I25">
        <v>8.8496190000000006</v>
      </c>
      <c r="J25">
        <v>4.041554187</v>
      </c>
      <c r="K25">
        <v>2100.7514609999998</v>
      </c>
      <c r="L25" s="4">
        <v>39.299698298591359</v>
      </c>
    </row>
    <row r="26" spans="1:12">
      <c r="A26" t="s">
        <v>96</v>
      </c>
      <c r="B26">
        <v>8474.4794999999995</v>
      </c>
      <c r="C26">
        <v>619840.02690000006</v>
      </c>
      <c r="D26">
        <v>247.39</v>
      </c>
      <c r="E26">
        <v>48.04</v>
      </c>
      <c r="F26">
        <v>16.261043999999998</v>
      </c>
      <c r="G26">
        <v>151</v>
      </c>
      <c r="H26">
        <v>98.85</v>
      </c>
      <c r="I26">
        <v>7.8703089999999998</v>
      </c>
      <c r="J26">
        <v>5.0181597150000004</v>
      </c>
      <c r="K26">
        <v>4135.2015309999997</v>
      </c>
      <c r="L26" s="4">
        <v>-99.181648865643822</v>
      </c>
    </row>
    <row r="27" spans="1:12">
      <c r="A27" t="s">
        <v>97</v>
      </c>
      <c r="B27">
        <v>15430.376</v>
      </c>
      <c r="C27">
        <v>174559.9976</v>
      </c>
      <c r="D27">
        <v>83.85</v>
      </c>
      <c r="E27">
        <v>5.34</v>
      </c>
      <c r="F27">
        <v>5.9872180000000004</v>
      </c>
      <c r="G27">
        <v>93</v>
      </c>
      <c r="H27">
        <v>99.992003999999994</v>
      </c>
      <c r="I27">
        <v>2.2772882000000001</v>
      </c>
      <c r="J27">
        <v>5.9573275030000001</v>
      </c>
      <c r="K27">
        <v>5980.6269179999999</v>
      </c>
      <c r="L27" s="4">
        <v>-357.47164421788136</v>
      </c>
    </row>
    <row r="28" spans="1:12">
      <c r="A28" t="s">
        <v>98</v>
      </c>
      <c r="B28">
        <v>38270.875</v>
      </c>
      <c r="C28">
        <v>35750</v>
      </c>
      <c r="D28">
        <v>18.920000000000002</v>
      </c>
      <c r="E28">
        <v>11.8</v>
      </c>
      <c r="F28">
        <v>38.411459999999998</v>
      </c>
      <c r="G28">
        <v>73</v>
      </c>
      <c r="H28">
        <v>100</v>
      </c>
      <c r="I28">
        <v>16.911176999999999</v>
      </c>
      <c r="J28">
        <v>4.9170069779999999</v>
      </c>
      <c r="K28">
        <v>80886.615739999994</v>
      </c>
      <c r="L28" s="4">
        <v>75.413816050316143</v>
      </c>
    </row>
    <row r="29" spans="1:12">
      <c r="A29" t="s">
        <v>99</v>
      </c>
      <c r="B29">
        <v>35085.457000000002</v>
      </c>
      <c r="C29">
        <v>62650.001530000001</v>
      </c>
      <c r="D29">
        <v>68.819999999999993</v>
      </c>
      <c r="E29">
        <v>2.9</v>
      </c>
      <c r="F29">
        <v>4.0435023000000001</v>
      </c>
      <c r="G29">
        <v>400</v>
      </c>
      <c r="H29">
        <v>100</v>
      </c>
      <c r="I29">
        <v>2.9192068999999998</v>
      </c>
      <c r="J29">
        <v>3.7735898099999998</v>
      </c>
      <c r="K29">
        <v>43951.247730000003</v>
      </c>
      <c r="L29" s="4">
        <v>70.734379347895015</v>
      </c>
    </row>
    <row r="30" spans="1:12">
      <c r="A30" t="s">
        <v>100</v>
      </c>
      <c r="B30">
        <v>30464.062000000002</v>
      </c>
      <c r="C30">
        <v>317239.9902</v>
      </c>
      <c r="D30">
        <v>175.52</v>
      </c>
      <c r="E30">
        <v>115.83</v>
      </c>
      <c r="F30">
        <v>39.756306000000002</v>
      </c>
      <c r="G30">
        <v>206</v>
      </c>
      <c r="H30">
        <v>100</v>
      </c>
      <c r="I30">
        <v>17.93995</v>
      </c>
      <c r="J30">
        <v>0.41027829399999999</v>
      </c>
      <c r="K30">
        <v>33641.633750000001</v>
      </c>
      <c r="L30" s="4">
        <v>82.227964030235896</v>
      </c>
    </row>
    <row r="31" spans="1:12">
      <c r="A31" t="s">
        <v>102</v>
      </c>
      <c r="B31">
        <v>40868.688000000002</v>
      </c>
      <c r="C31">
        <v>1081569.946</v>
      </c>
      <c r="D31">
        <v>735.66</v>
      </c>
      <c r="E31">
        <v>192.72</v>
      </c>
      <c r="F31">
        <v>25.860157000000001</v>
      </c>
      <c r="G31">
        <v>347</v>
      </c>
      <c r="H31">
        <v>100</v>
      </c>
      <c r="I31">
        <v>9.5659270000000003</v>
      </c>
      <c r="J31">
        <v>0.27030464500000001</v>
      </c>
      <c r="K31">
        <v>40777.608699999997</v>
      </c>
      <c r="L31" s="4">
        <v>90.559032812018557</v>
      </c>
    </row>
    <row r="32" spans="1:12">
      <c r="A32" t="s">
        <v>104</v>
      </c>
      <c r="B32">
        <v>43404.29</v>
      </c>
      <c r="C32">
        <v>212110.0006</v>
      </c>
      <c r="D32">
        <v>95.39</v>
      </c>
      <c r="E32">
        <v>11.09</v>
      </c>
      <c r="F32">
        <v>10.415101</v>
      </c>
      <c r="G32">
        <v>7</v>
      </c>
      <c r="H32">
        <v>100</v>
      </c>
      <c r="I32">
        <v>3.468928</v>
      </c>
      <c r="J32">
        <v>4.5</v>
      </c>
      <c r="K32">
        <v>9812.595808</v>
      </c>
      <c r="L32" s="4">
        <v>-129.45109814824136</v>
      </c>
    </row>
    <row r="33" spans="1:12">
      <c r="A33" t="s">
        <v>107</v>
      </c>
      <c r="B33">
        <v>94612.554999999993</v>
      </c>
      <c r="C33">
        <v>92650.001529999994</v>
      </c>
      <c r="D33">
        <v>70.45</v>
      </c>
      <c r="E33">
        <v>0.06</v>
      </c>
      <c r="F33">
        <v>8.5094310000000006E-2</v>
      </c>
      <c r="G33">
        <v>240</v>
      </c>
      <c r="H33">
        <v>100</v>
      </c>
      <c r="I33">
        <v>3.4184187999999997E-2</v>
      </c>
      <c r="J33">
        <v>0.42746393999999999</v>
      </c>
      <c r="K33">
        <v>32373.251120000001</v>
      </c>
      <c r="L33" s="4">
        <v>-338.02165504483031</v>
      </c>
    </row>
    <row r="34" spans="1:12">
      <c r="A34" t="s">
        <v>109</v>
      </c>
      <c r="B34">
        <v>23394.7</v>
      </c>
      <c r="C34">
        <v>7570.000172</v>
      </c>
      <c r="D34">
        <v>3.25</v>
      </c>
      <c r="E34">
        <v>3.19</v>
      </c>
      <c r="F34">
        <v>49.53416</v>
      </c>
      <c r="G34">
        <v>30</v>
      </c>
      <c r="H34">
        <v>100</v>
      </c>
      <c r="I34">
        <v>19.929880000000001</v>
      </c>
      <c r="J34">
        <v>2.4843263549999999</v>
      </c>
      <c r="K34">
        <v>17926.84159</v>
      </c>
      <c r="L34" s="4">
        <v>48.418636603277136</v>
      </c>
    </row>
    <row r="35" spans="1:12">
      <c r="A35" t="s">
        <v>114</v>
      </c>
      <c r="B35">
        <v>24873.116999999998</v>
      </c>
      <c r="C35">
        <v>11729.999540000001</v>
      </c>
      <c r="D35">
        <v>0.67</v>
      </c>
      <c r="E35">
        <v>2.4700000000000002</v>
      </c>
      <c r="F35">
        <v>78.662414999999996</v>
      </c>
      <c r="G35">
        <v>43</v>
      </c>
      <c r="H35">
        <v>100</v>
      </c>
      <c r="I35">
        <v>9.6979659999999992</v>
      </c>
      <c r="J35">
        <v>4.5737717370000004</v>
      </c>
      <c r="K35">
        <v>19575.768479999999</v>
      </c>
      <c r="L35" s="4">
        <v>79.092857523903533</v>
      </c>
    </row>
    <row r="36" spans="1:12">
      <c r="A36" t="s">
        <v>115</v>
      </c>
      <c r="B36">
        <v>76273.7</v>
      </c>
      <c r="C36">
        <v>9489.9997710000007</v>
      </c>
      <c r="D36">
        <v>0.27</v>
      </c>
      <c r="E36">
        <v>0.8</v>
      </c>
      <c r="F36">
        <v>74.766350000000003</v>
      </c>
      <c r="G36">
        <v>242</v>
      </c>
      <c r="H36">
        <v>100</v>
      </c>
      <c r="I36">
        <v>4.7653426999999997</v>
      </c>
      <c r="J36">
        <v>3.2838067560000002</v>
      </c>
      <c r="K36">
        <v>113218.7133</v>
      </c>
      <c r="L36" s="4">
        <v>109.51477659908659</v>
      </c>
    </row>
    <row r="37" spans="1:12">
      <c r="A37" t="s">
        <v>118</v>
      </c>
      <c r="B37">
        <v>37823.5</v>
      </c>
      <c r="C37">
        <v>253270.0043</v>
      </c>
      <c r="D37">
        <v>149.69999999999999</v>
      </c>
      <c r="E37">
        <v>28.76</v>
      </c>
      <c r="F37">
        <v>16.115656000000001</v>
      </c>
      <c r="G37">
        <v>99</v>
      </c>
      <c r="H37">
        <v>100</v>
      </c>
      <c r="I37">
        <v>6.1784086</v>
      </c>
      <c r="J37">
        <v>4.439471288</v>
      </c>
      <c r="K37">
        <v>11432.823</v>
      </c>
      <c r="L37" s="4">
        <v>0.41944176997829941</v>
      </c>
    </row>
    <row r="38" spans="1:12">
      <c r="A38" t="s">
        <v>124</v>
      </c>
      <c r="B38">
        <v>17903.294999999998</v>
      </c>
      <c r="C38">
        <v>449269.989</v>
      </c>
      <c r="D38">
        <v>248.2</v>
      </c>
      <c r="E38">
        <v>59</v>
      </c>
      <c r="F38">
        <v>21.969315000000002</v>
      </c>
      <c r="G38">
        <v>66</v>
      </c>
      <c r="H38">
        <v>99.6</v>
      </c>
      <c r="I38">
        <v>7.0507707999999996</v>
      </c>
      <c r="J38">
        <v>-0.17659945599999999</v>
      </c>
      <c r="K38">
        <v>9950.4500800000005</v>
      </c>
      <c r="L38" s="4">
        <v>18.299439714700004</v>
      </c>
    </row>
    <row r="39" spans="1:12">
      <c r="A39" t="s">
        <v>127</v>
      </c>
      <c r="B39">
        <v>7267.4639999999999</v>
      </c>
      <c r="C39">
        <v>71480.003360000002</v>
      </c>
      <c r="D39">
        <v>32.380000000000003</v>
      </c>
      <c r="E39">
        <v>7.6</v>
      </c>
      <c r="F39">
        <v>19.009504</v>
      </c>
      <c r="G39">
        <v>83</v>
      </c>
      <c r="H39">
        <v>99.6</v>
      </c>
      <c r="I39">
        <v>7.5470470000000001</v>
      </c>
      <c r="J39">
        <v>2.607935495</v>
      </c>
      <c r="K39">
        <v>3235.0006600000002</v>
      </c>
      <c r="L39" s="4">
        <v>92.42728367577827</v>
      </c>
    </row>
    <row r="40" spans="1:12">
      <c r="A40" t="s">
        <v>133</v>
      </c>
      <c r="B40">
        <v>58836.934000000001</v>
      </c>
      <c r="C40">
        <v>146339.9963</v>
      </c>
      <c r="D40">
        <v>94.09</v>
      </c>
      <c r="E40">
        <v>22.79</v>
      </c>
      <c r="F40">
        <v>22.104479000000001</v>
      </c>
      <c r="G40">
        <v>508</v>
      </c>
      <c r="H40">
        <v>100</v>
      </c>
      <c r="I40">
        <v>7.3029875999999998</v>
      </c>
      <c r="J40">
        <v>1.9555884160000001</v>
      </c>
      <c r="K40">
        <v>52476.273249999998</v>
      </c>
      <c r="L40" s="4">
        <v>78.254490110402074</v>
      </c>
    </row>
    <row r="41" spans="1:12">
      <c r="A41" t="s">
        <v>135</v>
      </c>
      <c r="B41">
        <v>53259.336000000003</v>
      </c>
      <c r="C41">
        <v>34009.998319999999</v>
      </c>
      <c r="D41">
        <v>7.84</v>
      </c>
      <c r="E41">
        <v>35.97</v>
      </c>
      <c r="F41">
        <v>82.10454</v>
      </c>
      <c r="G41">
        <v>18</v>
      </c>
      <c r="H41">
        <v>100</v>
      </c>
      <c r="I41">
        <v>36.76238</v>
      </c>
      <c r="J41">
        <v>1.633932613</v>
      </c>
      <c r="K41">
        <v>42755.216260000001</v>
      </c>
      <c r="L41" s="4">
        <v>31.844273155669246</v>
      </c>
    </row>
    <row r="42" spans="1:12">
      <c r="A42" t="s">
        <v>139</v>
      </c>
      <c r="B42">
        <v>14689.626</v>
      </c>
      <c r="C42">
        <v>8300.0001909999992</v>
      </c>
      <c r="D42">
        <v>4.53</v>
      </c>
      <c r="E42">
        <v>1.34</v>
      </c>
      <c r="F42">
        <v>22.827940000000002</v>
      </c>
      <c r="G42">
        <v>83</v>
      </c>
      <c r="H42">
        <v>100</v>
      </c>
      <c r="I42">
        <v>11.504865000000001</v>
      </c>
      <c r="J42">
        <v>3.9104195380000002</v>
      </c>
      <c r="K42">
        <v>6070.388054</v>
      </c>
      <c r="L42" s="4">
        <v>58.955710403102287</v>
      </c>
    </row>
    <row r="43" spans="1:12">
      <c r="A43" t="s">
        <v>140</v>
      </c>
      <c r="B43">
        <v>96392.5</v>
      </c>
      <c r="C43">
        <v>35950.000760000003</v>
      </c>
      <c r="D43">
        <v>2.76</v>
      </c>
      <c r="E43">
        <v>131.07</v>
      </c>
      <c r="F43">
        <v>97.937690000000003</v>
      </c>
      <c r="G43">
        <v>15</v>
      </c>
      <c r="H43">
        <v>100</v>
      </c>
      <c r="I43">
        <v>67.085089999999994</v>
      </c>
      <c r="J43">
        <v>0.74579821899999998</v>
      </c>
      <c r="K43">
        <v>75719.752900000007</v>
      </c>
      <c r="L43" s="4">
        <v>-596.95878837444548</v>
      </c>
    </row>
    <row r="44" spans="1:12">
      <c r="A44" t="s">
        <v>141</v>
      </c>
      <c r="B44">
        <v>81070.86</v>
      </c>
      <c r="C44">
        <v>76029.998779999994</v>
      </c>
      <c r="D44">
        <v>36.03</v>
      </c>
      <c r="E44">
        <v>0.02</v>
      </c>
      <c r="F44">
        <v>5.5478501999999999E-2</v>
      </c>
      <c r="G44">
        <v>16</v>
      </c>
      <c r="H44">
        <v>100</v>
      </c>
      <c r="I44">
        <v>1.7586905999999999E-2</v>
      </c>
      <c r="J44">
        <v>-1.129206457</v>
      </c>
      <c r="K44">
        <v>17700.70349</v>
      </c>
      <c r="L44" s="4">
        <v>-240.70024022854827</v>
      </c>
    </row>
    <row r="45" spans="1:12">
      <c r="A45" t="s">
        <v>142</v>
      </c>
      <c r="B45">
        <v>4400.1157000000003</v>
      </c>
      <c r="C45">
        <v>190570.0073</v>
      </c>
      <c r="D45">
        <v>86.44</v>
      </c>
      <c r="E45">
        <v>40.520000000000003</v>
      </c>
      <c r="F45">
        <v>36.455193000000001</v>
      </c>
      <c r="G45">
        <v>287</v>
      </c>
      <c r="H45">
        <v>74.127690000000001</v>
      </c>
      <c r="I45">
        <v>11.015738000000001</v>
      </c>
      <c r="J45">
        <v>1.1447496049999999</v>
      </c>
      <c r="K45">
        <v>1288.556325</v>
      </c>
      <c r="L45" s="4">
        <v>33.516243302154521</v>
      </c>
    </row>
    <row r="46" spans="1:12">
      <c r="A46" t="s">
        <v>146</v>
      </c>
      <c r="B46">
        <v>9949.6319999999996</v>
      </c>
      <c r="C46">
        <v>56750</v>
      </c>
      <c r="D46">
        <v>22.16</v>
      </c>
      <c r="E46">
        <v>34.409999999999997</v>
      </c>
      <c r="F46">
        <v>60.827292999999997</v>
      </c>
      <c r="G46">
        <v>26</v>
      </c>
      <c r="H46">
        <v>95.551360000000003</v>
      </c>
      <c r="I46">
        <v>26.621335999999999</v>
      </c>
      <c r="J46">
        <v>2.2039747489999999</v>
      </c>
      <c r="K46">
        <v>7027.6122070000001</v>
      </c>
      <c r="L46" s="4">
        <v>4.6886379350081144</v>
      </c>
    </row>
    <row r="47" spans="1:12">
      <c r="A47" t="s">
        <v>147</v>
      </c>
      <c r="B47">
        <v>5104.3909999999996</v>
      </c>
      <c r="C47">
        <v>145419.9982</v>
      </c>
      <c r="D47">
        <v>83.3</v>
      </c>
      <c r="E47">
        <v>22.78</v>
      </c>
      <c r="F47">
        <v>21.474360000000001</v>
      </c>
      <c r="G47">
        <v>368</v>
      </c>
      <c r="H47">
        <v>95.645079999999993</v>
      </c>
      <c r="I47">
        <v>10.227247999999999</v>
      </c>
      <c r="J47">
        <v>6.1185256629999998</v>
      </c>
      <c r="K47">
        <v>3485.3408439999998</v>
      </c>
      <c r="L47" s="4">
        <v>48.61614489163567</v>
      </c>
    </row>
    <row r="48" spans="1:12">
      <c r="A48" t="s">
        <v>148</v>
      </c>
      <c r="B48">
        <v>30777.798999999999</v>
      </c>
      <c r="C48">
        <v>295130.0049</v>
      </c>
      <c r="D48">
        <v>137.58000000000001</v>
      </c>
      <c r="E48">
        <v>25.46</v>
      </c>
      <c r="F48">
        <v>15.615800999999999</v>
      </c>
      <c r="G48">
        <v>124</v>
      </c>
      <c r="H48">
        <v>100</v>
      </c>
      <c r="I48">
        <v>6.989287</v>
      </c>
      <c r="J48">
        <v>4.7449501559999998</v>
      </c>
      <c r="K48">
        <v>15732.20313</v>
      </c>
      <c r="L48" s="4">
        <v>45.881670996217302</v>
      </c>
    </row>
    <row r="49" spans="1:12">
      <c r="A49" t="s">
        <v>149</v>
      </c>
      <c r="B49">
        <v>28468.560000000001</v>
      </c>
      <c r="C49">
        <v>44639.999389999997</v>
      </c>
      <c r="D49">
        <v>24.32</v>
      </c>
      <c r="E49">
        <v>27.41</v>
      </c>
      <c r="F49">
        <v>52.986663999999998</v>
      </c>
      <c r="G49">
        <v>111</v>
      </c>
      <c r="H49">
        <v>100</v>
      </c>
      <c r="I49">
        <v>26.401812</v>
      </c>
      <c r="J49">
        <v>2.6827599210000002</v>
      </c>
      <c r="K49">
        <v>23330.817289999999</v>
      </c>
      <c r="L49" s="4">
        <v>84.356547159682876</v>
      </c>
    </row>
    <row r="50" spans="1:12">
      <c r="A50" t="s">
        <v>151</v>
      </c>
      <c r="B50">
        <v>208021.3</v>
      </c>
      <c r="C50">
        <v>91970.001220000006</v>
      </c>
      <c r="D50">
        <v>46.98</v>
      </c>
      <c r="E50">
        <v>0.03</v>
      </c>
      <c r="F50">
        <v>6.3816209999999998E-2</v>
      </c>
      <c r="G50">
        <v>248</v>
      </c>
      <c r="H50">
        <v>100</v>
      </c>
      <c r="I50">
        <v>6.641917E-2</v>
      </c>
      <c r="J50">
        <v>0.68824096000000001</v>
      </c>
      <c r="K50">
        <v>62276.428690000001</v>
      </c>
      <c r="L50" s="4">
        <v>-420.35295766299964</v>
      </c>
    </row>
    <row r="51" spans="1:12">
      <c r="A51" t="s">
        <v>159</v>
      </c>
      <c r="B51">
        <v>82989.266000000003</v>
      </c>
      <c r="C51">
        <v>523780.02929999999</v>
      </c>
      <c r="D51">
        <v>335.24</v>
      </c>
      <c r="E51">
        <v>0.21</v>
      </c>
      <c r="F51">
        <v>6.2602475000000005E-2</v>
      </c>
      <c r="G51">
        <v>16</v>
      </c>
      <c r="H51">
        <v>100</v>
      </c>
      <c r="I51">
        <v>1.8180710999999999E-2</v>
      </c>
      <c r="J51">
        <v>0.33143572900000001</v>
      </c>
      <c r="K51">
        <v>23139.797979999999</v>
      </c>
      <c r="L51" s="4">
        <v>-177.71540547339274</v>
      </c>
    </row>
    <row r="52" spans="1:12">
      <c r="A52" t="s">
        <v>164</v>
      </c>
      <c r="B52">
        <v>158657.89000000001</v>
      </c>
      <c r="C52">
        <v>47380.001069999998</v>
      </c>
      <c r="D52">
        <v>50.96</v>
      </c>
      <c r="E52">
        <v>0.78</v>
      </c>
      <c r="F52">
        <v>1.5075376</v>
      </c>
      <c r="G52">
        <v>8358</v>
      </c>
      <c r="H52">
        <v>100</v>
      </c>
      <c r="I52">
        <v>0.2995429</v>
      </c>
      <c r="J52">
        <v>1.3452174859999999</v>
      </c>
      <c r="K52">
        <v>65640.707949999996</v>
      </c>
      <c r="L52" s="4">
        <v>269.8153069239583</v>
      </c>
    </row>
    <row r="53" spans="1:12">
      <c r="A53" t="s">
        <v>166</v>
      </c>
      <c r="B53">
        <v>37905.919999999998</v>
      </c>
      <c r="C53">
        <v>13600.000379999999</v>
      </c>
      <c r="D53">
        <v>5.03</v>
      </c>
      <c r="E53">
        <v>5.04</v>
      </c>
      <c r="F53">
        <v>68.34487</v>
      </c>
      <c r="G53">
        <v>103</v>
      </c>
      <c r="H53">
        <v>100</v>
      </c>
      <c r="I53">
        <v>16.781369999999999</v>
      </c>
      <c r="J53">
        <v>3.2505313359999999</v>
      </c>
      <c r="K53">
        <v>25942.95477</v>
      </c>
      <c r="L53" s="4">
        <v>52.849156926782058</v>
      </c>
    </row>
    <row r="54" spans="1:12">
      <c r="A54" t="s">
        <v>169</v>
      </c>
      <c r="B54">
        <v>25511.208999999999</v>
      </c>
      <c r="C54">
        <v>439640.01459999999</v>
      </c>
      <c r="D54">
        <v>208.39</v>
      </c>
      <c r="E54">
        <v>12.57</v>
      </c>
      <c r="F54">
        <v>11.15706</v>
      </c>
      <c r="G54">
        <v>49</v>
      </c>
      <c r="H54">
        <v>85</v>
      </c>
      <c r="I54">
        <v>2.6449362999999999</v>
      </c>
      <c r="J54">
        <v>0.11305369699999999</v>
      </c>
      <c r="K54">
        <v>6624.7618650000004</v>
      </c>
      <c r="L54" s="4">
        <v>-13.280382915354775</v>
      </c>
    </row>
    <row r="55" spans="1:12">
      <c r="A55" t="s">
        <v>171</v>
      </c>
      <c r="B55">
        <v>33764.862999999998</v>
      </c>
      <c r="C55">
        <v>239979.9957</v>
      </c>
      <c r="D55">
        <v>111.55</v>
      </c>
      <c r="E55">
        <v>100.99</v>
      </c>
      <c r="F55">
        <v>58.820920000000001</v>
      </c>
      <c r="G55">
        <v>94</v>
      </c>
      <c r="H55">
        <v>100</v>
      </c>
      <c r="I55">
        <v>17.37585</v>
      </c>
      <c r="J55">
        <v>2.0851914210000002</v>
      </c>
      <c r="K55">
        <v>29555.315699999999</v>
      </c>
      <c r="L55" s="4">
        <v>82.914057950379032</v>
      </c>
    </row>
    <row r="56" spans="1:12">
      <c r="A56" t="s">
        <v>175</v>
      </c>
      <c r="B56">
        <v>63283.47</v>
      </c>
      <c r="C56">
        <v>35000</v>
      </c>
      <c r="D56">
        <v>3.35</v>
      </c>
      <c r="E56">
        <v>98.94</v>
      </c>
      <c r="F56">
        <v>98.010925</v>
      </c>
      <c r="G56">
        <v>25</v>
      </c>
      <c r="H56">
        <v>100</v>
      </c>
      <c r="I56">
        <v>43.813766000000001</v>
      </c>
      <c r="J56">
        <v>1.9861958740000001</v>
      </c>
      <c r="K56">
        <v>51939.42974</v>
      </c>
      <c r="L56" s="4">
        <v>32.019703476000679</v>
      </c>
    </row>
    <row r="57" spans="1:12">
      <c r="A57" t="s">
        <v>176</v>
      </c>
      <c r="B57">
        <v>39156.449999999997</v>
      </c>
      <c r="C57">
        <v>37380.001069999998</v>
      </c>
      <c r="D57">
        <v>3.58</v>
      </c>
      <c r="E57">
        <v>37.64</v>
      </c>
      <c r="F57">
        <v>94.616540000000001</v>
      </c>
      <c r="G57">
        <v>219</v>
      </c>
      <c r="H57">
        <v>100</v>
      </c>
      <c r="I57">
        <v>33.137397999999997</v>
      </c>
      <c r="J57">
        <v>1.2109922070000001</v>
      </c>
      <c r="K57">
        <v>85334.519459999996</v>
      </c>
      <c r="L57" s="4">
        <v>55.403219910216926</v>
      </c>
    </row>
    <row r="58" spans="1:12">
      <c r="A58" t="s">
        <v>178</v>
      </c>
      <c r="B58">
        <v>20792.384999999998</v>
      </c>
      <c r="C58">
        <v>267089.9963</v>
      </c>
      <c r="D58">
        <v>162.59</v>
      </c>
      <c r="E58">
        <v>28.02</v>
      </c>
      <c r="F58">
        <v>14.700172999999999</v>
      </c>
      <c r="G58">
        <v>137</v>
      </c>
      <c r="H58">
        <v>99.9</v>
      </c>
      <c r="I58">
        <v>6.9562197000000001</v>
      </c>
      <c r="J58">
        <v>2.2664336719999998</v>
      </c>
      <c r="K58">
        <v>7817.0096709999998</v>
      </c>
      <c r="L58" s="4">
        <v>48.631211775079578</v>
      </c>
    </row>
    <row r="59" spans="1:12">
      <c r="A59" t="s">
        <v>181</v>
      </c>
      <c r="B59">
        <v>123712.94</v>
      </c>
      <c r="C59">
        <v>17190.000530000001</v>
      </c>
      <c r="D59">
        <v>8.6300000000000008</v>
      </c>
      <c r="E59">
        <v>0.01</v>
      </c>
      <c r="F59">
        <v>0.11574073999999999</v>
      </c>
      <c r="G59">
        <v>273</v>
      </c>
      <c r="H59">
        <v>100</v>
      </c>
      <c r="I59">
        <v>6.3736130000000002E-3</v>
      </c>
      <c r="J59">
        <v>-1.246427336</v>
      </c>
      <c r="K59">
        <v>16637.162939999998</v>
      </c>
      <c r="L59" s="4">
        <v>-99.982964296236617</v>
      </c>
    </row>
    <row r="60" spans="1:12">
      <c r="A60" t="s">
        <v>187</v>
      </c>
      <c r="B60">
        <v>21661.146000000001</v>
      </c>
      <c r="C60">
        <v>174729.9957</v>
      </c>
      <c r="D60">
        <v>57.79</v>
      </c>
      <c r="E60">
        <v>11.87</v>
      </c>
      <c r="F60">
        <v>62.144634000000003</v>
      </c>
      <c r="G60">
        <v>75</v>
      </c>
      <c r="H60">
        <v>100</v>
      </c>
      <c r="I60">
        <v>3.2903612</v>
      </c>
      <c r="J60">
        <v>3.1995038619999998</v>
      </c>
      <c r="K60">
        <v>3661.4562040000001</v>
      </c>
      <c r="L60" s="4">
        <v>36.781686617143286</v>
      </c>
    </row>
    <row r="61" spans="1:12">
      <c r="A61" t="s">
        <v>188</v>
      </c>
      <c r="B61">
        <v>134878.39000000001</v>
      </c>
      <c r="C61">
        <v>188860.0006</v>
      </c>
      <c r="D61">
        <v>125.85</v>
      </c>
      <c r="E61">
        <v>3.8</v>
      </c>
      <c r="F61">
        <v>2.930968</v>
      </c>
      <c r="G61">
        <v>118</v>
      </c>
      <c r="H61">
        <v>100</v>
      </c>
      <c r="I61">
        <v>0.79182534999999998</v>
      </c>
      <c r="J61">
        <v>3.4115386860000001</v>
      </c>
      <c r="K61">
        <v>42701.443050000002</v>
      </c>
      <c r="L61" s="4">
        <v>-157.25158809757821</v>
      </c>
    </row>
    <row r="62" spans="1:12">
      <c r="A62" t="s">
        <v>189</v>
      </c>
      <c r="B62">
        <v>32893.760000000002</v>
      </c>
      <c r="C62">
        <v>348920.0134</v>
      </c>
      <c r="D62">
        <v>144.99</v>
      </c>
      <c r="E62">
        <v>120.48</v>
      </c>
      <c r="F62">
        <v>54.923054</v>
      </c>
      <c r="G62">
        <v>281</v>
      </c>
      <c r="H62">
        <v>100</v>
      </c>
      <c r="I62">
        <v>16.241540000000001</v>
      </c>
      <c r="J62">
        <v>1.671944197</v>
      </c>
      <c r="K62">
        <v>43070.498359999998</v>
      </c>
      <c r="L62" s="4">
        <v>36.535601100354782</v>
      </c>
    </row>
    <row r="63" spans="1:12">
      <c r="A63" t="s">
        <v>190</v>
      </c>
      <c r="B63">
        <v>79489.016000000003</v>
      </c>
      <c r="C63">
        <v>4817720.2149999999</v>
      </c>
      <c r="D63">
        <v>2588.21</v>
      </c>
      <c r="E63">
        <v>760.76</v>
      </c>
      <c r="F63">
        <v>37.759180000000001</v>
      </c>
      <c r="G63">
        <v>36</v>
      </c>
      <c r="H63">
        <v>100</v>
      </c>
      <c r="I63">
        <v>9.3152629999999998</v>
      </c>
      <c r="J63">
        <v>2.1611765150000002</v>
      </c>
      <c r="K63">
        <v>65279.529029999998</v>
      </c>
      <c r="L63" s="4">
        <v>-0.89871636880805517</v>
      </c>
    </row>
    <row r="64" spans="1:12">
      <c r="A64" t="s">
        <v>192</v>
      </c>
      <c r="B64">
        <v>16212.221</v>
      </c>
      <c r="C64">
        <v>116709.9991</v>
      </c>
      <c r="D64">
        <v>53.64</v>
      </c>
      <c r="E64">
        <v>6.47</v>
      </c>
      <c r="F64">
        <v>10.7636</v>
      </c>
      <c r="G64">
        <v>79</v>
      </c>
      <c r="H64">
        <v>100</v>
      </c>
      <c r="I64">
        <v>3.1970326999999998</v>
      </c>
      <c r="J64">
        <v>5.7096322219999998</v>
      </c>
      <c r="K64">
        <v>1784.009816</v>
      </c>
      <c r="L64" s="4">
        <v>-19.679856666711824</v>
      </c>
    </row>
  </sheetData>
  <conditionalFormatting sqref="A1:K1044990">
    <cfRule type="cellIs" dxfId="5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D20C-F630-405D-98F4-52ED28CDBE13}">
  <dimension ref="A1:B64"/>
  <sheetViews>
    <sheetView workbookViewId="0">
      <selection activeCell="F22" sqref="F22"/>
    </sheetView>
  </sheetViews>
  <sheetFormatPr defaultRowHeight="15"/>
  <cols>
    <col min="1" max="1" width="34.42578125" bestFit="1" customWidth="1"/>
    <col min="2" max="2" width="17.28515625" bestFit="1" customWidth="1"/>
  </cols>
  <sheetData>
    <row r="1" spans="1:2">
      <c r="A1" s="2" t="s">
        <v>13</v>
      </c>
      <c r="B1" s="2" t="s">
        <v>257</v>
      </c>
    </row>
    <row r="2" spans="1:2">
      <c r="A2" s="7">
        <v>386529.9988</v>
      </c>
      <c r="B2" s="6" t="s">
        <v>261</v>
      </c>
    </row>
    <row r="3" spans="1:2">
      <c r="A3" s="7">
        <v>580210.022</v>
      </c>
      <c r="B3" s="6" t="s">
        <v>261</v>
      </c>
    </row>
    <row r="4" spans="1:2">
      <c r="A4" s="7">
        <v>212110.0006</v>
      </c>
      <c r="B4" s="6" t="s">
        <v>261</v>
      </c>
    </row>
    <row r="5" spans="1:2">
      <c r="A5" s="7">
        <v>35950.000760000003</v>
      </c>
      <c r="B5" s="6" t="s">
        <v>261</v>
      </c>
    </row>
    <row r="6" spans="1:2">
      <c r="A6" s="7">
        <v>76029.998779999994</v>
      </c>
      <c r="B6" s="6" t="s">
        <v>261</v>
      </c>
    </row>
    <row r="7" spans="1:2">
      <c r="A7" s="7">
        <v>523780.02929999999</v>
      </c>
      <c r="B7" s="6" t="s">
        <v>261</v>
      </c>
    </row>
    <row r="8" spans="1:2">
      <c r="A8" s="7">
        <v>168100.0061</v>
      </c>
      <c r="B8" s="6" t="s">
        <v>261</v>
      </c>
    </row>
    <row r="9" spans="1:2">
      <c r="A9" s="7">
        <v>171250</v>
      </c>
      <c r="B9" s="6" t="s">
        <v>261</v>
      </c>
    </row>
    <row r="10" spans="1:2">
      <c r="A10" s="7">
        <v>40709.999080000001</v>
      </c>
      <c r="B10" s="6" t="s">
        <v>261</v>
      </c>
    </row>
    <row r="11" spans="1:2">
      <c r="A11" s="7">
        <v>34009.998319999999</v>
      </c>
      <c r="B11" s="6" t="s">
        <v>261</v>
      </c>
    </row>
    <row r="12" spans="1:2">
      <c r="A12" s="7">
        <v>434299.9878</v>
      </c>
      <c r="B12" s="6" t="s">
        <v>261</v>
      </c>
    </row>
    <row r="13" spans="1:2">
      <c r="A13" s="7">
        <v>35000</v>
      </c>
      <c r="B13" s="6" t="s">
        <v>261</v>
      </c>
    </row>
    <row r="14" spans="1:2">
      <c r="A14" s="7">
        <v>91370.00275</v>
      </c>
      <c r="B14" s="6" t="s">
        <v>261</v>
      </c>
    </row>
    <row r="15" spans="1:2">
      <c r="A15" s="7">
        <v>56750</v>
      </c>
      <c r="B15" s="6" t="s">
        <v>261</v>
      </c>
    </row>
    <row r="16" spans="1:2">
      <c r="A16" s="7">
        <v>7570.000172</v>
      </c>
      <c r="B16" s="6" t="s">
        <v>261</v>
      </c>
    </row>
    <row r="17" spans="1:2">
      <c r="A17" s="7">
        <v>10180.000309999999</v>
      </c>
      <c r="B17" s="6" t="s">
        <v>261</v>
      </c>
    </row>
    <row r="18" spans="1:2">
      <c r="A18" s="7">
        <v>4817720.2149999999</v>
      </c>
      <c r="B18" s="6" t="s">
        <v>262</v>
      </c>
    </row>
    <row r="19" spans="1:2">
      <c r="A19" s="7">
        <v>11729.999540000001</v>
      </c>
      <c r="B19" s="6" t="s">
        <v>262</v>
      </c>
    </row>
    <row r="20" spans="1:2">
      <c r="A20" s="7">
        <v>81040.000920000006</v>
      </c>
      <c r="B20" s="6" t="s">
        <v>262</v>
      </c>
    </row>
    <row r="21" spans="1:2">
      <c r="A21" s="7">
        <v>57669.998169999999</v>
      </c>
      <c r="B21" s="6" t="s">
        <v>262</v>
      </c>
    </row>
    <row r="22" spans="1:2">
      <c r="A22" s="7">
        <v>439640.01459999999</v>
      </c>
      <c r="B22" s="6" t="s">
        <v>262</v>
      </c>
    </row>
    <row r="23" spans="1:2">
      <c r="A23" s="7">
        <v>39139.999389999997</v>
      </c>
      <c r="B23" s="6" t="s">
        <v>262</v>
      </c>
    </row>
    <row r="24" spans="1:2">
      <c r="A24" s="7">
        <v>449269.989</v>
      </c>
      <c r="B24" s="6" t="s">
        <v>262</v>
      </c>
    </row>
    <row r="25" spans="1:2">
      <c r="A25" s="7">
        <v>39290.000919999999</v>
      </c>
      <c r="B25" s="6" t="s">
        <v>262</v>
      </c>
    </row>
    <row r="26" spans="1:2">
      <c r="A26" s="7">
        <v>16520.000459999999</v>
      </c>
      <c r="B26" s="6" t="s">
        <v>262</v>
      </c>
    </row>
    <row r="27" spans="1:2">
      <c r="A27" s="7">
        <v>35750</v>
      </c>
      <c r="B27" s="6" t="s">
        <v>262</v>
      </c>
    </row>
    <row r="28" spans="1:2">
      <c r="A28" s="7">
        <v>174729.9957</v>
      </c>
      <c r="B28" s="6" t="s">
        <v>262</v>
      </c>
    </row>
    <row r="29" spans="1:2">
      <c r="A29" s="7">
        <v>116709.9991</v>
      </c>
      <c r="B29" s="6" t="s">
        <v>262</v>
      </c>
    </row>
    <row r="30" spans="1:2">
      <c r="A30" s="7">
        <v>60000</v>
      </c>
      <c r="B30" s="6" t="s">
        <v>262</v>
      </c>
    </row>
    <row r="31" spans="1:2">
      <c r="A31" s="7">
        <v>71480.003360000002</v>
      </c>
      <c r="B31" s="6" t="s">
        <v>262</v>
      </c>
    </row>
    <row r="32" spans="1:2">
      <c r="A32" s="7">
        <v>8300.0001909999992</v>
      </c>
      <c r="B32" s="6" t="s">
        <v>262</v>
      </c>
    </row>
    <row r="33" spans="1:2">
      <c r="A33" s="7">
        <v>174559.9976</v>
      </c>
      <c r="B33" s="6" t="s">
        <v>262</v>
      </c>
    </row>
    <row r="34" spans="1:2">
      <c r="A34" s="7">
        <v>239979.9957</v>
      </c>
      <c r="B34" s="6" t="s">
        <v>263</v>
      </c>
    </row>
    <row r="35" spans="1:2">
      <c r="A35" s="7">
        <v>253270.0043</v>
      </c>
      <c r="B35" s="6" t="s">
        <v>263</v>
      </c>
    </row>
    <row r="36" spans="1:2">
      <c r="A36" s="7">
        <v>13600.000379999999</v>
      </c>
      <c r="B36" s="6" t="s">
        <v>263</v>
      </c>
    </row>
    <row r="37" spans="1:2">
      <c r="A37" s="7">
        <v>46380.001069999998</v>
      </c>
      <c r="B37" s="6" t="s">
        <v>263</v>
      </c>
    </row>
    <row r="38" spans="1:2">
      <c r="A38" s="7">
        <v>64769.996639999998</v>
      </c>
      <c r="B38" s="6" t="s">
        <v>263</v>
      </c>
    </row>
    <row r="39" spans="1:2">
      <c r="A39" s="7">
        <v>44639.999389999997</v>
      </c>
      <c r="B39" s="6" t="s">
        <v>263</v>
      </c>
    </row>
    <row r="40" spans="1:2">
      <c r="A40" s="7">
        <v>188860.0006</v>
      </c>
      <c r="B40" s="6" t="s">
        <v>263</v>
      </c>
    </row>
    <row r="41" spans="1:2">
      <c r="A41" s="7">
        <v>300519.989</v>
      </c>
      <c r="B41" s="6" t="s">
        <v>263</v>
      </c>
    </row>
    <row r="42" spans="1:2">
      <c r="A42" s="7">
        <v>35509.998319999999</v>
      </c>
      <c r="B42" s="6" t="s">
        <v>263</v>
      </c>
    </row>
    <row r="43" spans="1:2">
      <c r="A43" s="7">
        <v>295130.0049</v>
      </c>
      <c r="B43" s="6" t="s">
        <v>263</v>
      </c>
    </row>
    <row r="44" spans="1:2">
      <c r="A44" s="7">
        <v>29700.000759999999</v>
      </c>
      <c r="B44" s="6" t="s">
        <v>263</v>
      </c>
    </row>
    <row r="45" spans="1:2">
      <c r="A45" s="7">
        <v>267089.9963</v>
      </c>
      <c r="B45" s="6" t="s">
        <v>263</v>
      </c>
    </row>
    <row r="46" spans="1:2">
      <c r="A46" s="7">
        <v>619840.02690000006</v>
      </c>
      <c r="B46" s="6" t="s">
        <v>263</v>
      </c>
    </row>
    <row r="47" spans="1:2">
      <c r="A47" s="7">
        <v>10707219.73</v>
      </c>
      <c r="B47" s="6" t="s">
        <v>263</v>
      </c>
    </row>
    <row r="48" spans="1:2">
      <c r="A48" s="7">
        <v>317239.9902</v>
      </c>
      <c r="B48" s="6" t="s">
        <v>263</v>
      </c>
    </row>
    <row r="49" spans="1:2">
      <c r="A49" s="7">
        <v>37380.001069999998</v>
      </c>
      <c r="B49" s="6" t="s">
        <v>264</v>
      </c>
    </row>
    <row r="50" spans="1:2">
      <c r="A50" s="7">
        <v>657400.02439999999</v>
      </c>
      <c r="B50" s="6" t="s">
        <v>264</v>
      </c>
    </row>
    <row r="51" spans="1:2">
      <c r="A51" s="7">
        <v>92650.001529999994</v>
      </c>
      <c r="B51" s="6" t="s">
        <v>264</v>
      </c>
    </row>
    <row r="52" spans="1:2">
      <c r="A52" s="7">
        <v>9489.9997710000007</v>
      </c>
      <c r="B52" s="6" t="s">
        <v>264</v>
      </c>
    </row>
    <row r="53" spans="1:2">
      <c r="A53" s="7">
        <v>91970.001220000006</v>
      </c>
      <c r="B53" s="6" t="s">
        <v>264</v>
      </c>
    </row>
    <row r="54" spans="1:2">
      <c r="A54" s="7">
        <v>17190.000530000001</v>
      </c>
      <c r="B54" s="6" t="s">
        <v>264</v>
      </c>
    </row>
    <row r="55" spans="1:2">
      <c r="A55" s="7">
        <v>348920.0134</v>
      </c>
      <c r="B55" s="6" t="s">
        <v>264</v>
      </c>
    </row>
    <row r="56" spans="1:2">
      <c r="A56" s="7">
        <v>190570.0073</v>
      </c>
      <c r="B56" s="6" t="s">
        <v>264</v>
      </c>
    </row>
    <row r="57" spans="1:2">
      <c r="A57" s="7">
        <v>1081569.946</v>
      </c>
      <c r="B57" s="6" t="s">
        <v>264</v>
      </c>
    </row>
    <row r="58" spans="1:2">
      <c r="A58" s="7">
        <v>145419.9982</v>
      </c>
      <c r="B58" s="6" t="s">
        <v>264</v>
      </c>
    </row>
    <row r="59" spans="1:2">
      <c r="A59" s="7">
        <v>93010.002139999997</v>
      </c>
      <c r="B59" s="6" t="s">
        <v>264</v>
      </c>
    </row>
    <row r="60" spans="1:2">
      <c r="A60" s="7">
        <v>62650.001530000001</v>
      </c>
      <c r="B60" s="6" t="s">
        <v>264</v>
      </c>
    </row>
    <row r="61" spans="1:2">
      <c r="A61" s="7">
        <v>2456300.0490000001</v>
      </c>
      <c r="B61" s="6" t="s">
        <v>264</v>
      </c>
    </row>
    <row r="62" spans="1:2">
      <c r="A62" s="7">
        <v>146339.9963</v>
      </c>
      <c r="B62" s="6" t="s">
        <v>264</v>
      </c>
    </row>
    <row r="63" spans="1:2">
      <c r="A63" s="7">
        <v>90739.997860000003</v>
      </c>
      <c r="B63" s="6" t="s">
        <v>264</v>
      </c>
    </row>
    <row r="64" spans="1:2">
      <c r="A64" s="7">
        <v>47380.001069999998</v>
      </c>
      <c r="B64" s="6" t="s">
        <v>264</v>
      </c>
    </row>
  </sheetData>
  <phoneticPr fontId="3" type="noConversion"/>
  <conditionalFormatting sqref="B1:B1044990">
    <cfRule type="cellIs" dxfId="4" priority="2" operator="equal">
      <formula>0</formula>
    </cfRule>
  </conditionalFormatting>
  <conditionalFormatting sqref="A1:B1044990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D311-1045-48E0-B7F9-9A895821F1BE}">
  <dimension ref="A1:G16"/>
  <sheetViews>
    <sheetView workbookViewId="0">
      <selection activeCell="E18" sqref="E18"/>
    </sheetView>
  </sheetViews>
  <sheetFormatPr defaultRowHeight="15"/>
  <cols>
    <col min="1" max="1" width="38.7109375" bestFit="1" customWidth="1"/>
    <col min="2" max="6" width="12" bestFit="1" customWidth="1"/>
    <col min="7" max="7" width="15.28515625" bestFit="1" customWidth="1"/>
  </cols>
  <sheetData>
    <row r="1" spans="1:7">
      <c r="A1" t="s">
        <v>265</v>
      </c>
    </row>
    <row r="3" spans="1:7" ht="15.75" thickBot="1">
      <c r="A3" t="s">
        <v>266</v>
      </c>
    </row>
    <row r="4" spans="1:7">
      <c r="A4" s="11" t="s">
        <v>267</v>
      </c>
      <c r="B4" s="11" t="s">
        <v>268</v>
      </c>
      <c r="C4" s="11" t="s">
        <v>269</v>
      </c>
      <c r="D4" s="11" t="s">
        <v>270</v>
      </c>
      <c r="E4" s="11" t="s">
        <v>271</v>
      </c>
    </row>
    <row r="5" spans="1:7">
      <c r="A5" s="9" t="s">
        <v>261</v>
      </c>
      <c r="B5" s="9">
        <v>16</v>
      </c>
      <c r="C5" s="9">
        <v>2863850.0447719996</v>
      </c>
      <c r="D5" s="9">
        <v>178990.62779824997</v>
      </c>
      <c r="E5" s="9">
        <v>37455036137.408318</v>
      </c>
    </row>
    <row r="6" spans="1:7">
      <c r="A6" s="9" t="s">
        <v>262</v>
      </c>
      <c r="B6" s="9">
        <v>16</v>
      </c>
      <c r="C6" s="9">
        <v>6593550.2139509991</v>
      </c>
      <c r="D6" s="9">
        <v>412096.88837193744</v>
      </c>
      <c r="E6" s="9">
        <v>1399095479858.6484</v>
      </c>
    </row>
    <row r="7" spans="1:7">
      <c r="A7" s="9" t="s">
        <v>263</v>
      </c>
      <c r="B7" s="9">
        <v>15</v>
      </c>
      <c r="C7" s="9">
        <v>13423749.73446</v>
      </c>
      <c r="D7" s="9">
        <v>894916.64896400005</v>
      </c>
      <c r="E7" s="9">
        <v>7395220166244.8174</v>
      </c>
    </row>
    <row r="8" spans="1:7" ht="15.75" thickBot="1">
      <c r="A8" s="10" t="s">
        <v>264</v>
      </c>
      <c r="B8" s="10">
        <v>16</v>
      </c>
      <c r="C8" s="10">
        <v>5568980.0413210001</v>
      </c>
      <c r="D8" s="10">
        <v>348061.25258256251</v>
      </c>
      <c r="E8" s="10">
        <v>395969093028.73608</v>
      </c>
    </row>
    <row r="11" spans="1:7" ht="15.75" thickBot="1">
      <c r="A11" t="s">
        <v>272</v>
      </c>
    </row>
    <row r="12" spans="1:7">
      <c r="A12" s="11" t="s">
        <v>273</v>
      </c>
      <c r="B12" s="11" t="s">
        <v>274</v>
      </c>
      <c r="C12" s="11" t="s">
        <v>275</v>
      </c>
      <c r="D12" s="11" t="s">
        <v>276</v>
      </c>
      <c r="E12" s="11" t="s">
        <v>277</v>
      </c>
      <c r="F12" s="11" t="s">
        <v>278</v>
      </c>
      <c r="G12" s="11" t="s">
        <v>279</v>
      </c>
    </row>
    <row r="13" spans="1:7">
      <c r="A13" s="9" t="s">
        <v>280</v>
      </c>
      <c r="B13" s="9">
        <v>4333490967322.2813</v>
      </c>
      <c r="C13" s="9">
        <v>3</v>
      </c>
      <c r="D13" s="9">
        <v>1444496989107.427</v>
      </c>
      <c r="E13" s="9">
        <v>0.65047131921405044</v>
      </c>
      <c r="F13" s="9">
        <v>0.58580661523533117</v>
      </c>
      <c r="G13" s="9">
        <v>2.7607670404677545</v>
      </c>
    </row>
    <row r="14" spans="1:7">
      <c r="A14" s="9" t="s">
        <v>281</v>
      </c>
      <c r="B14" s="9">
        <v>131020876462799.3</v>
      </c>
      <c r="C14" s="9">
        <v>59</v>
      </c>
      <c r="D14" s="9">
        <v>2220692821403.3779</v>
      </c>
      <c r="E14" s="9"/>
      <c r="F14" s="9"/>
      <c r="G14" s="9"/>
    </row>
    <row r="15" spans="1:7">
      <c r="A15" s="9"/>
      <c r="B15" s="9"/>
      <c r="C15" s="9"/>
      <c r="D15" s="9"/>
      <c r="E15" s="9"/>
      <c r="F15" s="9"/>
      <c r="G15" s="9"/>
    </row>
    <row r="16" spans="1:7" ht="15.75" thickBot="1">
      <c r="A16" s="10" t="s">
        <v>282</v>
      </c>
      <c r="B16" s="10">
        <v>135354367430121.58</v>
      </c>
      <c r="C16" s="10">
        <v>62</v>
      </c>
      <c r="D16" s="10"/>
      <c r="E16" s="10"/>
      <c r="F16" s="10"/>
      <c r="G16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BF3B-CB3A-4558-9935-7FF9957AA699}">
  <dimension ref="A1:D17"/>
  <sheetViews>
    <sheetView tabSelected="1" workbookViewId="0">
      <selection activeCell="H15" sqref="H14:H15"/>
    </sheetView>
  </sheetViews>
  <sheetFormatPr defaultRowHeight="15"/>
  <cols>
    <col min="1" max="1" width="9.5703125" bestFit="1" customWidth="1"/>
    <col min="2" max="2" width="10.5703125" bestFit="1" customWidth="1"/>
    <col min="3" max="3" width="11.5703125" bestFit="1" customWidth="1"/>
    <col min="4" max="4" width="10.5703125" bestFit="1" customWidth="1"/>
  </cols>
  <sheetData>
    <row r="1" spans="1:4">
      <c r="A1" s="8" t="s">
        <v>261</v>
      </c>
      <c r="B1" s="8" t="s">
        <v>262</v>
      </c>
      <c r="C1" s="8" t="s">
        <v>263</v>
      </c>
      <c r="D1" s="8" t="s">
        <v>264</v>
      </c>
    </row>
    <row r="2" spans="1:4">
      <c r="A2" s="7">
        <v>386529.9988</v>
      </c>
      <c r="B2" s="7">
        <v>4817720.2149999999</v>
      </c>
      <c r="C2" s="7">
        <v>239979.9957</v>
      </c>
      <c r="D2" s="7">
        <v>37380.001069999998</v>
      </c>
    </row>
    <row r="3" spans="1:4">
      <c r="A3" s="7">
        <v>580210.022</v>
      </c>
      <c r="B3" s="7">
        <v>11729.999540000001</v>
      </c>
      <c r="C3" s="7">
        <v>253270.0043</v>
      </c>
      <c r="D3" s="7">
        <v>657400.02439999999</v>
      </c>
    </row>
    <row r="4" spans="1:4">
      <c r="A4" s="7">
        <v>212110.0006</v>
      </c>
      <c r="B4" s="7">
        <v>81040.000920000006</v>
      </c>
      <c r="C4" s="7">
        <v>13600.000379999999</v>
      </c>
      <c r="D4" s="7">
        <v>92650.001529999994</v>
      </c>
    </row>
    <row r="5" spans="1:4">
      <c r="A5" s="7">
        <v>35950.000760000003</v>
      </c>
      <c r="B5" s="7">
        <v>57669.998169999999</v>
      </c>
      <c r="C5" s="7">
        <v>46380.001069999998</v>
      </c>
      <c r="D5" s="7">
        <v>9489.9997710000007</v>
      </c>
    </row>
    <row r="6" spans="1:4">
      <c r="A6" s="7">
        <v>76029.998779999994</v>
      </c>
      <c r="B6" s="7">
        <v>439640.01459999999</v>
      </c>
      <c r="C6" s="7">
        <v>64769.996639999998</v>
      </c>
      <c r="D6" s="7">
        <v>91970.001220000006</v>
      </c>
    </row>
    <row r="7" spans="1:4">
      <c r="A7" s="7">
        <v>523780.02929999999</v>
      </c>
      <c r="B7" s="7">
        <v>39139.999389999997</v>
      </c>
      <c r="C7" s="7">
        <v>44639.999389999997</v>
      </c>
      <c r="D7" s="7">
        <v>17190.000530000001</v>
      </c>
    </row>
    <row r="8" spans="1:4">
      <c r="A8" s="7">
        <v>168100.0061</v>
      </c>
      <c r="B8" s="7">
        <v>449269.989</v>
      </c>
      <c r="C8" s="7">
        <v>188860.0006</v>
      </c>
      <c r="D8" s="7">
        <v>348920.0134</v>
      </c>
    </row>
    <row r="9" spans="1:4">
      <c r="A9" s="7">
        <v>171250</v>
      </c>
      <c r="B9" s="7">
        <v>39290.000919999999</v>
      </c>
      <c r="C9" s="7">
        <v>300519.989</v>
      </c>
      <c r="D9" s="7">
        <v>190570.0073</v>
      </c>
    </row>
    <row r="10" spans="1:4">
      <c r="A10" s="7">
        <v>40709.999080000001</v>
      </c>
      <c r="B10" s="7">
        <v>16520.000459999999</v>
      </c>
      <c r="C10" s="7">
        <v>35509.998319999999</v>
      </c>
      <c r="D10" s="7">
        <v>1081569.946</v>
      </c>
    </row>
    <row r="11" spans="1:4">
      <c r="A11" s="7">
        <v>34009.998319999999</v>
      </c>
      <c r="B11" s="7">
        <v>35750</v>
      </c>
      <c r="C11" s="7">
        <v>295130.0049</v>
      </c>
      <c r="D11" s="7">
        <v>145419.9982</v>
      </c>
    </row>
    <row r="12" spans="1:4">
      <c r="A12" s="7">
        <v>434299.9878</v>
      </c>
      <c r="B12" s="7">
        <v>174729.9957</v>
      </c>
      <c r="C12" s="7">
        <v>29700.000759999999</v>
      </c>
      <c r="D12" s="7">
        <v>93010.002139999997</v>
      </c>
    </row>
    <row r="13" spans="1:4">
      <c r="A13" s="7">
        <v>35000</v>
      </c>
      <c r="B13" s="7">
        <v>116709.9991</v>
      </c>
      <c r="C13" s="7">
        <v>267089.9963</v>
      </c>
      <c r="D13" s="7">
        <v>62650.001530000001</v>
      </c>
    </row>
    <row r="14" spans="1:4">
      <c r="A14" s="7">
        <v>91370.00275</v>
      </c>
      <c r="B14" s="7">
        <v>60000</v>
      </c>
      <c r="C14" s="7">
        <v>619840.02690000006</v>
      </c>
      <c r="D14" s="7">
        <v>2456300.0490000001</v>
      </c>
    </row>
    <row r="15" spans="1:4">
      <c r="A15" s="7">
        <v>56750</v>
      </c>
      <c r="B15" s="7">
        <v>71480.003360000002</v>
      </c>
      <c r="C15" s="7">
        <v>10707219.73</v>
      </c>
      <c r="D15" s="7">
        <v>146339.9963</v>
      </c>
    </row>
    <row r="16" spans="1:4">
      <c r="A16" s="7">
        <v>7570.000172</v>
      </c>
      <c r="B16" s="7">
        <v>8300.0001909999992</v>
      </c>
      <c r="C16" s="7">
        <v>317239.9902</v>
      </c>
      <c r="D16" s="7">
        <v>90739.997860000003</v>
      </c>
    </row>
    <row r="17" spans="1:4">
      <c r="A17" s="7">
        <v>10180.000309999999</v>
      </c>
      <c r="B17" s="7">
        <v>174559.9976</v>
      </c>
      <c r="D17" s="7">
        <v>47380.001069999998</v>
      </c>
    </row>
  </sheetData>
  <conditionalFormatting sqref="A1:B17 C1:C16 D1:D17">
    <cfRule type="cellIs" dxfId="2" priority="4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CAE9-AA4E-4111-90C8-0C4F751395EE}">
  <dimension ref="A1:V3650"/>
  <sheetViews>
    <sheetView topLeftCell="A1373" zoomScale="70" zoomScaleNormal="70" workbookViewId="0">
      <selection activeCell="A1324" sqref="A1324"/>
    </sheetView>
  </sheetViews>
  <sheetFormatPr defaultRowHeight="15"/>
  <cols>
    <col min="1" max="1" width="17.5703125" customWidth="1"/>
    <col min="3" max="3" width="51" customWidth="1"/>
    <col min="4" max="4" width="34.42578125" customWidth="1"/>
    <col min="5" max="5" width="32.140625" customWidth="1"/>
    <col min="6" max="6" width="28.42578125" hidden="1" customWidth="1"/>
    <col min="7" max="7" width="32.42578125" customWidth="1"/>
    <col min="8" max="8" width="34.7109375" customWidth="1"/>
    <col min="9" max="9" width="51.5703125" hidden="1" customWidth="1"/>
    <col min="10" max="10" width="62" hidden="1" customWidth="1"/>
    <col min="11" max="11" width="17.140625" customWidth="1"/>
    <col min="12" max="12" width="35.7109375" customWidth="1"/>
    <col min="13" max="13" width="32.140625" hidden="1" customWidth="1"/>
    <col min="14" max="14" width="43.7109375" customWidth="1"/>
    <col min="15" max="15" width="43.42578125" hidden="1" customWidth="1"/>
    <col min="16" max="16" width="15.85546875" customWidth="1"/>
    <col min="17" max="17" width="19.42578125" customWidth="1"/>
    <col min="18" max="18" width="55.28515625" hidden="1" customWidth="1"/>
    <col min="19" max="19" width="15.28515625" customWidth="1"/>
    <col min="20" max="20" width="9.5703125" customWidth="1"/>
    <col min="21" max="21" width="10.85546875" customWidth="1"/>
    <col min="22" max="22" width="34.85546875" customWidth="1"/>
  </cols>
  <sheetData>
    <row r="1" spans="1:22" s="2" customFormat="1">
      <c r="A1" s="2" t="s">
        <v>0</v>
      </c>
      <c r="B1" s="2" t="s">
        <v>1</v>
      </c>
      <c r="C1" s="2" t="s">
        <v>11</v>
      </c>
      <c r="D1" s="2" t="s">
        <v>13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4</v>
      </c>
      <c r="J1" s="2" t="s">
        <v>6</v>
      </c>
      <c r="K1" s="2" t="s">
        <v>17</v>
      </c>
      <c r="L1" s="2" t="s">
        <v>2</v>
      </c>
      <c r="M1" s="2" t="s">
        <v>3</v>
      </c>
      <c r="N1" s="2" t="s">
        <v>14</v>
      </c>
      <c r="O1" s="2" t="s">
        <v>5</v>
      </c>
      <c r="P1" s="2" t="s">
        <v>15</v>
      </c>
      <c r="Q1" s="2" t="s">
        <v>16</v>
      </c>
      <c r="R1" s="2" t="s">
        <v>12</v>
      </c>
      <c r="S1" s="2" t="s">
        <v>18</v>
      </c>
      <c r="T1" s="2" t="s">
        <v>19</v>
      </c>
      <c r="U1" s="2" t="s">
        <v>20</v>
      </c>
      <c r="V1" s="2" t="s">
        <v>231</v>
      </c>
    </row>
    <row r="2" spans="1:22">
      <c r="A2" t="s">
        <v>21</v>
      </c>
      <c r="B2">
        <v>2000</v>
      </c>
      <c r="C2">
        <v>302.59482000000003</v>
      </c>
      <c r="D2">
        <v>760</v>
      </c>
      <c r="E2">
        <v>0.16</v>
      </c>
      <c r="F2">
        <v>0</v>
      </c>
      <c r="G2">
        <v>0.31</v>
      </c>
      <c r="H2">
        <v>65.957440000000005</v>
      </c>
      <c r="I2">
        <v>9.2200000000000006</v>
      </c>
      <c r="J2">
        <v>44.99</v>
      </c>
      <c r="K2">
        <v>60</v>
      </c>
      <c r="L2">
        <v>1.613591</v>
      </c>
      <c r="M2">
        <v>6.2</v>
      </c>
      <c r="O2">
        <v>20000</v>
      </c>
      <c r="R2">
        <v>1.64</v>
      </c>
      <c r="S2">
        <v>652230</v>
      </c>
      <c r="T2">
        <v>33.939109999999999</v>
      </c>
      <c r="U2">
        <v>67.709952999999999</v>
      </c>
    </row>
    <row r="3" spans="1:22">
      <c r="A3" t="s">
        <v>21</v>
      </c>
      <c r="B3">
        <v>2001</v>
      </c>
      <c r="C3">
        <v>236.89185000000001</v>
      </c>
      <c r="D3">
        <v>730</v>
      </c>
      <c r="E3">
        <v>0.09</v>
      </c>
      <c r="F3">
        <v>0</v>
      </c>
      <c r="G3">
        <v>0.5</v>
      </c>
      <c r="H3">
        <v>84.745766000000003</v>
      </c>
      <c r="I3">
        <v>8.86</v>
      </c>
      <c r="J3">
        <v>45.6</v>
      </c>
      <c r="K3">
        <v>60</v>
      </c>
      <c r="L3">
        <v>4.0745740000000001</v>
      </c>
      <c r="M3">
        <v>7.2</v>
      </c>
      <c r="O3">
        <v>130000</v>
      </c>
      <c r="R3">
        <v>1.74</v>
      </c>
      <c r="S3">
        <v>652230</v>
      </c>
      <c r="T3">
        <v>33.939109999999999</v>
      </c>
      <c r="U3">
        <v>67.709952999999999</v>
      </c>
    </row>
    <row r="4" spans="1:22">
      <c r="A4" t="s">
        <v>21</v>
      </c>
      <c r="B4">
        <v>2002</v>
      </c>
      <c r="C4">
        <v>210.86215000000001</v>
      </c>
      <c r="D4">
        <v>1029.999971</v>
      </c>
      <c r="E4">
        <v>0.13</v>
      </c>
      <c r="F4">
        <v>0</v>
      </c>
      <c r="G4">
        <v>0.56000000000000005</v>
      </c>
      <c r="H4">
        <v>81.159424000000001</v>
      </c>
      <c r="I4">
        <v>8.4700000000000006</v>
      </c>
      <c r="J4">
        <v>37.83</v>
      </c>
      <c r="K4">
        <v>60</v>
      </c>
      <c r="L4">
        <v>9.4091579999999997</v>
      </c>
      <c r="M4">
        <v>8.1999999999999993</v>
      </c>
      <c r="O4">
        <v>3950000</v>
      </c>
      <c r="Q4">
        <v>179.42657919999999</v>
      </c>
      <c r="R4">
        <v>1.4</v>
      </c>
      <c r="S4">
        <v>652230</v>
      </c>
      <c r="T4">
        <v>33.939109999999999</v>
      </c>
      <c r="U4">
        <v>67.709952999999999</v>
      </c>
    </row>
    <row r="5" spans="1:22">
      <c r="A5" t="s">
        <v>21</v>
      </c>
      <c r="B5">
        <v>2003</v>
      </c>
      <c r="C5">
        <v>229.96822</v>
      </c>
      <c r="D5">
        <v>1220.000029</v>
      </c>
      <c r="E5">
        <v>0.31</v>
      </c>
      <c r="F5">
        <v>0</v>
      </c>
      <c r="G5">
        <v>0.63</v>
      </c>
      <c r="H5">
        <v>67.021280000000004</v>
      </c>
      <c r="I5">
        <v>8.09</v>
      </c>
      <c r="J5">
        <v>36.659999999999997</v>
      </c>
      <c r="K5">
        <v>60</v>
      </c>
      <c r="L5">
        <v>14.738505999999999</v>
      </c>
      <c r="M5">
        <v>9.5</v>
      </c>
      <c r="O5">
        <v>25970000</v>
      </c>
      <c r="P5">
        <v>8.8322778129999993</v>
      </c>
      <c r="Q5">
        <v>190.68381429999999</v>
      </c>
      <c r="R5">
        <v>1.4</v>
      </c>
      <c r="S5">
        <v>652230</v>
      </c>
      <c r="T5">
        <v>33.939109999999999</v>
      </c>
      <c r="U5">
        <v>67.709952999999999</v>
      </c>
    </row>
    <row r="6" spans="1:22">
      <c r="A6" t="s">
        <v>21</v>
      </c>
      <c r="B6">
        <v>2004</v>
      </c>
      <c r="C6">
        <v>204.23124999999999</v>
      </c>
      <c r="D6">
        <v>1029.999971</v>
      </c>
      <c r="E6">
        <v>0.33</v>
      </c>
      <c r="F6">
        <v>0</v>
      </c>
      <c r="G6">
        <v>0.56000000000000005</v>
      </c>
      <c r="H6">
        <v>62.921349999999997</v>
      </c>
      <c r="I6">
        <v>7.75</v>
      </c>
      <c r="J6">
        <v>44.24</v>
      </c>
      <c r="K6">
        <v>60</v>
      </c>
      <c r="L6">
        <v>20.064968</v>
      </c>
      <c r="M6">
        <v>10.9</v>
      </c>
      <c r="P6">
        <v>1.414117981</v>
      </c>
      <c r="Q6">
        <v>211.38207420000001</v>
      </c>
      <c r="R6">
        <v>1.2</v>
      </c>
      <c r="S6">
        <v>652230</v>
      </c>
      <c r="T6">
        <v>33.939109999999999</v>
      </c>
      <c r="U6">
        <v>67.709952999999999</v>
      </c>
    </row>
    <row r="7" spans="1:22">
      <c r="A7" t="s">
        <v>21</v>
      </c>
      <c r="B7">
        <v>2005</v>
      </c>
      <c r="C7">
        <v>252.06912</v>
      </c>
      <c r="D7">
        <v>1549.9999519999999</v>
      </c>
      <c r="E7">
        <v>0.34</v>
      </c>
      <c r="F7">
        <v>0</v>
      </c>
      <c r="G7">
        <v>0.59</v>
      </c>
      <c r="H7">
        <v>63.440857000000001</v>
      </c>
      <c r="I7">
        <v>7.51</v>
      </c>
      <c r="J7">
        <v>33.880000000000003</v>
      </c>
      <c r="K7">
        <v>60</v>
      </c>
      <c r="L7">
        <v>25.390893999999999</v>
      </c>
      <c r="M7">
        <v>12.2</v>
      </c>
      <c r="O7">
        <v>9830000</v>
      </c>
      <c r="P7">
        <v>11.22971482</v>
      </c>
      <c r="Q7">
        <v>242.0313132</v>
      </c>
      <c r="R7">
        <v>1.41</v>
      </c>
      <c r="S7">
        <v>652230</v>
      </c>
      <c r="T7">
        <v>33.939109999999999</v>
      </c>
      <c r="U7">
        <v>67.709952999999999</v>
      </c>
    </row>
    <row r="8" spans="1:22">
      <c r="A8" t="s">
        <v>21</v>
      </c>
      <c r="B8">
        <v>2006</v>
      </c>
      <c r="C8">
        <v>304.42090000000002</v>
      </c>
      <c r="D8">
        <v>1759.99999</v>
      </c>
      <c r="E8">
        <v>0.2</v>
      </c>
      <c r="F8">
        <v>0</v>
      </c>
      <c r="G8">
        <v>0.64</v>
      </c>
      <c r="H8">
        <v>76.190475000000006</v>
      </c>
      <c r="I8">
        <v>7.4</v>
      </c>
      <c r="J8">
        <v>31.89</v>
      </c>
      <c r="K8">
        <v>60</v>
      </c>
      <c r="L8">
        <v>30.718689999999999</v>
      </c>
      <c r="M8">
        <v>13.85</v>
      </c>
      <c r="O8">
        <v>10620000</v>
      </c>
      <c r="P8">
        <v>5.357403251</v>
      </c>
      <c r="Q8">
        <v>263.7336019</v>
      </c>
      <c r="R8">
        <v>1.5</v>
      </c>
      <c r="S8">
        <v>652230</v>
      </c>
      <c r="T8">
        <v>33.939109999999999</v>
      </c>
      <c r="U8">
        <v>67.709952999999999</v>
      </c>
    </row>
    <row r="9" spans="1:22">
      <c r="A9" t="s">
        <v>21</v>
      </c>
      <c r="B9">
        <v>2007</v>
      </c>
      <c r="C9">
        <v>354.2799</v>
      </c>
      <c r="D9">
        <v>1769.9999809999999</v>
      </c>
      <c r="E9">
        <v>0.2</v>
      </c>
      <c r="F9">
        <v>0</v>
      </c>
      <c r="G9">
        <v>0.75</v>
      </c>
      <c r="H9">
        <v>78.947370000000006</v>
      </c>
      <c r="I9">
        <v>7.25</v>
      </c>
      <c r="J9">
        <v>28.78</v>
      </c>
      <c r="K9">
        <v>60</v>
      </c>
      <c r="L9">
        <v>36.051009999999998</v>
      </c>
      <c r="M9">
        <v>15.3</v>
      </c>
      <c r="O9">
        <v>15750000</v>
      </c>
      <c r="P9">
        <v>13.826319549999999</v>
      </c>
      <c r="Q9">
        <v>359.69315790000002</v>
      </c>
      <c r="R9">
        <v>1.53</v>
      </c>
      <c r="S9">
        <v>652230</v>
      </c>
      <c r="T9">
        <v>33.939109999999999</v>
      </c>
      <c r="U9">
        <v>67.709952999999999</v>
      </c>
    </row>
    <row r="10" spans="1:22">
      <c r="A10" t="s">
        <v>21</v>
      </c>
      <c r="B10">
        <v>2008</v>
      </c>
      <c r="C10">
        <v>607.83349999999996</v>
      </c>
      <c r="D10">
        <v>3559.9999429999998</v>
      </c>
      <c r="E10">
        <v>0.19</v>
      </c>
      <c r="F10">
        <v>0</v>
      </c>
      <c r="G10">
        <v>0.54</v>
      </c>
      <c r="H10">
        <v>73.9726</v>
      </c>
      <c r="I10">
        <v>7.49</v>
      </c>
      <c r="J10">
        <v>21.17</v>
      </c>
      <c r="K10">
        <v>60</v>
      </c>
      <c r="L10">
        <v>42.4</v>
      </c>
      <c r="M10">
        <v>16.7</v>
      </c>
      <c r="O10">
        <v>16170000</v>
      </c>
      <c r="P10">
        <v>3.9249838220000002</v>
      </c>
      <c r="Q10">
        <v>364.66354200000001</v>
      </c>
      <c r="R10">
        <v>1.94</v>
      </c>
      <c r="S10">
        <v>652230</v>
      </c>
      <c r="T10">
        <v>33.939109999999999</v>
      </c>
      <c r="U10">
        <v>67.709952999999999</v>
      </c>
    </row>
    <row r="11" spans="1:22">
      <c r="A11" t="s">
        <v>21</v>
      </c>
      <c r="B11">
        <v>2009</v>
      </c>
      <c r="C11">
        <v>975.04816000000005</v>
      </c>
      <c r="D11">
        <v>4880.0001140000004</v>
      </c>
      <c r="E11">
        <v>0.16</v>
      </c>
      <c r="F11">
        <v>0</v>
      </c>
      <c r="G11">
        <v>0.78</v>
      </c>
      <c r="H11">
        <v>82.978719999999996</v>
      </c>
      <c r="I11">
        <v>7.5</v>
      </c>
      <c r="J11">
        <v>16.53</v>
      </c>
      <c r="K11">
        <v>60</v>
      </c>
      <c r="L11">
        <v>46.740049999999997</v>
      </c>
      <c r="M11">
        <v>18.399999999999999</v>
      </c>
      <c r="O11">
        <v>9960000</v>
      </c>
      <c r="P11">
        <v>21.39052839</v>
      </c>
      <c r="Q11">
        <v>437.26874020000002</v>
      </c>
      <c r="R11">
        <v>2.25</v>
      </c>
      <c r="S11">
        <v>652230</v>
      </c>
      <c r="T11">
        <v>33.939109999999999</v>
      </c>
      <c r="U11">
        <v>67.709952999999999</v>
      </c>
    </row>
    <row r="12" spans="1:22">
      <c r="A12" t="s">
        <v>21</v>
      </c>
      <c r="B12">
        <v>2010</v>
      </c>
      <c r="C12">
        <v>1182.8920000000001</v>
      </c>
      <c r="D12">
        <v>7110.0001339999999</v>
      </c>
      <c r="E12">
        <v>0.19</v>
      </c>
      <c r="F12">
        <v>0</v>
      </c>
      <c r="G12">
        <v>0.75</v>
      </c>
      <c r="H12">
        <v>79.787229999999994</v>
      </c>
      <c r="I12">
        <v>8.27</v>
      </c>
      <c r="J12">
        <v>15.15</v>
      </c>
      <c r="K12">
        <v>60</v>
      </c>
      <c r="L12">
        <v>42.7</v>
      </c>
      <c r="M12">
        <v>20</v>
      </c>
      <c r="O12">
        <v>36500000</v>
      </c>
      <c r="P12">
        <v>14.36244147</v>
      </c>
      <c r="Q12">
        <v>543.30652620000001</v>
      </c>
      <c r="R12">
        <v>2.46</v>
      </c>
      <c r="S12">
        <v>652230</v>
      </c>
      <c r="T12">
        <v>33.939109999999999</v>
      </c>
      <c r="U12">
        <v>67.709952999999999</v>
      </c>
    </row>
    <row r="13" spans="1:22">
      <c r="A13" t="s">
        <v>21</v>
      </c>
      <c r="B13">
        <v>2011</v>
      </c>
      <c r="C13">
        <v>1436.1143</v>
      </c>
      <c r="D13">
        <v>8930.0003049999996</v>
      </c>
      <c r="E13">
        <v>0.18</v>
      </c>
      <c r="F13">
        <v>0</v>
      </c>
      <c r="G13">
        <v>0.6</v>
      </c>
      <c r="H13">
        <v>76.923090000000002</v>
      </c>
      <c r="I13">
        <v>8.1300000000000008</v>
      </c>
      <c r="J13">
        <v>12.61</v>
      </c>
      <c r="K13">
        <v>60</v>
      </c>
      <c r="L13">
        <v>43.222020000000001</v>
      </c>
      <c r="M13">
        <v>21.8</v>
      </c>
      <c r="O13">
        <v>28690000</v>
      </c>
      <c r="P13">
        <v>0.42635478500000001</v>
      </c>
      <c r="Q13">
        <v>591.19003020000002</v>
      </c>
      <c r="R13">
        <v>3.23</v>
      </c>
      <c r="S13">
        <v>652230</v>
      </c>
      <c r="T13">
        <v>33.939109999999999</v>
      </c>
      <c r="U13">
        <v>67.709952999999999</v>
      </c>
    </row>
    <row r="14" spans="1:22">
      <c r="A14" t="s">
        <v>21</v>
      </c>
      <c r="B14">
        <v>2012</v>
      </c>
      <c r="C14">
        <v>1324.1211000000001</v>
      </c>
      <c r="D14">
        <v>8079.9999239999997</v>
      </c>
      <c r="E14">
        <v>0.14000000000000001</v>
      </c>
      <c r="F14">
        <v>0</v>
      </c>
      <c r="G14">
        <v>0.74</v>
      </c>
      <c r="H14">
        <v>84.090909999999994</v>
      </c>
      <c r="I14">
        <v>9.2899999999999991</v>
      </c>
      <c r="J14">
        <v>15.36</v>
      </c>
      <c r="K14">
        <v>60</v>
      </c>
      <c r="L14">
        <v>69.099999999999994</v>
      </c>
      <c r="M14">
        <v>23</v>
      </c>
      <c r="O14">
        <v>62630000</v>
      </c>
      <c r="P14">
        <v>12.752287089999999</v>
      </c>
      <c r="Q14">
        <v>638.84585159999995</v>
      </c>
      <c r="R14">
        <v>2.61</v>
      </c>
      <c r="S14">
        <v>652230</v>
      </c>
      <c r="T14">
        <v>33.939109999999999</v>
      </c>
      <c r="U14">
        <v>67.709952999999999</v>
      </c>
    </row>
    <row r="15" spans="1:22">
      <c r="A15" t="s">
        <v>21</v>
      </c>
      <c r="B15">
        <v>2013</v>
      </c>
      <c r="C15">
        <v>1060.7926</v>
      </c>
      <c r="D15">
        <v>5989.9997709999998</v>
      </c>
      <c r="E15">
        <v>0.22</v>
      </c>
      <c r="F15">
        <v>0</v>
      </c>
      <c r="G15">
        <v>0.89</v>
      </c>
      <c r="H15">
        <v>80.180176000000003</v>
      </c>
      <c r="I15">
        <v>9.1</v>
      </c>
      <c r="J15">
        <v>16.86</v>
      </c>
      <c r="K15">
        <v>60</v>
      </c>
      <c r="L15">
        <v>68.290649999999999</v>
      </c>
      <c r="M15">
        <v>24.8</v>
      </c>
      <c r="O15">
        <v>268460000</v>
      </c>
      <c r="P15">
        <v>5.600744658</v>
      </c>
      <c r="Q15">
        <v>624.31545449999999</v>
      </c>
      <c r="R15">
        <v>2.46</v>
      </c>
      <c r="S15">
        <v>652230</v>
      </c>
      <c r="T15">
        <v>33.939109999999999</v>
      </c>
      <c r="U15">
        <v>67.709952999999999</v>
      </c>
    </row>
    <row r="16" spans="1:22">
      <c r="A16" t="s">
        <v>21</v>
      </c>
      <c r="B16">
        <v>2014</v>
      </c>
      <c r="C16">
        <v>868.57619999999997</v>
      </c>
      <c r="D16">
        <v>4880.0001140000004</v>
      </c>
      <c r="E16">
        <v>0.16</v>
      </c>
      <c r="F16">
        <v>0</v>
      </c>
      <c r="G16">
        <v>1</v>
      </c>
      <c r="H16">
        <v>86.206900000000005</v>
      </c>
      <c r="I16">
        <v>8.9499999999999993</v>
      </c>
      <c r="J16">
        <v>18.93</v>
      </c>
      <c r="K16">
        <v>60</v>
      </c>
      <c r="L16">
        <v>89.5</v>
      </c>
      <c r="M16">
        <v>26.1</v>
      </c>
      <c r="O16">
        <v>6940000</v>
      </c>
      <c r="P16">
        <v>2.7245433640000001</v>
      </c>
      <c r="Q16">
        <v>614.22334239999998</v>
      </c>
      <c r="R16">
        <v>2.25</v>
      </c>
      <c r="S16">
        <v>652230</v>
      </c>
      <c r="T16">
        <v>33.939109999999999</v>
      </c>
      <c r="U16">
        <v>67.709952999999999</v>
      </c>
    </row>
    <row r="17" spans="1:21">
      <c r="A17" t="s">
        <v>21</v>
      </c>
      <c r="B17">
        <v>2015</v>
      </c>
      <c r="C17">
        <v>970.08029999999997</v>
      </c>
      <c r="D17">
        <v>5949.9998089999999</v>
      </c>
      <c r="E17">
        <v>0.15</v>
      </c>
      <c r="F17">
        <v>0</v>
      </c>
      <c r="G17">
        <v>1.03</v>
      </c>
      <c r="H17">
        <v>87.288139999999999</v>
      </c>
      <c r="I17">
        <v>8.7899999999999991</v>
      </c>
      <c r="J17">
        <v>17.53</v>
      </c>
      <c r="K17">
        <v>60</v>
      </c>
      <c r="L17">
        <v>71.5</v>
      </c>
      <c r="M17">
        <v>27.4</v>
      </c>
      <c r="O17">
        <v>4890000</v>
      </c>
      <c r="P17">
        <v>1.45131466</v>
      </c>
      <c r="Q17">
        <v>556.00722089999999</v>
      </c>
      <c r="R17">
        <v>2.37</v>
      </c>
      <c r="S17">
        <v>652230</v>
      </c>
      <c r="T17">
        <v>33.939109999999999</v>
      </c>
      <c r="U17">
        <v>67.709952999999999</v>
      </c>
    </row>
    <row r="18" spans="1:21">
      <c r="A18" t="s">
        <v>21</v>
      </c>
      <c r="B18">
        <v>2016</v>
      </c>
      <c r="C18">
        <v>862.79114000000004</v>
      </c>
      <c r="D18">
        <v>5300.0001910000001</v>
      </c>
      <c r="E18">
        <v>0.15</v>
      </c>
      <c r="F18">
        <v>0</v>
      </c>
      <c r="G18">
        <v>1.06</v>
      </c>
      <c r="H18">
        <v>87.603294000000005</v>
      </c>
      <c r="I18">
        <v>9.8699999999999992</v>
      </c>
      <c r="J18">
        <v>19.920000000000002</v>
      </c>
      <c r="K18">
        <v>60</v>
      </c>
      <c r="L18">
        <v>97.7</v>
      </c>
      <c r="M18">
        <v>28.6</v>
      </c>
      <c r="O18">
        <v>860000</v>
      </c>
      <c r="P18">
        <v>2.2603142009999999</v>
      </c>
      <c r="Q18">
        <v>512.01277809999999</v>
      </c>
      <c r="R18">
        <v>2.2400000000000002</v>
      </c>
      <c r="S18">
        <v>652230</v>
      </c>
      <c r="T18">
        <v>33.939109999999999</v>
      </c>
      <c r="U18">
        <v>67.709952999999999</v>
      </c>
    </row>
    <row r="19" spans="1:21">
      <c r="A19" t="s">
        <v>21</v>
      </c>
      <c r="B19">
        <v>2017</v>
      </c>
      <c r="C19">
        <v>829.31195000000002</v>
      </c>
      <c r="D19">
        <v>4780.0002100000002</v>
      </c>
      <c r="E19">
        <v>0.18</v>
      </c>
      <c r="F19">
        <v>0</v>
      </c>
      <c r="G19">
        <v>1.0900000000000001</v>
      </c>
      <c r="H19">
        <v>85.826774999999998</v>
      </c>
      <c r="I19">
        <v>9.7899999999999991</v>
      </c>
      <c r="J19">
        <v>19.21</v>
      </c>
      <c r="K19">
        <v>60</v>
      </c>
      <c r="L19">
        <v>97.7</v>
      </c>
      <c r="M19">
        <v>29.7</v>
      </c>
      <c r="O19">
        <v>50330000</v>
      </c>
      <c r="P19">
        <v>2.6470032020000001</v>
      </c>
      <c r="Q19">
        <v>516.6798622</v>
      </c>
      <c r="R19">
        <v>2.2999999999999998</v>
      </c>
      <c r="S19">
        <v>652230</v>
      </c>
      <c r="T19">
        <v>33.939109999999999</v>
      </c>
      <c r="U19">
        <v>67.709952999999999</v>
      </c>
    </row>
    <row r="20" spans="1:21">
      <c r="A20" t="s">
        <v>21</v>
      </c>
      <c r="B20">
        <v>2018</v>
      </c>
      <c r="C20">
        <v>924.25085000000001</v>
      </c>
      <c r="D20">
        <v>6070.000172</v>
      </c>
      <c r="E20">
        <v>0.2</v>
      </c>
      <c r="F20">
        <v>0</v>
      </c>
      <c r="G20">
        <v>0.97</v>
      </c>
      <c r="H20">
        <v>82.90598</v>
      </c>
      <c r="I20">
        <v>9.5500000000000007</v>
      </c>
      <c r="J20">
        <v>17.96</v>
      </c>
      <c r="K20">
        <v>60</v>
      </c>
      <c r="L20">
        <v>96.616135</v>
      </c>
      <c r="M20">
        <v>30.9</v>
      </c>
      <c r="O20">
        <v>70100000</v>
      </c>
      <c r="P20">
        <v>1.1892281280000001</v>
      </c>
      <c r="Q20">
        <v>485.66841870000002</v>
      </c>
      <c r="R20">
        <v>2.44</v>
      </c>
      <c r="S20">
        <v>652230</v>
      </c>
      <c r="T20">
        <v>33.939109999999999</v>
      </c>
      <c r="U20">
        <v>67.709952999999999</v>
      </c>
    </row>
    <row r="21" spans="1:21">
      <c r="A21" t="s">
        <v>21</v>
      </c>
      <c r="B21">
        <v>2019</v>
      </c>
      <c r="C21">
        <v>802.61255000000006</v>
      </c>
      <c r="D21">
        <v>6079.9999239999997</v>
      </c>
      <c r="E21">
        <v>0.18</v>
      </c>
      <c r="F21">
        <v>0</v>
      </c>
      <c r="G21">
        <v>0.89</v>
      </c>
      <c r="H21">
        <v>83.177570000000003</v>
      </c>
      <c r="I21">
        <v>9.58</v>
      </c>
      <c r="J21">
        <v>18.510000000000002</v>
      </c>
      <c r="K21">
        <v>60</v>
      </c>
      <c r="L21">
        <v>97.7</v>
      </c>
      <c r="M21">
        <v>31.9</v>
      </c>
      <c r="O21">
        <v>4620000</v>
      </c>
      <c r="P21">
        <v>3.911603419</v>
      </c>
      <c r="Q21">
        <v>494.17934989999998</v>
      </c>
      <c r="R21">
        <v>2.41</v>
      </c>
      <c r="S21">
        <v>652230</v>
      </c>
      <c r="T21">
        <v>33.939109999999999</v>
      </c>
      <c r="U21">
        <v>67.709952999999999</v>
      </c>
    </row>
    <row r="22" spans="1:21">
      <c r="A22" t="s">
        <v>21</v>
      </c>
      <c r="B22">
        <v>2020</v>
      </c>
      <c r="C22">
        <v>702.88800000000003</v>
      </c>
      <c r="E22">
        <v>0.12</v>
      </c>
      <c r="F22">
        <v>0</v>
      </c>
      <c r="G22">
        <v>0.68</v>
      </c>
      <c r="H22">
        <v>85</v>
      </c>
      <c r="I22">
        <v>9.35</v>
      </c>
      <c r="K22">
        <v>60</v>
      </c>
      <c r="L22">
        <v>97.7</v>
      </c>
      <c r="M22">
        <v>33.200000000000003</v>
      </c>
      <c r="P22">
        <v>-2.3511006729999999</v>
      </c>
      <c r="Q22">
        <v>516.74787079999999</v>
      </c>
      <c r="S22">
        <v>652230</v>
      </c>
      <c r="T22">
        <v>33.939109999999999</v>
      </c>
      <c r="U22">
        <v>67.709952999999999</v>
      </c>
    </row>
    <row r="23" spans="1:21">
      <c r="A23" t="s">
        <v>22</v>
      </c>
      <c r="B23">
        <v>2000</v>
      </c>
      <c r="C23">
        <v>9029.4375</v>
      </c>
      <c r="D23">
        <v>3170</v>
      </c>
      <c r="E23">
        <v>0.14000000000000001</v>
      </c>
      <c r="F23">
        <v>0</v>
      </c>
      <c r="G23">
        <v>4.55</v>
      </c>
      <c r="H23">
        <v>97.014930000000007</v>
      </c>
      <c r="K23">
        <v>105</v>
      </c>
      <c r="L23">
        <v>100</v>
      </c>
      <c r="M23">
        <v>38.200000000000003</v>
      </c>
      <c r="P23">
        <v>6.9462165850000002</v>
      </c>
      <c r="Q23">
        <v>1126.68334</v>
      </c>
      <c r="R23">
        <v>4.13</v>
      </c>
      <c r="S23">
        <v>28748</v>
      </c>
      <c r="T23">
        <v>41.153331999999999</v>
      </c>
      <c r="U23">
        <v>20.168330999999998</v>
      </c>
    </row>
    <row r="24" spans="1:21">
      <c r="A24" t="s">
        <v>22</v>
      </c>
      <c r="B24">
        <v>2001</v>
      </c>
      <c r="C24">
        <v>8635.5319999999992</v>
      </c>
      <c r="D24">
        <v>3230</v>
      </c>
      <c r="E24">
        <v>0.13</v>
      </c>
      <c r="F24">
        <v>0</v>
      </c>
      <c r="G24">
        <v>3.52</v>
      </c>
      <c r="H24">
        <v>96.438354000000004</v>
      </c>
      <c r="K24">
        <v>105</v>
      </c>
      <c r="L24">
        <v>100</v>
      </c>
      <c r="M24">
        <v>40.5</v>
      </c>
      <c r="P24">
        <v>8.2933126359999996</v>
      </c>
      <c r="Q24">
        <v>1281.6598260000001</v>
      </c>
      <c r="R24">
        <v>3.89</v>
      </c>
      <c r="S24">
        <v>28748</v>
      </c>
      <c r="T24">
        <v>41.153331999999999</v>
      </c>
      <c r="U24">
        <v>20.168330999999998</v>
      </c>
    </row>
    <row r="25" spans="1:21">
      <c r="A25" t="s">
        <v>22</v>
      </c>
      <c r="B25">
        <v>2002</v>
      </c>
      <c r="C25">
        <v>9443.5550000000003</v>
      </c>
      <c r="D25">
        <v>3759.9999899999998</v>
      </c>
      <c r="E25">
        <v>0.16</v>
      </c>
      <c r="F25">
        <v>0</v>
      </c>
      <c r="G25">
        <v>3.48</v>
      </c>
      <c r="H25">
        <v>95.604389999999995</v>
      </c>
      <c r="K25">
        <v>105</v>
      </c>
      <c r="L25">
        <v>100</v>
      </c>
      <c r="M25">
        <v>43.2</v>
      </c>
      <c r="P25">
        <v>4.5365241569999997</v>
      </c>
      <c r="Q25">
        <v>1425.124219</v>
      </c>
      <c r="R25">
        <v>4.0999999999999996</v>
      </c>
      <c r="S25">
        <v>28748</v>
      </c>
      <c r="T25">
        <v>41.153331999999999</v>
      </c>
      <c r="U25">
        <v>20.168330999999998</v>
      </c>
    </row>
    <row r="26" spans="1:21">
      <c r="A26" t="s">
        <v>22</v>
      </c>
      <c r="B26">
        <v>2003</v>
      </c>
      <c r="C26">
        <v>10756.611999999999</v>
      </c>
      <c r="D26">
        <v>4070.000172</v>
      </c>
      <c r="E26">
        <v>0.1</v>
      </c>
      <c r="F26">
        <v>0</v>
      </c>
      <c r="G26">
        <v>5.12</v>
      </c>
      <c r="H26">
        <v>98.084299999999999</v>
      </c>
      <c r="K26">
        <v>105</v>
      </c>
      <c r="L26">
        <v>100</v>
      </c>
      <c r="M26">
        <v>46.4</v>
      </c>
      <c r="P26">
        <v>5.528637464</v>
      </c>
      <c r="Q26">
        <v>1846.1201209999999</v>
      </c>
      <c r="R26">
        <v>3.8</v>
      </c>
      <c r="S26">
        <v>28748</v>
      </c>
      <c r="T26">
        <v>41.153331999999999</v>
      </c>
      <c r="U26">
        <v>20.168330999999998</v>
      </c>
    </row>
    <row r="27" spans="1:21">
      <c r="A27" t="s">
        <v>22</v>
      </c>
      <c r="B27">
        <v>2004</v>
      </c>
      <c r="C27">
        <v>11586.950999999999</v>
      </c>
      <c r="D27">
        <v>4250</v>
      </c>
      <c r="E27">
        <v>0.13</v>
      </c>
      <c r="F27">
        <v>0</v>
      </c>
      <c r="G27">
        <v>5.41</v>
      </c>
      <c r="H27">
        <v>97.65343</v>
      </c>
      <c r="K27">
        <v>105</v>
      </c>
      <c r="L27">
        <v>100</v>
      </c>
      <c r="M27">
        <v>49</v>
      </c>
      <c r="P27">
        <v>5.51466791</v>
      </c>
      <c r="Q27">
        <v>2373.5812919999998</v>
      </c>
      <c r="R27">
        <v>3.96</v>
      </c>
      <c r="S27">
        <v>28748</v>
      </c>
      <c r="T27">
        <v>41.153331999999999</v>
      </c>
      <c r="U27">
        <v>20.168330999999998</v>
      </c>
    </row>
    <row r="28" spans="1:21">
      <c r="A28" t="s">
        <v>22</v>
      </c>
      <c r="B28">
        <v>2005</v>
      </c>
      <c r="C28">
        <v>11545.616</v>
      </c>
      <c r="D28">
        <v>4030.0002100000002</v>
      </c>
      <c r="E28">
        <v>7.0000000000000007E-2</v>
      </c>
      <c r="F28">
        <v>0</v>
      </c>
      <c r="G28">
        <v>5.32</v>
      </c>
      <c r="H28">
        <v>98.701300000000003</v>
      </c>
      <c r="K28">
        <v>105</v>
      </c>
      <c r="L28">
        <v>100</v>
      </c>
      <c r="M28">
        <v>51.9</v>
      </c>
      <c r="P28">
        <v>5.526424241</v>
      </c>
      <c r="Q28">
        <v>2673.7865839999999</v>
      </c>
      <c r="R28">
        <v>3.75</v>
      </c>
      <c r="S28">
        <v>28748</v>
      </c>
      <c r="T28">
        <v>41.153331999999999</v>
      </c>
      <c r="U28">
        <v>20.168330999999998</v>
      </c>
    </row>
    <row r="29" spans="1:21">
      <c r="A29" t="s">
        <v>22</v>
      </c>
      <c r="B29">
        <v>2006</v>
      </c>
      <c r="C29">
        <v>10976.727999999999</v>
      </c>
      <c r="D29">
        <v>4010.0002290000002</v>
      </c>
      <c r="E29">
        <v>0.09</v>
      </c>
      <c r="F29">
        <v>0</v>
      </c>
      <c r="G29">
        <v>4.95</v>
      </c>
      <c r="H29">
        <v>98.214280000000002</v>
      </c>
      <c r="K29">
        <v>105</v>
      </c>
      <c r="L29">
        <v>100</v>
      </c>
      <c r="M29">
        <v>54.8</v>
      </c>
      <c r="P29">
        <v>5.9026590380000004</v>
      </c>
      <c r="Q29">
        <v>2972.7429240000001</v>
      </c>
      <c r="R29">
        <v>3.46</v>
      </c>
      <c r="S29">
        <v>28748</v>
      </c>
      <c r="T29">
        <v>41.153331999999999</v>
      </c>
      <c r="U29">
        <v>20.168330999999998</v>
      </c>
    </row>
    <row r="30" spans="1:21">
      <c r="A30" t="s">
        <v>22</v>
      </c>
      <c r="B30">
        <v>2007</v>
      </c>
      <c r="C30">
        <v>9534.8739999999998</v>
      </c>
      <c r="D30">
        <v>4139.9998660000001</v>
      </c>
      <c r="E30">
        <v>7.0000000000000007E-2</v>
      </c>
      <c r="F30">
        <v>0</v>
      </c>
      <c r="G30">
        <v>2.76</v>
      </c>
      <c r="H30">
        <v>97.526505</v>
      </c>
      <c r="K30">
        <v>105</v>
      </c>
      <c r="L30">
        <v>100</v>
      </c>
      <c r="M30">
        <v>58.1</v>
      </c>
      <c r="P30">
        <v>5.9832595230000001</v>
      </c>
      <c r="Q30">
        <v>3595.0380570000002</v>
      </c>
      <c r="R30">
        <v>3.12</v>
      </c>
      <c r="S30">
        <v>28748</v>
      </c>
      <c r="T30">
        <v>41.153331999999999</v>
      </c>
      <c r="U30">
        <v>20.168330999999998</v>
      </c>
    </row>
    <row r="31" spans="1:21">
      <c r="A31" t="s">
        <v>22</v>
      </c>
      <c r="B31">
        <v>2008</v>
      </c>
      <c r="C31">
        <v>10499.328</v>
      </c>
      <c r="D31">
        <v>4079.9999240000002</v>
      </c>
      <c r="E31">
        <v>7.0000000000000007E-2</v>
      </c>
      <c r="F31">
        <v>0</v>
      </c>
      <c r="G31">
        <v>3.76</v>
      </c>
      <c r="H31">
        <v>98.172325000000001</v>
      </c>
      <c r="K31">
        <v>105</v>
      </c>
      <c r="L31">
        <v>100</v>
      </c>
      <c r="M31">
        <v>60.8</v>
      </c>
      <c r="P31">
        <v>7.5000414280000003</v>
      </c>
      <c r="Q31">
        <v>4370.539925</v>
      </c>
      <c r="R31">
        <v>3.01</v>
      </c>
      <c r="S31">
        <v>28748</v>
      </c>
      <c r="T31">
        <v>41.153331999999999</v>
      </c>
      <c r="U31">
        <v>20.168330999999998</v>
      </c>
    </row>
    <row r="32" spans="1:21">
      <c r="A32" t="s">
        <v>22</v>
      </c>
      <c r="B32">
        <v>2009</v>
      </c>
      <c r="C32">
        <v>11524.428</v>
      </c>
      <c r="D32">
        <v>4219.9997899999998</v>
      </c>
      <c r="E32">
        <v>0</v>
      </c>
      <c r="F32">
        <v>0</v>
      </c>
      <c r="G32">
        <v>5.2</v>
      </c>
      <c r="H32">
        <v>100</v>
      </c>
      <c r="K32">
        <v>105</v>
      </c>
      <c r="L32">
        <v>100</v>
      </c>
      <c r="M32">
        <v>63.6</v>
      </c>
      <c r="P32">
        <v>3.3542893519999999</v>
      </c>
      <c r="Q32">
        <v>4114.1348989999997</v>
      </c>
      <c r="R32">
        <v>2.98</v>
      </c>
      <c r="S32">
        <v>28748</v>
      </c>
      <c r="T32">
        <v>41.153331999999999</v>
      </c>
      <c r="U32">
        <v>20.168330999999998</v>
      </c>
    </row>
    <row r="33" spans="1:21">
      <c r="A33" t="s">
        <v>22</v>
      </c>
      <c r="B33">
        <v>2010</v>
      </c>
      <c r="C33">
        <v>12377.504000000001</v>
      </c>
      <c r="D33">
        <v>4449.9998089999999</v>
      </c>
      <c r="E33">
        <v>0</v>
      </c>
      <c r="F33">
        <v>0</v>
      </c>
      <c r="G33">
        <v>7.49</v>
      </c>
      <c r="H33">
        <v>100</v>
      </c>
      <c r="K33">
        <v>105</v>
      </c>
      <c r="L33">
        <v>100</v>
      </c>
      <c r="M33">
        <v>66.5</v>
      </c>
      <c r="P33">
        <v>3.70693815</v>
      </c>
      <c r="Q33">
        <v>4094.3483860000001</v>
      </c>
      <c r="R33">
        <v>2.85</v>
      </c>
      <c r="S33">
        <v>28748</v>
      </c>
      <c r="T33">
        <v>41.153331999999999</v>
      </c>
      <c r="U33">
        <v>20.168330999999998</v>
      </c>
    </row>
    <row r="34" spans="1:21">
      <c r="A34" t="s">
        <v>22</v>
      </c>
      <c r="B34">
        <v>2011</v>
      </c>
      <c r="C34">
        <v>10854.648999999999</v>
      </c>
      <c r="D34">
        <v>4849.9999049999997</v>
      </c>
      <c r="E34">
        <v>0.06</v>
      </c>
      <c r="F34">
        <v>0</v>
      </c>
      <c r="G34">
        <v>4.09</v>
      </c>
      <c r="H34">
        <v>98.554214000000002</v>
      </c>
      <c r="K34">
        <v>105</v>
      </c>
      <c r="L34">
        <v>100</v>
      </c>
      <c r="M34">
        <v>68.900000000000006</v>
      </c>
      <c r="P34">
        <v>2.5454061449999998</v>
      </c>
      <c r="Q34">
        <v>4437.1426119999996</v>
      </c>
      <c r="R34">
        <v>2.91</v>
      </c>
      <c r="S34">
        <v>28748</v>
      </c>
      <c r="T34">
        <v>41.153331999999999</v>
      </c>
      <c r="U34">
        <v>20.168330999999998</v>
      </c>
    </row>
    <row r="35" spans="1:21">
      <c r="A35" t="s">
        <v>22</v>
      </c>
      <c r="B35">
        <v>2012</v>
      </c>
      <c r="C35">
        <v>10652.808999999999</v>
      </c>
      <c r="D35">
        <v>4360.0001339999999</v>
      </c>
      <c r="E35">
        <v>0</v>
      </c>
      <c r="F35">
        <v>0</v>
      </c>
      <c r="G35">
        <v>4.68</v>
      </c>
      <c r="H35">
        <v>100</v>
      </c>
      <c r="K35">
        <v>105</v>
      </c>
      <c r="L35">
        <v>99.9</v>
      </c>
      <c r="M35">
        <v>71.3</v>
      </c>
      <c r="P35">
        <v>1.4172427999999999</v>
      </c>
      <c r="Q35">
        <v>4247.6300469999996</v>
      </c>
      <c r="R35">
        <v>2.57</v>
      </c>
      <c r="S35">
        <v>28748</v>
      </c>
      <c r="T35">
        <v>41.153331999999999</v>
      </c>
      <c r="U35">
        <v>20.168330999999998</v>
      </c>
    </row>
    <row r="36" spans="1:21">
      <c r="A36" t="s">
        <v>22</v>
      </c>
      <c r="B36">
        <v>2013</v>
      </c>
      <c r="C36">
        <v>13392.773999999999</v>
      </c>
      <c r="D36">
        <v>4440.0000570000002</v>
      </c>
      <c r="E36">
        <v>0</v>
      </c>
      <c r="F36">
        <v>0</v>
      </c>
      <c r="G36">
        <v>6.89</v>
      </c>
      <c r="H36">
        <v>100</v>
      </c>
      <c r="K36">
        <v>105</v>
      </c>
      <c r="L36">
        <v>100</v>
      </c>
      <c r="M36">
        <v>73.150000000000006</v>
      </c>
      <c r="P36">
        <v>1.00201754</v>
      </c>
      <c r="Q36">
        <v>4413.0620049999998</v>
      </c>
      <c r="R36">
        <v>2.96</v>
      </c>
      <c r="S36">
        <v>28748</v>
      </c>
      <c r="T36">
        <v>41.153331999999999</v>
      </c>
      <c r="U36">
        <v>20.168330999999998</v>
      </c>
    </row>
    <row r="37" spans="1:21">
      <c r="A37" t="s">
        <v>22</v>
      </c>
      <c r="B37">
        <v>2014</v>
      </c>
      <c r="C37">
        <v>11809.460999999999</v>
      </c>
      <c r="D37">
        <v>4820.000172</v>
      </c>
      <c r="E37">
        <v>0</v>
      </c>
      <c r="F37">
        <v>0</v>
      </c>
      <c r="G37">
        <v>4.68</v>
      </c>
      <c r="H37">
        <v>100</v>
      </c>
      <c r="K37">
        <v>105</v>
      </c>
      <c r="L37">
        <v>99.95</v>
      </c>
      <c r="M37">
        <v>74.599999999999994</v>
      </c>
      <c r="P37">
        <v>1.7744488549999999</v>
      </c>
      <c r="Q37">
        <v>4578.6332080000002</v>
      </c>
      <c r="R37">
        <v>2.93</v>
      </c>
      <c r="S37">
        <v>28748</v>
      </c>
      <c r="T37">
        <v>41.153331999999999</v>
      </c>
      <c r="U37">
        <v>20.168330999999998</v>
      </c>
    </row>
    <row r="38" spans="1:21">
      <c r="A38" t="s">
        <v>22</v>
      </c>
      <c r="B38">
        <v>2015</v>
      </c>
      <c r="C38">
        <v>11824.314</v>
      </c>
      <c r="D38">
        <v>4619.9998859999996</v>
      </c>
      <c r="E38">
        <v>0</v>
      </c>
      <c r="F38">
        <v>0</v>
      </c>
      <c r="G38">
        <v>5.84</v>
      </c>
      <c r="H38">
        <v>100</v>
      </c>
      <c r="K38">
        <v>105</v>
      </c>
      <c r="L38">
        <v>99.98</v>
      </c>
      <c r="M38">
        <v>76.2</v>
      </c>
      <c r="P38">
        <v>2.2187263719999999</v>
      </c>
      <c r="Q38">
        <v>3952.8025379999999</v>
      </c>
      <c r="R38">
        <v>2.69</v>
      </c>
      <c r="S38">
        <v>28748</v>
      </c>
      <c r="T38">
        <v>41.153331999999999</v>
      </c>
      <c r="U38">
        <v>20.168330999999998</v>
      </c>
    </row>
    <row r="39" spans="1:21">
      <c r="A39" t="s">
        <v>22</v>
      </c>
      <c r="B39">
        <v>2016</v>
      </c>
      <c r="C39">
        <v>13823.748</v>
      </c>
      <c r="D39">
        <v>4480.0000190000001</v>
      </c>
      <c r="E39">
        <v>0</v>
      </c>
      <c r="F39">
        <v>0</v>
      </c>
      <c r="G39">
        <v>7.7</v>
      </c>
      <c r="H39">
        <v>100</v>
      </c>
      <c r="K39">
        <v>105</v>
      </c>
      <c r="L39">
        <v>99.89</v>
      </c>
      <c r="M39">
        <v>77.8</v>
      </c>
      <c r="P39">
        <v>3.314980684</v>
      </c>
      <c r="Q39">
        <v>4124.0553900000004</v>
      </c>
      <c r="R39">
        <v>2.68</v>
      </c>
      <c r="S39">
        <v>28748</v>
      </c>
      <c r="T39">
        <v>41.153331999999999</v>
      </c>
      <c r="U39">
        <v>20.168330999999998</v>
      </c>
    </row>
    <row r="40" spans="1:21">
      <c r="A40" t="s">
        <v>22</v>
      </c>
      <c r="B40">
        <v>2017</v>
      </c>
      <c r="C40">
        <v>12802.36</v>
      </c>
      <c r="D40">
        <v>5139.9998660000001</v>
      </c>
      <c r="E40">
        <v>0</v>
      </c>
      <c r="F40">
        <v>0</v>
      </c>
      <c r="G40">
        <v>4.4800000000000004</v>
      </c>
      <c r="H40">
        <v>100</v>
      </c>
      <c r="K40">
        <v>105</v>
      </c>
      <c r="L40">
        <v>99.89</v>
      </c>
      <c r="M40">
        <v>78.7</v>
      </c>
      <c r="P40">
        <v>3.8022274</v>
      </c>
      <c r="Q40">
        <v>4531.0193740000004</v>
      </c>
      <c r="R40">
        <v>2.69</v>
      </c>
      <c r="S40">
        <v>28748</v>
      </c>
      <c r="T40">
        <v>41.153331999999999</v>
      </c>
      <c r="U40">
        <v>20.168330999999998</v>
      </c>
    </row>
    <row r="41" spans="1:21">
      <c r="A41" t="s">
        <v>22</v>
      </c>
      <c r="B41">
        <v>2018</v>
      </c>
      <c r="C41">
        <v>14609.700999999999</v>
      </c>
      <c r="D41">
        <v>5110.0001339999999</v>
      </c>
      <c r="E41">
        <v>0</v>
      </c>
      <c r="F41">
        <v>0</v>
      </c>
      <c r="G41">
        <v>8.4700000000000006</v>
      </c>
      <c r="H41">
        <v>100</v>
      </c>
      <c r="K41">
        <v>105</v>
      </c>
      <c r="L41">
        <v>100</v>
      </c>
      <c r="M41">
        <v>79.8</v>
      </c>
      <c r="P41">
        <v>4.0193596859999996</v>
      </c>
      <c r="Q41">
        <v>5287.6636939999999</v>
      </c>
      <c r="R41">
        <v>2.57</v>
      </c>
      <c r="S41">
        <v>28748</v>
      </c>
      <c r="T41">
        <v>41.153331999999999</v>
      </c>
      <c r="U41">
        <v>20.168330999999998</v>
      </c>
    </row>
    <row r="42" spans="1:21">
      <c r="A42" t="s">
        <v>22</v>
      </c>
      <c r="B42">
        <v>2019</v>
      </c>
      <c r="C42">
        <v>11585.555</v>
      </c>
      <c r="D42">
        <v>4829.9999239999997</v>
      </c>
      <c r="E42">
        <v>0</v>
      </c>
      <c r="F42">
        <v>0</v>
      </c>
      <c r="G42">
        <v>5.17</v>
      </c>
      <c r="H42">
        <v>100</v>
      </c>
      <c r="K42">
        <v>105</v>
      </c>
      <c r="L42">
        <v>100</v>
      </c>
      <c r="M42">
        <v>80.7</v>
      </c>
      <c r="P42">
        <v>2.1134199819999999</v>
      </c>
      <c r="Q42">
        <v>5395.6595319999997</v>
      </c>
      <c r="R42">
        <v>2.5</v>
      </c>
      <c r="S42">
        <v>28748</v>
      </c>
      <c r="T42">
        <v>41.153331999999999</v>
      </c>
      <c r="U42">
        <v>20.168330999999998</v>
      </c>
    </row>
    <row r="43" spans="1:21">
      <c r="A43" t="s">
        <v>22</v>
      </c>
      <c r="B43">
        <v>2020</v>
      </c>
      <c r="C43">
        <v>11158.003000000001</v>
      </c>
      <c r="E43">
        <v>0</v>
      </c>
      <c r="F43">
        <v>0</v>
      </c>
      <c r="G43">
        <v>5.31</v>
      </c>
      <c r="H43">
        <v>100</v>
      </c>
      <c r="K43">
        <v>105</v>
      </c>
      <c r="L43">
        <v>100</v>
      </c>
      <c r="M43">
        <v>81.3</v>
      </c>
      <c r="P43">
        <v>-3.9553979269999999</v>
      </c>
      <c r="Q43">
        <v>5246.2923060000003</v>
      </c>
      <c r="S43">
        <v>28748</v>
      </c>
      <c r="T43">
        <v>41.153331999999999</v>
      </c>
      <c r="U43">
        <v>20.168330999999998</v>
      </c>
    </row>
    <row r="44" spans="1:21">
      <c r="A44" t="s">
        <v>23</v>
      </c>
      <c r="B44">
        <v>2000</v>
      </c>
      <c r="C44">
        <v>9746.5239999999994</v>
      </c>
      <c r="D44">
        <v>80050</v>
      </c>
      <c r="E44">
        <v>23.84</v>
      </c>
      <c r="F44">
        <v>0</v>
      </c>
      <c r="G44">
        <v>0.05</v>
      </c>
      <c r="H44">
        <v>0.20929259</v>
      </c>
      <c r="I44">
        <v>8.91</v>
      </c>
      <c r="J44">
        <v>0.43</v>
      </c>
      <c r="K44">
        <v>18</v>
      </c>
      <c r="L44">
        <v>98.973100000000002</v>
      </c>
      <c r="M44">
        <v>97.1</v>
      </c>
      <c r="N44">
        <v>5.3235482000000001E-2</v>
      </c>
      <c r="P44">
        <v>3.8</v>
      </c>
      <c r="Q44">
        <v>1765.0271459999999</v>
      </c>
      <c r="R44">
        <v>4.18</v>
      </c>
      <c r="S44">
        <v>2381741</v>
      </c>
      <c r="T44">
        <v>28.033885999999999</v>
      </c>
      <c r="U44">
        <v>1.659626</v>
      </c>
    </row>
    <row r="45" spans="1:21">
      <c r="A45" t="s">
        <v>23</v>
      </c>
      <c r="B45">
        <v>2001</v>
      </c>
      <c r="C45">
        <v>9961.64</v>
      </c>
      <c r="D45">
        <v>78650</v>
      </c>
      <c r="E45">
        <v>24.96</v>
      </c>
      <c r="F45">
        <v>0</v>
      </c>
      <c r="G45">
        <v>7.0000000000000007E-2</v>
      </c>
      <c r="H45">
        <v>0.27966439999999998</v>
      </c>
      <c r="I45">
        <v>8.7899999999999991</v>
      </c>
      <c r="J45">
        <v>0.43</v>
      </c>
      <c r="K45">
        <v>18</v>
      </c>
      <c r="L45">
        <v>98.96687</v>
      </c>
      <c r="M45">
        <v>97.3</v>
      </c>
      <c r="N45">
        <v>6.5218486000000006E-2</v>
      </c>
      <c r="O45">
        <v>810000</v>
      </c>
      <c r="P45">
        <v>3</v>
      </c>
      <c r="Q45">
        <v>1740.6066539999999</v>
      </c>
      <c r="R45">
        <v>4.07</v>
      </c>
      <c r="S45">
        <v>2381741</v>
      </c>
      <c r="T45">
        <v>28.033885999999999</v>
      </c>
      <c r="U45">
        <v>1.659626</v>
      </c>
    </row>
    <row r="46" spans="1:21">
      <c r="A46" t="s">
        <v>23</v>
      </c>
      <c r="B46">
        <v>2002</v>
      </c>
      <c r="C46">
        <v>10180.35</v>
      </c>
      <c r="D46">
        <v>82400.001529999994</v>
      </c>
      <c r="E46">
        <v>25.94</v>
      </c>
      <c r="F46">
        <v>0</v>
      </c>
      <c r="G46">
        <v>0.06</v>
      </c>
      <c r="H46">
        <v>0.23076922999999999</v>
      </c>
      <c r="I46">
        <v>8.68</v>
      </c>
      <c r="J46">
        <v>0.51</v>
      </c>
      <c r="K46">
        <v>18</v>
      </c>
      <c r="L46">
        <v>98.953059999999994</v>
      </c>
      <c r="M46">
        <v>97.8</v>
      </c>
      <c r="N46">
        <v>5.1676769999999997E-2</v>
      </c>
      <c r="O46">
        <v>310000</v>
      </c>
      <c r="P46">
        <v>5.6</v>
      </c>
      <c r="Q46">
        <v>1781.828908</v>
      </c>
      <c r="R46">
        <v>4.12</v>
      </c>
      <c r="S46">
        <v>2381741</v>
      </c>
      <c r="T46">
        <v>28.033885999999999</v>
      </c>
      <c r="U46">
        <v>1.659626</v>
      </c>
    </row>
    <row r="47" spans="1:21">
      <c r="A47" t="s">
        <v>23</v>
      </c>
      <c r="B47">
        <v>2003</v>
      </c>
      <c r="C47">
        <v>10510.460999999999</v>
      </c>
      <c r="D47">
        <v>88190.002439999997</v>
      </c>
      <c r="E47">
        <v>27.54</v>
      </c>
      <c r="F47">
        <v>0</v>
      </c>
      <c r="G47">
        <v>0.26</v>
      </c>
      <c r="H47">
        <v>0.93525183000000001</v>
      </c>
      <c r="I47">
        <v>8.57</v>
      </c>
      <c r="J47">
        <v>0.47</v>
      </c>
      <c r="K47">
        <v>18</v>
      </c>
      <c r="L47">
        <v>98.934010000000001</v>
      </c>
      <c r="M47">
        <v>98</v>
      </c>
      <c r="N47">
        <v>0.228104</v>
      </c>
      <c r="O47">
        <v>90000</v>
      </c>
      <c r="P47">
        <v>7.2</v>
      </c>
      <c r="Q47">
        <v>2103.3812910000001</v>
      </c>
      <c r="R47">
        <v>4.08</v>
      </c>
      <c r="S47">
        <v>2381741</v>
      </c>
      <c r="T47">
        <v>28.033885999999999</v>
      </c>
      <c r="U47">
        <v>1.659626</v>
      </c>
    </row>
    <row r="48" spans="1:21">
      <c r="A48" t="s">
        <v>23</v>
      </c>
      <c r="B48">
        <v>2004</v>
      </c>
      <c r="C48">
        <v>10759.022000000001</v>
      </c>
      <c r="D48">
        <v>89489.997860000003</v>
      </c>
      <c r="E48">
        <v>29.14</v>
      </c>
      <c r="F48">
        <v>0</v>
      </c>
      <c r="G48">
        <v>0.25</v>
      </c>
      <c r="H48">
        <v>0.85062950000000004</v>
      </c>
      <c r="I48">
        <v>8.4600000000000009</v>
      </c>
      <c r="J48">
        <v>0.44</v>
      </c>
      <c r="K48">
        <v>18</v>
      </c>
      <c r="L48">
        <v>98.912080000000003</v>
      </c>
      <c r="M48">
        <v>98.2</v>
      </c>
      <c r="N48">
        <v>0.2067869</v>
      </c>
      <c r="O48">
        <v>140000</v>
      </c>
      <c r="P48">
        <v>4.3</v>
      </c>
      <c r="Q48">
        <v>2610.185422</v>
      </c>
      <c r="R48">
        <v>3.96</v>
      </c>
      <c r="S48">
        <v>2381741</v>
      </c>
      <c r="T48">
        <v>28.033885999999999</v>
      </c>
      <c r="U48">
        <v>1.659626</v>
      </c>
    </row>
    <row r="49" spans="1:21">
      <c r="A49" t="s">
        <v>23</v>
      </c>
      <c r="B49">
        <v>2005</v>
      </c>
      <c r="C49">
        <v>11113.723</v>
      </c>
      <c r="D49">
        <v>94190.002439999997</v>
      </c>
      <c r="E49">
        <v>31.36</v>
      </c>
      <c r="F49">
        <v>0</v>
      </c>
      <c r="G49">
        <v>0.55000000000000004</v>
      </c>
      <c r="H49">
        <v>1.7235976</v>
      </c>
      <c r="I49">
        <v>8.34</v>
      </c>
      <c r="J49">
        <v>0.57999999999999996</v>
      </c>
      <c r="K49">
        <v>18</v>
      </c>
      <c r="L49">
        <v>98.889610000000005</v>
      </c>
      <c r="M49">
        <v>98.5</v>
      </c>
      <c r="N49">
        <v>0.43411877999999998</v>
      </c>
      <c r="O49">
        <v>160000</v>
      </c>
      <c r="P49">
        <v>5.9</v>
      </c>
      <c r="Q49">
        <v>3113.0948830000002</v>
      </c>
      <c r="R49">
        <v>3.9</v>
      </c>
      <c r="S49">
        <v>2381741</v>
      </c>
      <c r="T49">
        <v>28.033885999999999</v>
      </c>
      <c r="U49">
        <v>1.659626</v>
      </c>
    </row>
    <row r="50" spans="1:21">
      <c r="A50" t="s">
        <v>23</v>
      </c>
      <c r="B50">
        <v>2006</v>
      </c>
      <c r="C50">
        <v>11341.98</v>
      </c>
      <c r="D50">
        <v>99809.997560000003</v>
      </c>
      <c r="E50">
        <v>32.9</v>
      </c>
      <c r="F50">
        <v>0</v>
      </c>
      <c r="G50">
        <v>0.22</v>
      </c>
      <c r="H50">
        <v>0.66425120000000004</v>
      </c>
      <c r="I50">
        <v>7.42</v>
      </c>
      <c r="J50">
        <v>0.41</v>
      </c>
      <c r="K50">
        <v>18</v>
      </c>
      <c r="L50">
        <v>98.869010000000003</v>
      </c>
      <c r="M50">
        <v>98.7</v>
      </c>
      <c r="N50">
        <v>0.16327195</v>
      </c>
      <c r="P50">
        <v>1.7</v>
      </c>
      <c r="Q50">
        <v>3478.7100019999998</v>
      </c>
      <c r="R50">
        <v>4.0999999999999996</v>
      </c>
      <c r="S50">
        <v>2381741</v>
      </c>
      <c r="T50">
        <v>28.033885999999999</v>
      </c>
      <c r="U50">
        <v>1.659626</v>
      </c>
    </row>
    <row r="51" spans="1:21">
      <c r="A51" t="s">
        <v>23</v>
      </c>
      <c r="B51">
        <v>2007</v>
      </c>
      <c r="C51">
        <v>11759.700999999999</v>
      </c>
      <c r="D51">
        <v>102750</v>
      </c>
      <c r="E51">
        <v>34.75</v>
      </c>
      <c r="F51">
        <v>0</v>
      </c>
      <c r="G51">
        <v>0.22</v>
      </c>
      <c r="H51">
        <v>0.62911063</v>
      </c>
      <c r="I51">
        <v>7.3</v>
      </c>
      <c r="J51">
        <v>0.41</v>
      </c>
      <c r="K51">
        <v>18</v>
      </c>
      <c r="L51">
        <v>98.852936</v>
      </c>
      <c r="M51">
        <v>98.8</v>
      </c>
      <c r="N51">
        <v>0.15990457</v>
      </c>
      <c r="P51">
        <v>3.4</v>
      </c>
      <c r="Q51">
        <v>3950.5129929999998</v>
      </c>
      <c r="R51">
        <v>4.21</v>
      </c>
      <c r="S51">
        <v>2381741</v>
      </c>
      <c r="T51">
        <v>28.033885999999999</v>
      </c>
      <c r="U51">
        <v>1.659626</v>
      </c>
    </row>
    <row r="52" spans="1:21">
      <c r="A52" t="s">
        <v>23</v>
      </c>
      <c r="B52">
        <v>2008</v>
      </c>
      <c r="C52">
        <v>12252.297</v>
      </c>
      <c r="D52">
        <v>107750</v>
      </c>
      <c r="E52">
        <v>37.549999999999997</v>
      </c>
      <c r="F52">
        <v>0</v>
      </c>
      <c r="G52">
        <v>0.28000000000000003</v>
      </c>
      <c r="H52">
        <v>0.74015324999999998</v>
      </c>
      <c r="I52">
        <v>6.64</v>
      </c>
      <c r="J52">
        <v>0.3</v>
      </c>
      <c r="K52">
        <v>18</v>
      </c>
      <c r="L52">
        <v>99.3</v>
      </c>
      <c r="M52">
        <v>99</v>
      </c>
      <c r="N52">
        <v>0.18775430000000001</v>
      </c>
      <c r="P52">
        <v>2.4</v>
      </c>
      <c r="Q52">
        <v>4923.6316150000002</v>
      </c>
      <c r="R52">
        <v>4.16</v>
      </c>
      <c r="S52">
        <v>2381741</v>
      </c>
      <c r="T52">
        <v>28.033885999999999</v>
      </c>
      <c r="U52">
        <v>1.659626</v>
      </c>
    </row>
    <row r="53" spans="1:21">
      <c r="A53" t="s">
        <v>23</v>
      </c>
      <c r="B53">
        <v>2009</v>
      </c>
      <c r="C53">
        <v>12753.12</v>
      </c>
      <c r="D53">
        <v>112169.9982</v>
      </c>
      <c r="E53">
        <v>35.909999999999997</v>
      </c>
      <c r="F53">
        <v>0</v>
      </c>
      <c r="G53">
        <v>0.3</v>
      </c>
      <c r="H53">
        <v>0.82850049999999997</v>
      </c>
      <c r="I53">
        <v>6.44</v>
      </c>
      <c r="J53">
        <v>0.31</v>
      </c>
      <c r="K53">
        <v>18</v>
      </c>
      <c r="L53">
        <v>98.845184000000003</v>
      </c>
      <c r="M53">
        <v>99.1</v>
      </c>
      <c r="N53">
        <v>0.21278548</v>
      </c>
      <c r="O53">
        <v>2190000</v>
      </c>
      <c r="P53">
        <v>1.6</v>
      </c>
      <c r="Q53">
        <v>3883.2709</v>
      </c>
      <c r="R53">
        <v>4.4800000000000004</v>
      </c>
      <c r="S53">
        <v>2381741</v>
      </c>
      <c r="T53">
        <v>28.033885999999999</v>
      </c>
      <c r="U53">
        <v>1.659626</v>
      </c>
    </row>
    <row r="54" spans="1:21">
      <c r="A54" t="s">
        <v>23</v>
      </c>
      <c r="B54">
        <v>2010</v>
      </c>
      <c r="C54">
        <v>12243.156000000001</v>
      </c>
      <c r="D54">
        <v>114180.0003</v>
      </c>
      <c r="E54">
        <v>42.82</v>
      </c>
      <c r="F54">
        <v>0</v>
      </c>
      <c r="G54">
        <v>0.17</v>
      </c>
      <c r="H54">
        <v>0.39544079999999998</v>
      </c>
      <c r="I54">
        <v>7.02</v>
      </c>
      <c r="J54">
        <v>0.26</v>
      </c>
      <c r="K54">
        <v>18</v>
      </c>
      <c r="L54">
        <v>98.858930000000001</v>
      </c>
      <c r="M54">
        <v>99.2</v>
      </c>
      <c r="N54">
        <v>0.11513238000000001</v>
      </c>
      <c r="O54">
        <v>400000</v>
      </c>
      <c r="P54">
        <v>3.6</v>
      </c>
      <c r="Q54">
        <v>4480.7863180000004</v>
      </c>
      <c r="R54">
        <v>4.42</v>
      </c>
      <c r="S54">
        <v>2381741</v>
      </c>
      <c r="T54">
        <v>28.033885999999999</v>
      </c>
      <c r="U54">
        <v>1.659626</v>
      </c>
    </row>
    <row r="55" spans="1:21">
      <c r="A55" t="s">
        <v>23</v>
      </c>
      <c r="B55">
        <v>2011</v>
      </c>
      <c r="C55">
        <v>12710.540999999999</v>
      </c>
      <c r="D55">
        <v>120790.0009</v>
      </c>
      <c r="E55">
        <v>47.67</v>
      </c>
      <c r="F55">
        <v>0</v>
      </c>
      <c r="G55">
        <v>0.5</v>
      </c>
      <c r="H55">
        <v>1.0379905</v>
      </c>
      <c r="I55">
        <v>6.89</v>
      </c>
      <c r="J55">
        <v>0.18</v>
      </c>
      <c r="K55">
        <v>18</v>
      </c>
      <c r="L55">
        <v>98.888030000000001</v>
      </c>
      <c r="M55">
        <v>99.3</v>
      </c>
      <c r="N55">
        <v>0.23525989999999999</v>
      </c>
      <c r="O55">
        <v>0</v>
      </c>
      <c r="P55">
        <v>2.9</v>
      </c>
      <c r="Q55">
        <v>5455.6794030000001</v>
      </c>
      <c r="R55">
        <v>4.47</v>
      </c>
      <c r="S55">
        <v>2381741</v>
      </c>
      <c r="T55">
        <v>28.033885999999999</v>
      </c>
      <c r="U55">
        <v>1.659626</v>
      </c>
    </row>
    <row r="56" spans="1:21">
      <c r="A56" t="s">
        <v>23</v>
      </c>
      <c r="B56">
        <v>2012</v>
      </c>
      <c r="C56">
        <v>13624.909</v>
      </c>
      <c r="D56">
        <v>134929.9927</v>
      </c>
      <c r="E56">
        <v>53.36</v>
      </c>
      <c r="F56">
        <v>0</v>
      </c>
      <c r="G56">
        <v>0.62</v>
      </c>
      <c r="H56">
        <v>1.1485734999999999</v>
      </c>
      <c r="I56">
        <v>6.76</v>
      </c>
      <c r="J56">
        <v>0.18</v>
      </c>
      <c r="K56">
        <v>18</v>
      </c>
      <c r="L56">
        <v>98.764660000000006</v>
      </c>
      <c r="M56">
        <v>99.4</v>
      </c>
      <c r="N56">
        <v>0.22453195000000001</v>
      </c>
      <c r="O56">
        <v>940000</v>
      </c>
      <c r="P56">
        <v>3.4</v>
      </c>
      <c r="Q56">
        <v>5592.2201150000001</v>
      </c>
      <c r="R56">
        <v>4.72</v>
      </c>
      <c r="S56">
        <v>2381741</v>
      </c>
      <c r="T56">
        <v>28.033885999999999</v>
      </c>
      <c r="U56">
        <v>1.659626</v>
      </c>
    </row>
    <row r="57" spans="1:21">
      <c r="A57" t="s">
        <v>23</v>
      </c>
      <c r="B57">
        <v>2013</v>
      </c>
      <c r="C57">
        <v>14130.735000000001</v>
      </c>
      <c r="D57">
        <v>139020.0043</v>
      </c>
      <c r="E57">
        <v>55.99</v>
      </c>
      <c r="F57">
        <v>0</v>
      </c>
      <c r="G57">
        <v>0.33</v>
      </c>
      <c r="H57">
        <v>0.5859375</v>
      </c>
      <c r="I57">
        <v>6.62</v>
      </c>
      <c r="J57">
        <v>0.13</v>
      </c>
      <c r="K57">
        <v>18</v>
      </c>
      <c r="L57">
        <v>99.002205000000004</v>
      </c>
      <c r="M57">
        <v>99.4</v>
      </c>
      <c r="N57">
        <v>6.4763195999999995E-2</v>
      </c>
      <c r="O57">
        <v>940000</v>
      </c>
      <c r="P57">
        <v>2.8</v>
      </c>
      <c r="Q57">
        <v>5499.5873309999997</v>
      </c>
      <c r="R57">
        <v>4.76</v>
      </c>
      <c r="S57">
        <v>2381741</v>
      </c>
      <c r="T57">
        <v>28.033885999999999</v>
      </c>
      <c r="U57">
        <v>1.659626</v>
      </c>
    </row>
    <row r="58" spans="1:21">
      <c r="A58" t="s">
        <v>23</v>
      </c>
      <c r="B58">
        <v>2014</v>
      </c>
      <c r="C58">
        <v>15108.635</v>
      </c>
      <c r="D58">
        <v>147740.0055</v>
      </c>
      <c r="E58">
        <v>60.15</v>
      </c>
      <c r="F58">
        <v>0</v>
      </c>
      <c r="G58">
        <v>0.25</v>
      </c>
      <c r="H58">
        <v>0.41390726</v>
      </c>
      <c r="I58">
        <v>6.78</v>
      </c>
      <c r="J58">
        <v>7.0000000000000007E-2</v>
      </c>
      <c r="K58">
        <v>18</v>
      </c>
      <c r="L58">
        <v>99.087010000000006</v>
      </c>
      <c r="M58">
        <v>99.5</v>
      </c>
      <c r="N58">
        <v>0.117502466</v>
      </c>
      <c r="O58">
        <v>940000</v>
      </c>
      <c r="P58">
        <v>3.8</v>
      </c>
      <c r="Q58">
        <v>5493.0566950000002</v>
      </c>
      <c r="R58">
        <v>5</v>
      </c>
      <c r="S58">
        <v>2381741</v>
      </c>
      <c r="T58">
        <v>28.033885999999999</v>
      </c>
      <c r="U58">
        <v>1.659626</v>
      </c>
    </row>
    <row r="59" spans="1:21">
      <c r="A59" t="s">
        <v>23</v>
      </c>
      <c r="B59">
        <v>2015</v>
      </c>
      <c r="C59">
        <v>15616.311</v>
      </c>
      <c r="D59">
        <v>156270.0043</v>
      </c>
      <c r="E59">
        <v>64.459999999999994</v>
      </c>
      <c r="F59">
        <v>0</v>
      </c>
      <c r="G59">
        <v>0.22</v>
      </c>
      <c r="H59">
        <v>0.34013605000000002</v>
      </c>
      <c r="I59">
        <v>7.85</v>
      </c>
      <c r="J59">
        <v>0.06</v>
      </c>
      <c r="K59">
        <v>18</v>
      </c>
      <c r="L59">
        <v>99.186660000000003</v>
      </c>
      <c r="M59">
        <v>99.5</v>
      </c>
      <c r="N59">
        <v>9.6813365999999998E-2</v>
      </c>
      <c r="O59">
        <v>890000</v>
      </c>
      <c r="P59">
        <v>3.7</v>
      </c>
      <c r="Q59">
        <v>4177.8895419999999</v>
      </c>
      <c r="R59">
        <v>5.05</v>
      </c>
      <c r="S59">
        <v>2381741</v>
      </c>
      <c r="T59">
        <v>28.033885999999999</v>
      </c>
      <c r="U59">
        <v>1.659626</v>
      </c>
    </row>
    <row r="60" spans="1:21">
      <c r="A60" t="s">
        <v>23</v>
      </c>
      <c r="B60">
        <v>2016</v>
      </c>
      <c r="C60">
        <v>15295.143</v>
      </c>
      <c r="D60">
        <v>154910.0037</v>
      </c>
      <c r="E60">
        <v>66.430000000000007</v>
      </c>
      <c r="F60">
        <v>0</v>
      </c>
      <c r="G60">
        <v>0.34</v>
      </c>
      <c r="H60">
        <v>0.50921077000000003</v>
      </c>
      <c r="I60">
        <v>11.88</v>
      </c>
      <c r="J60">
        <v>0.08</v>
      </c>
      <c r="K60">
        <v>18</v>
      </c>
      <c r="L60">
        <v>99.350250000000003</v>
      </c>
      <c r="M60">
        <v>99.6</v>
      </c>
      <c r="N60">
        <v>0.14580712000000001</v>
      </c>
      <c r="O60">
        <v>160000</v>
      </c>
      <c r="P60">
        <v>3.2</v>
      </c>
      <c r="Q60">
        <v>3946.4524470000001</v>
      </c>
      <c r="R60">
        <v>4.8499999999999996</v>
      </c>
      <c r="S60">
        <v>2381741</v>
      </c>
      <c r="T60">
        <v>28.033885999999999</v>
      </c>
      <c r="U60">
        <v>1.659626</v>
      </c>
    </row>
    <row r="61" spans="1:21">
      <c r="A61" t="s">
        <v>23</v>
      </c>
      <c r="B61">
        <v>2017</v>
      </c>
      <c r="C61">
        <v>15164</v>
      </c>
      <c r="D61">
        <v>158339.9963</v>
      </c>
      <c r="E61">
        <v>70.86</v>
      </c>
      <c r="F61">
        <v>0</v>
      </c>
      <c r="G61">
        <v>0.64</v>
      </c>
      <c r="H61">
        <v>0.89510489999999998</v>
      </c>
      <c r="I61">
        <v>16.02</v>
      </c>
      <c r="J61">
        <v>0.14000000000000001</v>
      </c>
      <c r="K61">
        <v>18</v>
      </c>
      <c r="L61">
        <v>99.635490000000004</v>
      </c>
      <c r="M61">
        <v>99.6</v>
      </c>
      <c r="N61">
        <v>0.24701829</v>
      </c>
      <c r="O61">
        <v>10000</v>
      </c>
      <c r="P61">
        <v>1.3</v>
      </c>
      <c r="Q61">
        <v>4109.6982170000001</v>
      </c>
      <c r="R61">
        <v>4.93</v>
      </c>
      <c r="S61">
        <v>2381741</v>
      </c>
      <c r="T61">
        <v>28.033885999999999</v>
      </c>
      <c r="U61">
        <v>1.659626</v>
      </c>
    </row>
    <row r="62" spans="1:21">
      <c r="A62" t="s">
        <v>23</v>
      </c>
      <c r="B62">
        <v>2018</v>
      </c>
      <c r="C62">
        <v>15971.084000000001</v>
      </c>
      <c r="D62">
        <v>165539.9933</v>
      </c>
      <c r="E62">
        <v>71.319999999999993</v>
      </c>
      <c r="F62">
        <v>0</v>
      </c>
      <c r="G62">
        <v>0.78</v>
      </c>
      <c r="H62">
        <v>1.0818308999999999</v>
      </c>
      <c r="I62">
        <v>16.25</v>
      </c>
      <c r="J62">
        <v>0.19</v>
      </c>
      <c r="K62">
        <v>18</v>
      </c>
      <c r="L62">
        <v>99.697839999999999</v>
      </c>
      <c r="M62">
        <v>99.6</v>
      </c>
      <c r="N62">
        <v>0.28767927999999998</v>
      </c>
      <c r="O62">
        <v>50000</v>
      </c>
      <c r="P62">
        <v>1.1000000000000001</v>
      </c>
      <c r="Q62">
        <v>4142.0185579999998</v>
      </c>
      <c r="R62">
        <v>5.19</v>
      </c>
      <c r="S62">
        <v>2381741</v>
      </c>
      <c r="T62">
        <v>28.033885999999999</v>
      </c>
      <c r="U62">
        <v>1.659626</v>
      </c>
    </row>
    <row r="63" spans="1:21">
      <c r="A63" t="s">
        <v>23</v>
      </c>
      <c r="B63">
        <v>2019</v>
      </c>
      <c r="C63">
        <v>16259.053</v>
      </c>
      <c r="D63">
        <v>171250</v>
      </c>
      <c r="E63">
        <v>75.849999999999994</v>
      </c>
      <c r="F63">
        <v>0</v>
      </c>
      <c r="G63">
        <v>0.84</v>
      </c>
      <c r="H63">
        <v>1.0953188</v>
      </c>
      <c r="I63">
        <v>15.93</v>
      </c>
      <c r="J63">
        <v>0.16</v>
      </c>
      <c r="K63">
        <v>18</v>
      </c>
      <c r="L63">
        <v>99.5</v>
      </c>
      <c r="M63">
        <v>99.7</v>
      </c>
      <c r="N63">
        <v>0.29474697</v>
      </c>
      <c r="O63">
        <v>60000</v>
      </c>
      <c r="P63">
        <v>1</v>
      </c>
      <c r="Q63">
        <v>3989.6682759999999</v>
      </c>
      <c r="R63">
        <v>5.32</v>
      </c>
      <c r="S63">
        <v>2381741</v>
      </c>
      <c r="T63">
        <v>28.033885999999999</v>
      </c>
      <c r="U63">
        <v>1.659626</v>
      </c>
    </row>
    <row r="64" spans="1:21">
      <c r="A64" t="s">
        <v>23</v>
      </c>
      <c r="B64">
        <v>2020</v>
      </c>
      <c r="C64">
        <v>14933.807000000001</v>
      </c>
      <c r="E64">
        <v>72.010000000000005</v>
      </c>
      <c r="F64">
        <v>0</v>
      </c>
      <c r="G64">
        <v>0.72</v>
      </c>
      <c r="H64">
        <v>0.98996280000000003</v>
      </c>
      <c r="I64">
        <v>15.64</v>
      </c>
      <c r="K64">
        <v>18</v>
      </c>
      <c r="L64">
        <v>99.804130000000001</v>
      </c>
      <c r="M64">
        <v>99.7</v>
      </c>
      <c r="N64">
        <v>0.29789943000000002</v>
      </c>
      <c r="P64">
        <v>-5.0999999999999996</v>
      </c>
      <c r="Q64">
        <v>3306.8582080000001</v>
      </c>
      <c r="S64">
        <v>2381741</v>
      </c>
      <c r="T64">
        <v>28.033885999999999</v>
      </c>
      <c r="U64">
        <v>1.659626</v>
      </c>
    </row>
    <row r="65" spans="1:21">
      <c r="A65" t="s">
        <v>24</v>
      </c>
      <c r="B65">
        <v>2000</v>
      </c>
      <c r="C65">
        <v>1979.2562</v>
      </c>
      <c r="D65">
        <v>16200</v>
      </c>
      <c r="E65">
        <v>0.5</v>
      </c>
      <c r="F65">
        <v>0</v>
      </c>
      <c r="G65">
        <v>0.9</v>
      </c>
      <c r="H65">
        <v>64.285709999999995</v>
      </c>
      <c r="I65">
        <v>14.37</v>
      </c>
      <c r="J65">
        <v>73.44</v>
      </c>
      <c r="K65">
        <v>26</v>
      </c>
      <c r="L65">
        <v>24.212744000000001</v>
      </c>
      <c r="M65">
        <v>41.1</v>
      </c>
      <c r="P65">
        <v>3.0546242339999998</v>
      </c>
      <c r="Q65">
        <v>556.83863169999995</v>
      </c>
      <c r="R65">
        <v>3.68</v>
      </c>
      <c r="S65">
        <v>1246700</v>
      </c>
      <c r="T65">
        <v>-11.202692000000001</v>
      </c>
      <c r="U65">
        <v>17.873887</v>
      </c>
    </row>
    <row r="66" spans="1:21">
      <c r="A66" t="s">
        <v>24</v>
      </c>
      <c r="B66">
        <v>2001</v>
      </c>
      <c r="C66">
        <v>2079.732</v>
      </c>
      <c r="D66">
        <v>15960</v>
      </c>
      <c r="E66">
        <v>0.57999999999999996</v>
      </c>
      <c r="F66">
        <v>0</v>
      </c>
      <c r="G66">
        <v>1.01</v>
      </c>
      <c r="H66">
        <v>63.522010000000002</v>
      </c>
      <c r="I66">
        <v>13.9</v>
      </c>
      <c r="J66">
        <v>72.34</v>
      </c>
      <c r="K66">
        <v>26</v>
      </c>
      <c r="L66">
        <v>20</v>
      </c>
      <c r="M66">
        <v>41.7</v>
      </c>
      <c r="P66">
        <v>4.2059985559999999</v>
      </c>
      <c r="Q66">
        <v>527.33352850000006</v>
      </c>
      <c r="R66">
        <v>3.65</v>
      </c>
      <c r="S66">
        <v>1246700</v>
      </c>
      <c r="T66">
        <v>-11.202692000000001</v>
      </c>
      <c r="U66">
        <v>17.873887</v>
      </c>
    </row>
    <row r="67" spans="1:21">
      <c r="A67" t="s">
        <v>24</v>
      </c>
      <c r="B67">
        <v>2002</v>
      </c>
      <c r="C67">
        <v>2143.5279999999998</v>
      </c>
      <c r="D67">
        <v>15689.99958</v>
      </c>
      <c r="E67">
        <v>0.57999999999999996</v>
      </c>
      <c r="F67">
        <v>0</v>
      </c>
      <c r="G67">
        <v>1.1299999999999999</v>
      </c>
      <c r="H67">
        <v>66.081869999999995</v>
      </c>
      <c r="I67">
        <v>13.46</v>
      </c>
      <c r="J67">
        <v>70.42</v>
      </c>
      <c r="K67">
        <v>26</v>
      </c>
      <c r="L67">
        <v>26.352118000000001</v>
      </c>
      <c r="M67">
        <v>41.7</v>
      </c>
      <c r="P67">
        <v>13.66568652</v>
      </c>
      <c r="Q67">
        <v>872.4944418</v>
      </c>
      <c r="R67">
        <v>3.34</v>
      </c>
      <c r="S67">
        <v>1246700</v>
      </c>
      <c r="T67">
        <v>-11.202692000000001</v>
      </c>
      <c r="U67">
        <v>17.873887</v>
      </c>
    </row>
    <row r="68" spans="1:21">
      <c r="A68" t="s">
        <v>24</v>
      </c>
      <c r="B68">
        <v>2003</v>
      </c>
      <c r="C68">
        <v>2298.9023000000002</v>
      </c>
      <c r="D68">
        <v>16760.000230000001</v>
      </c>
      <c r="E68">
        <v>0.71</v>
      </c>
      <c r="F68">
        <v>0</v>
      </c>
      <c r="G68">
        <v>1.23</v>
      </c>
      <c r="H68">
        <v>63.402059999999999</v>
      </c>
      <c r="I68">
        <v>13.01</v>
      </c>
      <c r="J68">
        <v>65.14</v>
      </c>
      <c r="K68">
        <v>26</v>
      </c>
      <c r="L68">
        <v>27.412776999999998</v>
      </c>
      <c r="M68">
        <v>42</v>
      </c>
      <c r="O68">
        <v>50000</v>
      </c>
      <c r="P68">
        <v>2.9898500100000001</v>
      </c>
      <c r="Q68">
        <v>982.96100779999995</v>
      </c>
      <c r="R68">
        <v>3.49</v>
      </c>
      <c r="S68">
        <v>1246700</v>
      </c>
      <c r="T68">
        <v>-11.202692000000001</v>
      </c>
      <c r="U68">
        <v>17.873887</v>
      </c>
    </row>
    <row r="69" spans="1:21">
      <c r="A69" t="s">
        <v>24</v>
      </c>
      <c r="B69">
        <v>2004</v>
      </c>
      <c r="C69">
        <v>2454.67</v>
      </c>
      <c r="D69">
        <v>17450.000759999999</v>
      </c>
      <c r="E69">
        <v>0.45</v>
      </c>
      <c r="F69">
        <v>0</v>
      </c>
      <c r="G69">
        <v>1.73</v>
      </c>
      <c r="H69">
        <v>79.357795999999993</v>
      </c>
      <c r="I69">
        <v>26.44</v>
      </c>
      <c r="J69">
        <v>61.92</v>
      </c>
      <c r="K69">
        <v>26</v>
      </c>
      <c r="L69">
        <v>28.470549999999999</v>
      </c>
      <c r="M69">
        <v>41.9</v>
      </c>
      <c r="O69">
        <v>40000</v>
      </c>
      <c r="P69">
        <v>10.95286177</v>
      </c>
      <c r="Q69">
        <v>1255.564513</v>
      </c>
      <c r="R69">
        <v>3.17</v>
      </c>
      <c r="S69">
        <v>1246700</v>
      </c>
      <c r="T69">
        <v>-11.202692000000001</v>
      </c>
      <c r="U69">
        <v>17.873887</v>
      </c>
    </row>
    <row r="70" spans="1:21">
      <c r="A70" t="s">
        <v>24</v>
      </c>
      <c r="B70">
        <v>2005</v>
      </c>
      <c r="C70">
        <v>2016.8516999999999</v>
      </c>
      <c r="D70">
        <v>15810.00042</v>
      </c>
      <c r="E70">
        <v>0.53</v>
      </c>
      <c r="F70">
        <v>0</v>
      </c>
      <c r="G70">
        <v>2.2000000000000002</v>
      </c>
      <c r="H70">
        <v>80.586079999999995</v>
      </c>
      <c r="I70">
        <v>25.53</v>
      </c>
      <c r="J70">
        <v>68.38</v>
      </c>
      <c r="K70">
        <v>26</v>
      </c>
      <c r="L70">
        <v>29.527785999999999</v>
      </c>
      <c r="M70">
        <v>42.6</v>
      </c>
      <c r="P70">
        <v>15.028915319999999</v>
      </c>
      <c r="Q70">
        <v>1902.4221500000001</v>
      </c>
      <c r="R70">
        <v>2.6</v>
      </c>
      <c r="S70">
        <v>1246700</v>
      </c>
      <c r="T70">
        <v>-11.202692000000001</v>
      </c>
      <c r="U70">
        <v>17.873887</v>
      </c>
    </row>
    <row r="71" spans="1:21">
      <c r="A71" t="s">
        <v>24</v>
      </c>
      <c r="B71">
        <v>2006</v>
      </c>
      <c r="C71">
        <v>2453.2467999999999</v>
      </c>
      <c r="D71">
        <v>16559.999469999999</v>
      </c>
      <c r="E71">
        <v>0.6</v>
      </c>
      <c r="F71">
        <v>0</v>
      </c>
      <c r="G71">
        <v>2.64</v>
      </c>
      <c r="H71">
        <v>81.481480000000005</v>
      </c>
      <c r="I71">
        <v>24.63</v>
      </c>
      <c r="J71">
        <v>62.13</v>
      </c>
      <c r="K71">
        <v>26</v>
      </c>
      <c r="L71">
        <v>30.586894999999998</v>
      </c>
      <c r="M71">
        <v>42.9</v>
      </c>
      <c r="P71">
        <v>11.54768318</v>
      </c>
      <c r="Q71">
        <v>2599.5659479999999</v>
      </c>
      <c r="R71">
        <v>2.62</v>
      </c>
      <c r="S71">
        <v>1246700</v>
      </c>
      <c r="T71">
        <v>-11.202692000000001</v>
      </c>
      <c r="U71">
        <v>17.873887</v>
      </c>
    </row>
    <row r="72" spans="1:21">
      <c r="A72" t="s">
        <v>24</v>
      </c>
      <c r="B72">
        <v>2007</v>
      </c>
      <c r="C72">
        <v>2719.0603000000001</v>
      </c>
      <c r="D72">
        <v>16969.999309999999</v>
      </c>
      <c r="E72">
        <v>0.68</v>
      </c>
      <c r="F72">
        <v>0</v>
      </c>
      <c r="G72">
        <v>2.4700000000000002</v>
      </c>
      <c r="H72">
        <v>78.412700000000001</v>
      </c>
      <c r="I72">
        <v>36.270000000000003</v>
      </c>
      <c r="J72">
        <v>58.49</v>
      </c>
      <c r="K72">
        <v>26</v>
      </c>
      <c r="L72">
        <v>37.5</v>
      </c>
      <c r="M72">
        <v>43.5</v>
      </c>
      <c r="O72">
        <v>760000</v>
      </c>
      <c r="P72">
        <v>14.010018240000001</v>
      </c>
      <c r="Q72">
        <v>3121.9960850000002</v>
      </c>
      <c r="R72">
        <v>2.5</v>
      </c>
      <c r="S72">
        <v>1246700</v>
      </c>
      <c r="T72">
        <v>-11.202692000000001</v>
      </c>
      <c r="U72">
        <v>17.873887</v>
      </c>
    </row>
    <row r="73" spans="1:21">
      <c r="A73" t="s">
        <v>24</v>
      </c>
      <c r="B73">
        <v>2008</v>
      </c>
      <c r="C73">
        <v>3072.0239999999999</v>
      </c>
      <c r="D73">
        <v>19280.000690000001</v>
      </c>
      <c r="E73">
        <v>0.96</v>
      </c>
      <c r="F73">
        <v>0</v>
      </c>
      <c r="G73">
        <v>3.1</v>
      </c>
      <c r="H73">
        <v>76.354680000000002</v>
      </c>
      <c r="I73">
        <v>36.520000000000003</v>
      </c>
      <c r="J73">
        <v>54.88</v>
      </c>
      <c r="K73">
        <v>26</v>
      </c>
      <c r="L73">
        <v>38.49</v>
      </c>
      <c r="M73">
        <v>43.6</v>
      </c>
      <c r="P73">
        <v>11.166138330000001</v>
      </c>
      <c r="Q73">
        <v>4080.9410339999999</v>
      </c>
      <c r="R73">
        <v>2.48</v>
      </c>
      <c r="S73">
        <v>1246700</v>
      </c>
      <c r="T73">
        <v>-11.202692000000001</v>
      </c>
      <c r="U73">
        <v>17.873887</v>
      </c>
    </row>
    <row r="74" spans="1:21">
      <c r="A74" t="s">
        <v>24</v>
      </c>
      <c r="B74">
        <v>2009</v>
      </c>
      <c r="C74">
        <v>3368.8357000000001</v>
      </c>
      <c r="D74">
        <v>21149.999619999999</v>
      </c>
      <c r="E74">
        <v>1.54</v>
      </c>
      <c r="F74">
        <v>0</v>
      </c>
      <c r="G74">
        <v>3.06</v>
      </c>
      <c r="H74">
        <v>66.521739999999994</v>
      </c>
      <c r="I74">
        <v>35.22</v>
      </c>
      <c r="J74">
        <v>52.41</v>
      </c>
      <c r="K74">
        <v>26</v>
      </c>
      <c r="L74">
        <v>33.802190000000003</v>
      </c>
      <c r="M74">
        <v>43.8</v>
      </c>
      <c r="P74">
        <v>0.85871261499999996</v>
      </c>
      <c r="Q74">
        <v>3122.7815989999999</v>
      </c>
      <c r="R74">
        <v>2.71</v>
      </c>
      <c r="S74">
        <v>1246700</v>
      </c>
      <c r="T74">
        <v>-11.202692000000001</v>
      </c>
      <c r="U74">
        <v>17.873887</v>
      </c>
    </row>
    <row r="75" spans="1:21">
      <c r="A75" t="s">
        <v>24</v>
      </c>
      <c r="B75">
        <v>2010</v>
      </c>
      <c r="C75">
        <v>3560.0942</v>
      </c>
      <c r="D75">
        <v>22799.999240000001</v>
      </c>
      <c r="E75">
        <v>1.64</v>
      </c>
      <c r="F75">
        <v>0</v>
      </c>
      <c r="G75">
        <v>3.68</v>
      </c>
      <c r="H75">
        <v>69.172929999999994</v>
      </c>
      <c r="I75">
        <v>34.020000000000003</v>
      </c>
      <c r="J75">
        <v>52.51</v>
      </c>
      <c r="K75">
        <v>26</v>
      </c>
      <c r="L75">
        <v>34.895637999999998</v>
      </c>
      <c r="M75">
        <v>44.3</v>
      </c>
      <c r="O75">
        <v>20000</v>
      </c>
      <c r="P75">
        <v>4.4039325429999998</v>
      </c>
      <c r="Q75">
        <v>3587.8836449999999</v>
      </c>
      <c r="R75">
        <v>2.61</v>
      </c>
      <c r="S75">
        <v>1246700</v>
      </c>
      <c r="T75">
        <v>-11.202692000000001</v>
      </c>
      <c r="U75">
        <v>17.873887</v>
      </c>
    </row>
    <row r="76" spans="1:21">
      <c r="A76" t="s">
        <v>24</v>
      </c>
      <c r="B76">
        <v>2011</v>
      </c>
      <c r="C76">
        <v>3594.49</v>
      </c>
      <c r="D76">
        <v>23870.000840000001</v>
      </c>
      <c r="E76">
        <v>1.55</v>
      </c>
      <c r="F76">
        <v>0</v>
      </c>
      <c r="G76">
        <v>3.98</v>
      </c>
      <c r="H76">
        <v>71.971059999999994</v>
      </c>
      <c r="I76">
        <v>32.83</v>
      </c>
      <c r="J76">
        <v>51.06</v>
      </c>
      <c r="K76">
        <v>26</v>
      </c>
      <c r="L76">
        <v>34.6</v>
      </c>
      <c r="M76">
        <v>44.8</v>
      </c>
      <c r="O76">
        <v>220000</v>
      </c>
      <c r="P76">
        <v>3.4719763449999999</v>
      </c>
      <c r="Q76">
        <v>4615.4682190000003</v>
      </c>
      <c r="R76">
        <v>2.62</v>
      </c>
      <c r="S76">
        <v>1246700</v>
      </c>
      <c r="T76">
        <v>-11.202692000000001</v>
      </c>
      <c r="U76">
        <v>17.873887</v>
      </c>
    </row>
    <row r="77" spans="1:21">
      <c r="A77" t="s">
        <v>24</v>
      </c>
      <c r="B77">
        <v>2012</v>
      </c>
      <c r="C77">
        <v>3615.5241999999998</v>
      </c>
      <c r="D77">
        <v>23870.000840000001</v>
      </c>
      <c r="E77">
        <v>2.29</v>
      </c>
      <c r="F77">
        <v>0</v>
      </c>
      <c r="G77">
        <v>3.74</v>
      </c>
      <c r="H77">
        <v>62.023215999999998</v>
      </c>
      <c r="I77">
        <v>35.159999999999997</v>
      </c>
      <c r="J77">
        <v>49.47</v>
      </c>
      <c r="K77">
        <v>26</v>
      </c>
      <c r="L77">
        <v>37.131320000000002</v>
      </c>
      <c r="M77">
        <v>45.2</v>
      </c>
      <c r="O77">
        <v>10000</v>
      </c>
      <c r="P77">
        <v>8.5421876430000001</v>
      </c>
      <c r="Q77">
        <v>5100.0970269999998</v>
      </c>
      <c r="R77">
        <v>2.71</v>
      </c>
      <c r="S77">
        <v>1246700</v>
      </c>
      <c r="T77">
        <v>-11.202692000000001</v>
      </c>
      <c r="U77">
        <v>17.873887</v>
      </c>
    </row>
    <row r="78" spans="1:21">
      <c r="A78" t="s">
        <v>24</v>
      </c>
      <c r="B78">
        <v>2013</v>
      </c>
      <c r="C78">
        <v>3897.9126000000001</v>
      </c>
      <c r="D78">
        <v>26959.999080000001</v>
      </c>
      <c r="E78">
        <v>3.24</v>
      </c>
      <c r="F78">
        <v>0</v>
      </c>
      <c r="G78">
        <v>4.7300000000000004</v>
      </c>
      <c r="H78">
        <v>59.347552999999998</v>
      </c>
      <c r="I78">
        <v>37.049999999999997</v>
      </c>
      <c r="J78">
        <v>47.95</v>
      </c>
      <c r="K78">
        <v>26</v>
      </c>
      <c r="L78">
        <v>38.278030000000001</v>
      </c>
      <c r="M78">
        <v>45.8</v>
      </c>
      <c r="P78">
        <v>4.9545446460000004</v>
      </c>
      <c r="Q78">
        <v>5254.8811260000002</v>
      </c>
      <c r="R78">
        <v>2.6</v>
      </c>
      <c r="S78">
        <v>1246700</v>
      </c>
      <c r="T78">
        <v>-11.202692000000001</v>
      </c>
      <c r="U78">
        <v>17.873887</v>
      </c>
    </row>
    <row r="79" spans="1:21">
      <c r="A79" t="s">
        <v>24</v>
      </c>
      <c r="B79">
        <v>2014</v>
      </c>
      <c r="C79">
        <v>4135.0474000000004</v>
      </c>
      <c r="D79">
        <v>29629.999159999999</v>
      </c>
      <c r="E79">
        <v>3.98</v>
      </c>
      <c r="F79">
        <v>0</v>
      </c>
      <c r="G79">
        <v>5.24</v>
      </c>
      <c r="H79">
        <v>56.832970000000003</v>
      </c>
      <c r="I79">
        <v>38.31</v>
      </c>
      <c r="J79">
        <v>48.23</v>
      </c>
      <c r="K79">
        <v>26</v>
      </c>
      <c r="L79">
        <v>32</v>
      </c>
      <c r="M79">
        <v>46.5</v>
      </c>
      <c r="P79">
        <v>4.8226275679999997</v>
      </c>
      <c r="Q79">
        <v>5408.4116999999997</v>
      </c>
      <c r="R79">
        <v>3.28</v>
      </c>
      <c r="S79">
        <v>1246700</v>
      </c>
      <c r="T79">
        <v>-11.202692000000001</v>
      </c>
      <c r="U79">
        <v>17.873887</v>
      </c>
    </row>
    <row r="80" spans="1:21">
      <c r="A80" t="s">
        <v>24</v>
      </c>
      <c r="B80">
        <v>2015</v>
      </c>
      <c r="C80">
        <v>4159.5775999999996</v>
      </c>
      <c r="D80">
        <v>31649.999619999999</v>
      </c>
      <c r="E80">
        <v>4.03</v>
      </c>
      <c r="F80">
        <v>0</v>
      </c>
      <c r="G80">
        <v>5.28</v>
      </c>
      <c r="H80">
        <v>56.713206999999997</v>
      </c>
      <c r="I80">
        <v>37.049999999999997</v>
      </c>
      <c r="J80">
        <v>47.84</v>
      </c>
      <c r="K80">
        <v>26</v>
      </c>
      <c r="L80">
        <v>42</v>
      </c>
      <c r="M80">
        <v>47.2</v>
      </c>
      <c r="O80">
        <v>10000</v>
      </c>
      <c r="P80">
        <v>0.94357156099999995</v>
      </c>
      <c r="Q80">
        <v>4166.9798330000003</v>
      </c>
      <c r="R80">
        <v>2.86</v>
      </c>
      <c r="S80">
        <v>1246700</v>
      </c>
      <c r="T80">
        <v>-11.202692000000001</v>
      </c>
      <c r="U80">
        <v>17.873887</v>
      </c>
    </row>
    <row r="81" spans="1:21">
      <c r="A81" t="s">
        <v>24</v>
      </c>
      <c r="B81">
        <v>2016</v>
      </c>
      <c r="C81">
        <v>3661.5513000000001</v>
      </c>
      <c r="D81">
        <v>29760.000230000001</v>
      </c>
      <c r="E81">
        <v>4.2</v>
      </c>
      <c r="F81">
        <v>0</v>
      </c>
      <c r="G81">
        <v>6.01</v>
      </c>
      <c r="H81">
        <v>58.863857000000003</v>
      </c>
      <c r="I81">
        <v>61.19</v>
      </c>
      <c r="J81">
        <v>49.03</v>
      </c>
      <c r="K81">
        <v>26</v>
      </c>
      <c r="L81">
        <v>41.813130000000001</v>
      </c>
      <c r="M81">
        <v>47.8</v>
      </c>
      <c r="O81">
        <v>93960000</v>
      </c>
      <c r="P81">
        <v>-2.5800496439999998</v>
      </c>
      <c r="Q81">
        <v>3506.073128</v>
      </c>
      <c r="R81">
        <v>2.61</v>
      </c>
      <c r="S81">
        <v>1246700</v>
      </c>
      <c r="T81">
        <v>-11.202692000000001</v>
      </c>
      <c r="U81">
        <v>17.873887</v>
      </c>
    </row>
    <row r="82" spans="1:21">
      <c r="A82" t="s">
        <v>24</v>
      </c>
      <c r="B82">
        <v>2017</v>
      </c>
      <c r="C82">
        <v>3370.8962000000001</v>
      </c>
      <c r="D82">
        <v>24250</v>
      </c>
      <c r="E82">
        <v>2.99</v>
      </c>
      <c r="F82">
        <v>0</v>
      </c>
      <c r="G82">
        <v>7.69</v>
      </c>
      <c r="H82">
        <v>72.003746000000007</v>
      </c>
      <c r="I82">
        <v>82.43</v>
      </c>
      <c r="J82">
        <v>56.25</v>
      </c>
      <c r="K82">
        <v>26</v>
      </c>
      <c r="L82">
        <v>43.013260000000002</v>
      </c>
      <c r="M82">
        <v>48.4</v>
      </c>
      <c r="P82">
        <v>-0.14721294100000001</v>
      </c>
      <c r="Q82">
        <v>4095.8100570000001</v>
      </c>
      <c r="R82">
        <v>2.5099999999999998</v>
      </c>
      <c r="S82">
        <v>1246700</v>
      </c>
      <c r="T82">
        <v>-11.202692000000001</v>
      </c>
      <c r="U82">
        <v>17.873887</v>
      </c>
    </row>
    <row r="83" spans="1:21">
      <c r="A83" t="s">
        <v>24</v>
      </c>
      <c r="B83">
        <v>2018</v>
      </c>
      <c r="C83">
        <v>3366.3933000000002</v>
      </c>
      <c r="D83">
        <v>23959.999080000001</v>
      </c>
      <c r="E83">
        <v>2.93</v>
      </c>
      <c r="F83">
        <v>0</v>
      </c>
      <c r="G83">
        <v>9.9</v>
      </c>
      <c r="H83">
        <v>77.162895000000006</v>
      </c>
      <c r="I83">
        <v>101.45</v>
      </c>
      <c r="J83">
        <v>57.36</v>
      </c>
      <c r="K83">
        <v>26</v>
      </c>
      <c r="L83">
        <v>45.29</v>
      </c>
      <c r="M83">
        <v>49.1</v>
      </c>
      <c r="O83">
        <v>120000</v>
      </c>
      <c r="P83">
        <v>-2.0036297269999999</v>
      </c>
      <c r="Q83">
        <v>3289.6439949999999</v>
      </c>
      <c r="R83">
        <v>2.95</v>
      </c>
      <c r="S83">
        <v>1246700</v>
      </c>
      <c r="T83">
        <v>-11.202692000000001</v>
      </c>
      <c r="U83">
        <v>17.873887</v>
      </c>
    </row>
    <row r="84" spans="1:21">
      <c r="A84" t="s">
        <v>24</v>
      </c>
      <c r="B84">
        <v>2019</v>
      </c>
      <c r="C84">
        <v>3667.4238</v>
      </c>
      <c r="D84">
        <v>25209.999080000001</v>
      </c>
      <c r="E84">
        <v>4.38</v>
      </c>
      <c r="F84">
        <v>0</v>
      </c>
      <c r="G84">
        <v>11.02</v>
      </c>
      <c r="H84">
        <v>71.558440000000004</v>
      </c>
      <c r="I84">
        <v>108.71</v>
      </c>
      <c r="J84">
        <v>54.69</v>
      </c>
      <c r="K84">
        <v>26</v>
      </c>
      <c r="L84">
        <v>45.642800000000001</v>
      </c>
      <c r="M84">
        <v>49.5</v>
      </c>
      <c r="O84">
        <v>60000</v>
      </c>
      <c r="P84">
        <v>-0.62464431799999998</v>
      </c>
      <c r="Q84">
        <v>2809.626088</v>
      </c>
      <c r="R84">
        <v>2.94</v>
      </c>
      <c r="S84">
        <v>1246700</v>
      </c>
      <c r="T84">
        <v>-11.202692000000001</v>
      </c>
      <c r="U84">
        <v>17.873887</v>
      </c>
    </row>
    <row r="85" spans="1:21">
      <c r="A85" t="s">
        <v>24</v>
      </c>
      <c r="B85">
        <v>2020</v>
      </c>
      <c r="C85">
        <v>3527.16</v>
      </c>
      <c r="E85">
        <v>4.49</v>
      </c>
      <c r="F85">
        <v>0</v>
      </c>
      <c r="G85">
        <v>12.1</v>
      </c>
      <c r="H85">
        <v>72.935500000000005</v>
      </c>
      <c r="I85">
        <v>115.43</v>
      </c>
      <c r="K85">
        <v>26</v>
      </c>
      <c r="L85">
        <v>46.890610000000002</v>
      </c>
      <c r="M85">
        <v>50.2</v>
      </c>
      <c r="P85">
        <v>-5.3999873899999997</v>
      </c>
      <c r="Q85">
        <v>1776.166868</v>
      </c>
      <c r="S85">
        <v>1246700</v>
      </c>
      <c r="T85">
        <v>-11.202692000000001</v>
      </c>
      <c r="U85">
        <v>17.873887</v>
      </c>
    </row>
    <row r="86" spans="1:21">
      <c r="A86" t="s">
        <v>25</v>
      </c>
      <c r="B86">
        <v>2000</v>
      </c>
      <c r="C86">
        <v>28457.223000000002</v>
      </c>
      <c r="D86">
        <v>330</v>
      </c>
      <c r="E86">
        <v>0.14000000000000001</v>
      </c>
      <c r="F86">
        <v>0</v>
      </c>
      <c r="G86">
        <v>0</v>
      </c>
      <c r="H86">
        <v>0</v>
      </c>
      <c r="I86">
        <v>0</v>
      </c>
      <c r="J86">
        <v>0</v>
      </c>
      <c r="K86">
        <v>223</v>
      </c>
      <c r="L86">
        <v>97.689260000000004</v>
      </c>
      <c r="M86">
        <v>100</v>
      </c>
      <c r="P86">
        <v>6.2034312539999998</v>
      </c>
      <c r="Q86">
        <v>10872.292949999999</v>
      </c>
      <c r="R86">
        <v>3.13</v>
      </c>
      <c r="S86">
        <v>443</v>
      </c>
      <c r="T86">
        <v>17.060815999999999</v>
      </c>
      <c r="U86">
        <v>-61.796427999999999</v>
      </c>
    </row>
    <row r="87" spans="1:21">
      <c r="A87" t="s">
        <v>25</v>
      </c>
      <c r="B87">
        <v>2001</v>
      </c>
      <c r="C87">
        <v>28025.29</v>
      </c>
      <c r="D87">
        <v>350</v>
      </c>
      <c r="E87">
        <v>0.16</v>
      </c>
      <c r="F87">
        <v>0</v>
      </c>
      <c r="G87">
        <v>0</v>
      </c>
      <c r="H87">
        <v>0</v>
      </c>
      <c r="I87">
        <v>0</v>
      </c>
      <c r="J87">
        <v>0</v>
      </c>
      <c r="K87">
        <v>223</v>
      </c>
      <c r="L87">
        <v>97.785255000000006</v>
      </c>
      <c r="M87">
        <v>100</v>
      </c>
      <c r="P87">
        <v>-4.5480034729999996</v>
      </c>
      <c r="Q87">
        <v>10367.31961</v>
      </c>
      <c r="R87">
        <v>3.31</v>
      </c>
      <c r="S87">
        <v>443</v>
      </c>
      <c r="T87">
        <v>17.060815999999999</v>
      </c>
      <c r="U87">
        <v>-61.796427999999999</v>
      </c>
    </row>
    <row r="88" spans="1:21">
      <c r="A88" t="s">
        <v>25</v>
      </c>
      <c r="B88">
        <v>2002</v>
      </c>
      <c r="C88">
        <v>29660.344000000001</v>
      </c>
      <c r="D88">
        <v>389.99998570000002</v>
      </c>
      <c r="E88">
        <v>0.18</v>
      </c>
      <c r="F88">
        <v>0</v>
      </c>
      <c r="G88">
        <v>0</v>
      </c>
      <c r="H88">
        <v>0</v>
      </c>
      <c r="I88">
        <v>0</v>
      </c>
      <c r="J88">
        <v>0</v>
      </c>
      <c r="K88">
        <v>223</v>
      </c>
      <c r="L88">
        <v>100</v>
      </c>
      <c r="M88">
        <v>100</v>
      </c>
      <c r="P88">
        <v>1.0274419699999999</v>
      </c>
      <c r="Q88">
        <v>10401.050880000001</v>
      </c>
      <c r="R88">
        <v>3.59</v>
      </c>
      <c r="S88">
        <v>443</v>
      </c>
      <c r="T88">
        <v>17.060815999999999</v>
      </c>
      <c r="U88">
        <v>-61.796427999999999</v>
      </c>
    </row>
    <row r="89" spans="1:21">
      <c r="A89" t="s">
        <v>25</v>
      </c>
      <c r="B89">
        <v>2003</v>
      </c>
      <c r="C89">
        <v>30824.252</v>
      </c>
      <c r="D89">
        <v>409.99999639999999</v>
      </c>
      <c r="E89">
        <v>0.2</v>
      </c>
      <c r="F89">
        <v>0</v>
      </c>
      <c r="G89">
        <v>0</v>
      </c>
      <c r="H89">
        <v>0</v>
      </c>
      <c r="I89">
        <v>0</v>
      </c>
      <c r="J89">
        <v>0</v>
      </c>
      <c r="K89">
        <v>223</v>
      </c>
      <c r="L89">
        <v>97.956824999999995</v>
      </c>
      <c r="M89">
        <v>100</v>
      </c>
      <c r="P89">
        <v>6.0765436880000001</v>
      </c>
      <c r="Q89">
        <v>10797.951059999999</v>
      </c>
      <c r="R89">
        <v>3.63</v>
      </c>
      <c r="S89">
        <v>443</v>
      </c>
      <c r="T89">
        <v>17.060815999999999</v>
      </c>
      <c r="U89">
        <v>-61.796427999999999</v>
      </c>
    </row>
    <row r="90" spans="1:21">
      <c r="A90" t="s">
        <v>25</v>
      </c>
      <c r="B90">
        <v>2004</v>
      </c>
      <c r="C90">
        <v>31622.059000000001</v>
      </c>
      <c r="D90">
        <v>400.00000599999998</v>
      </c>
      <c r="E90">
        <v>0.21</v>
      </c>
      <c r="F90">
        <v>0</v>
      </c>
      <c r="G90">
        <v>0</v>
      </c>
      <c r="H90">
        <v>0</v>
      </c>
      <c r="I90">
        <v>0</v>
      </c>
      <c r="J90">
        <v>0</v>
      </c>
      <c r="K90">
        <v>223</v>
      </c>
      <c r="L90">
        <v>98.037099999999995</v>
      </c>
      <c r="M90">
        <v>100</v>
      </c>
      <c r="P90">
        <v>5.7670286119999998</v>
      </c>
      <c r="Q90">
        <v>11446.969139999999</v>
      </c>
      <c r="R90">
        <v>3.57</v>
      </c>
      <c r="S90">
        <v>443</v>
      </c>
      <c r="T90">
        <v>17.060815999999999</v>
      </c>
      <c r="U90">
        <v>-61.796427999999999</v>
      </c>
    </row>
    <row r="91" spans="1:21">
      <c r="A91" t="s">
        <v>25</v>
      </c>
      <c r="B91">
        <v>2005</v>
      </c>
      <c r="C91">
        <v>31734.294999999998</v>
      </c>
      <c r="D91">
        <v>409.99999639999999</v>
      </c>
      <c r="E91">
        <v>0.23</v>
      </c>
      <c r="F91">
        <v>0</v>
      </c>
      <c r="G91">
        <v>0</v>
      </c>
      <c r="H91">
        <v>0</v>
      </c>
      <c r="I91">
        <v>0</v>
      </c>
      <c r="J91">
        <v>0</v>
      </c>
      <c r="K91">
        <v>223</v>
      </c>
      <c r="L91">
        <v>92.2</v>
      </c>
      <c r="M91">
        <v>100</v>
      </c>
      <c r="P91">
        <v>6.4738313160000001</v>
      </c>
      <c r="Q91">
        <v>12557.547850000001</v>
      </c>
      <c r="R91">
        <v>3.4</v>
      </c>
      <c r="S91">
        <v>443</v>
      </c>
      <c r="T91">
        <v>17.060815999999999</v>
      </c>
      <c r="U91">
        <v>-61.796427999999999</v>
      </c>
    </row>
    <row r="92" spans="1:21">
      <c r="A92" t="s">
        <v>25</v>
      </c>
      <c r="B92">
        <v>2006</v>
      </c>
      <c r="C92">
        <v>32290.607</v>
      </c>
      <c r="D92">
        <v>439.99999759999997</v>
      </c>
      <c r="E92">
        <v>0.24</v>
      </c>
      <c r="F92">
        <v>0</v>
      </c>
      <c r="G92">
        <v>0</v>
      </c>
      <c r="H92">
        <v>0</v>
      </c>
      <c r="I92">
        <v>0</v>
      </c>
      <c r="J92">
        <v>0</v>
      </c>
      <c r="K92">
        <v>223</v>
      </c>
      <c r="L92">
        <v>100</v>
      </c>
      <c r="M92">
        <v>100</v>
      </c>
      <c r="P92">
        <v>12.708148530000001</v>
      </c>
      <c r="Q92">
        <v>13995.80442</v>
      </c>
      <c r="R92">
        <v>3.12</v>
      </c>
      <c r="S92">
        <v>443</v>
      </c>
      <c r="T92">
        <v>17.060815999999999</v>
      </c>
      <c r="U92">
        <v>-61.796427999999999</v>
      </c>
    </row>
    <row r="93" spans="1:21">
      <c r="A93" t="s">
        <v>25</v>
      </c>
      <c r="B93">
        <v>2007</v>
      </c>
      <c r="C93">
        <v>33375.836000000003</v>
      </c>
      <c r="D93">
        <v>460.00000829999999</v>
      </c>
      <c r="E93">
        <v>0.26</v>
      </c>
      <c r="F93">
        <v>0</v>
      </c>
      <c r="G93">
        <v>0</v>
      </c>
      <c r="H93">
        <v>0</v>
      </c>
      <c r="I93">
        <v>0</v>
      </c>
      <c r="J93">
        <v>0</v>
      </c>
      <c r="K93">
        <v>223</v>
      </c>
      <c r="L93">
        <v>100</v>
      </c>
      <c r="M93">
        <v>100</v>
      </c>
      <c r="P93">
        <v>9.3153831629999999</v>
      </c>
      <c r="Q93">
        <v>15622.692870000001</v>
      </c>
      <c r="R93">
        <v>3.02</v>
      </c>
      <c r="S93">
        <v>443</v>
      </c>
      <c r="T93">
        <v>17.060815999999999</v>
      </c>
      <c r="U93">
        <v>-61.796427999999999</v>
      </c>
    </row>
    <row r="94" spans="1:21">
      <c r="A94" t="s">
        <v>25</v>
      </c>
      <c r="B94">
        <v>2008</v>
      </c>
      <c r="C94">
        <v>33637.074000000001</v>
      </c>
      <c r="D94">
        <v>479.99998929999998</v>
      </c>
      <c r="E94">
        <v>0.27</v>
      </c>
      <c r="F94">
        <v>0</v>
      </c>
      <c r="G94">
        <v>0</v>
      </c>
      <c r="H94">
        <v>0</v>
      </c>
      <c r="I94">
        <v>0</v>
      </c>
      <c r="J94">
        <v>0</v>
      </c>
      <c r="K94">
        <v>223</v>
      </c>
      <c r="L94">
        <v>100</v>
      </c>
      <c r="M94">
        <v>100</v>
      </c>
      <c r="P94">
        <v>-1.4340652000000001E-2</v>
      </c>
      <c r="Q94">
        <v>16044.105799999999</v>
      </c>
      <c r="R94">
        <v>3.08</v>
      </c>
      <c r="S94">
        <v>443</v>
      </c>
      <c r="T94">
        <v>17.060815999999999</v>
      </c>
      <c r="U94">
        <v>-61.796427999999999</v>
      </c>
    </row>
    <row r="95" spans="1:21">
      <c r="A95" t="s">
        <v>25</v>
      </c>
      <c r="B95">
        <v>2009</v>
      </c>
      <c r="C95">
        <v>34709.18</v>
      </c>
      <c r="D95">
        <v>1389.999986</v>
      </c>
      <c r="E95">
        <v>0.31</v>
      </c>
      <c r="F95">
        <v>0</v>
      </c>
      <c r="G95">
        <v>0</v>
      </c>
      <c r="H95">
        <v>0</v>
      </c>
      <c r="I95">
        <v>1.1499999999999999</v>
      </c>
      <c r="J95">
        <v>0</v>
      </c>
      <c r="K95">
        <v>223</v>
      </c>
      <c r="L95">
        <v>98.481279999999998</v>
      </c>
      <c r="M95">
        <v>100</v>
      </c>
      <c r="P95">
        <v>-11.96269725</v>
      </c>
      <c r="Q95">
        <v>14160.562</v>
      </c>
      <c r="R95">
        <v>3.7</v>
      </c>
      <c r="S95">
        <v>443</v>
      </c>
      <c r="T95">
        <v>17.060815999999999</v>
      </c>
      <c r="U95">
        <v>-61.796427999999999</v>
      </c>
    </row>
    <row r="96" spans="1:21">
      <c r="A96" t="s">
        <v>25</v>
      </c>
      <c r="B96">
        <v>2010</v>
      </c>
      <c r="C96">
        <v>33104.54</v>
      </c>
      <c r="D96">
        <v>490.00000949999998</v>
      </c>
      <c r="E96">
        <v>0.32</v>
      </c>
      <c r="F96">
        <v>0</v>
      </c>
      <c r="G96">
        <v>0</v>
      </c>
      <c r="H96">
        <v>0</v>
      </c>
      <c r="I96">
        <v>1.1399999999999999</v>
      </c>
      <c r="J96">
        <v>0</v>
      </c>
      <c r="K96">
        <v>223</v>
      </c>
      <c r="L96">
        <v>98.597239999999999</v>
      </c>
      <c r="M96">
        <v>100</v>
      </c>
      <c r="P96">
        <v>-7.8405947439999997</v>
      </c>
      <c r="Q96">
        <v>13048.960580000001</v>
      </c>
      <c r="R96">
        <v>4.05</v>
      </c>
      <c r="S96">
        <v>443</v>
      </c>
      <c r="T96">
        <v>17.060815999999999</v>
      </c>
      <c r="U96">
        <v>-61.796427999999999</v>
      </c>
    </row>
    <row r="97" spans="1:21">
      <c r="A97" t="s">
        <v>25</v>
      </c>
      <c r="B97">
        <v>2011</v>
      </c>
      <c r="C97">
        <v>32616.083999999999</v>
      </c>
      <c r="D97">
        <v>540.0000215</v>
      </c>
      <c r="E97">
        <v>0.32</v>
      </c>
      <c r="F97">
        <v>0</v>
      </c>
      <c r="G97">
        <v>0</v>
      </c>
      <c r="H97">
        <v>0</v>
      </c>
      <c r="I97">
        <v>3.36</v>
      </c>
      <c r="J97">
        <v>0.08</v>
      </c>
      <c r="K97">
        <v>223</v>
      </c>
      <c r="L97">
        <v>94.552019999999999</v>
      </c>
      <c r="M97">
        <v>100</v>
      </c>
      <c r="P97">
        <v>-1.958612628</v>
      </c>
      <c r="Q97">
        <v>12746.633470000001</v>
      </c>
      <c r="R97">
        <v>4.08</v>
      </c>
      <c r="S97">
        <v>443</v>
      </c>
      <c r="T97">
        <v>17.060815999999999</v>
      </c>
      <c r="U97">
        <v>-61.796427999999999</v>
      </c>
    </row>
    <row r="98" spans="1:21">
      <c r="A98" t="s">
        <v>25</v>
      </c>
      <c r="B98">
        <v>2012</v>
      </c>
      <c r="C98">
        <v>33159.370000000003</v>
      </c>
      <c r="D98">
        <v>699.9999881</v>
      </c>
      <c r="E98">
        <v>0.31</v>
      </c>
      <c r="F98">
        <v>0</v>
      </c>
      <c r="G98">
        <v>0</v>
      </c>
      <c r="H98">
        <v>0</v>
      </c>
      <c r="I98">
        <v>3.32</v>
      </c>
      <c r="J98">
        <v>0.15</v>
      </c>
      <c r="K98">
        <v>223</v>
      </c>
      <c r="L98">
        <v>100</v>
      </c>
      <c r="M98">
        <v>100</v>
      </c>
      <c r="P98">
        <v>3.3728661999999998</v>
      </c>
      <c r="Q98">
        <v>13272.73494</v>
      </c>
      <c r="R98">
        <v>4.08</v>
      </c>
      <c r="S98">
        <v>443</v>
      </c>
      <c r="T98">
        <v>17.060815999999999</v>
      </c>
      <c r="U98">
        <v>-61.796427999999999</v>
      </c>
    </row>
    <row r="99" spans="1:21">
      <c r="A99" t="s">
        <v>25</v>
      </c>
      <c r="B99">
        <v>2013</v>
      </c>
      <c r="C99">
        <v>32853.875</v>
      </c>
      <c r="D99">
        <v>469.99999880000001</v>
      </c>
      <c r="E99">
        <v>0.31</v>
      </c>
      <c r="F99">
        <v>0</v>
      </c>
      <c r="G99">
        <v>0</v>
      </c>
      <c r="H99">
        <v>0</v>
      </c>
      <c r="I99">
        <v>4.37</v>
      </c>
      <c r="J99">
        <v>0.15</v>
      </c>
      <c r="K99">
        <v>223</v>
      </c>
      <c r="L99">
        <v>100</v>
      </c>
      <c r="M99">
        <v>100</v>
      </c>
      <c r="O99">
        <v>2580000</v>
      </c>
      <c r="P99">
        <v>-0.60087639699999995</v>
      </c>
      <c r="Q99">
        <v>12910.590630000001</v>
      </c>
      <c r="R99">
        <v>4.13</v>
      </c>
      <c r="S99">
        <v>443</v>
      </c>
      <c r="T99">
        <v>17.060815999999999</v>
      </c>
      <c r="U99">
        <v>-61.796427999999999</v>
      </c>
    </row>
    <row r="100" spans="1:21">
      <c r="A100" t="s">
        <v>25</v>
      </c>
      <c r="B100">
        <v>2014</v>
      </c>
      <c r="C100">
        <v>33313</v>
      </c>
      <c r="D100">
        <v>479.99998929999998</v>
      </c>
      <c r="E100">
        <v>0.32</v>
      </c>
      <c r="F100">
        <v>0</v>
      </c>
      <c r="G100">
        <v>0</v>
      </c>
      <c r="H100">
        <v>0</v>
      </c>
      <c r="I100">
        <v>4.32</v>
      </c>
      <c r="J100">
        <v>0.14000000000000001</v>
      </c>
      <c r="K100">
        <v>223</v>
      </c>
      <c r="L100">
        <v>100</v>
      </c>
      <c r="M100">
        <v>100</v>
      </c>
      <c r="P100">
        <v>3.7957276129999999</v>
      </c>
      <c r="Q100">
        <v>13501.58092</v>
      </c>
      <c r="R100">
        <v>4.01</v>
      </c>
      <c r="S100">
        <v>443</v>
      </c>
      <c r="T100">
        <v>17.060815999999999</v>
      </c>
      <c r="U100">
        <v>-61.796427999999999</v>
      </c>
    </row>
    <row r="101" spans="1:21">
      <c r="A101" t="s">
        <v>25</v>
      </c>
      <c r="B101">
        <v>2015</v>
      </c>
      <c r="C101">
        <v>33830.76</v>
      </c>
      <c r="D101">
        <v>490.00000949999998</v>
      </c>
      <c r="E101">
        <v>0.32</v>
      </c>
      <c r="F101">
        <v>0</v>
      </c>
      <c r="G101">
        <v>0.01</v>
      </c>
      <c r="H101">
        <v>3.030303</v>
      </c>
      <c r="I101">
        <v>36.340000000000003</v>
      </c>
      <c r="J101">
        <v>0.48</v>
      </c>
      <c r="K101">
        <v>223</v>
      </c>
      <c r="L101">
        <v>100</v>
      </c>
      <c r="M101">
        <v>100</v>
      </c>
      <c r="O101">
        <v>6970000</v>
      </c>
      <c r="P101">
        <v>3.825293099</v>
      </c>
      <c r="Q101">
        <v>14285.32978</v>
      </c>
      <c r="R101">
        <v>3.98</v>
      </c>
      <c r="S101">
        <v>443</v>
      </c>
      <c r="T101">
        <v>17.060815999999999</v>
      </c>
      <c r="U101">
        <v>-61.796427999999999</v>
      </c>
    </row>
    <row r="102" spans="1:21">
      <c r="A102" t="s">
        <v>25</v>
      </c>
      <c r="B102">
        <v>2016</v>
      </c>
      <c r="C102">
        <v>34089.410000000003</v>
      </c>
      <c r="D102">
        <v>500</v>
      </c>
      <c r="E102">
        <v>0.32</v>
      </c>
      <c r="F102">
        <v>0</v>
      </c>
      <c r="G102">
        <v>0</v>
      </c>
      <c r="H102">
        <v>0</v>
      </c>
      <c r="I102">
        <v>37.03</v>
      </c>
      <c r="J102">
        <v>0.6</v>
      </c>
      <c r="K102">
        <v>223</v>
      </c>
      <c r="L102">
        <v>100</v>
      </c>
      <c r="M102">
        <v>100</v>
      </c>
      <c r="P102">
        <v>5.4964592039999998</v>
      </c>
      <c r="Q102">
        <v>15198.742969999999</v>
      </c>
      <c r="R102">
        <v>3.85</v>
      </c>
      <c r="S102">
        <v>443</v>
      </c>
      <c r="T102">
        <v>17.060815999999999</v>
      </c>
      <c r="U102">
        <v>-61.796427999999999</v>
      </c>
    </row>
    <row r="103" spans="1:21">
      <c r="A103" t="s">
        <v>25</v>
      </c>
      <c r="B103">
        <v>2017</v>
      </c>
      <c r="C103">
        <v>32233.041000000001</v>
      </c>
      <c r="D103">
        <v>500</v>
      </c>
      <c r="E103">
        <v>0.32</v>
      </c>
      <c r="F103">
        <v>0</v>
      </c>
      <c r="G103">
        <v>0.01</v>
      </c>
      <c r="H103">
        <v>3.030303</v>
      </c>
      <c r="I103">
        <v>40.869999999999997</v>
      </c>
      <c r="J103">
        <v>0.6</v>
      </c>
      <c r="K103">
        <v>223</v>
      </c>
      <c r="L103">
        <v>100</v>
      </c>
      <c r="M103">
        <v>100</v>
      </c>
      <c r="O103">
        <v>19550000</v>
      </c>
      <c r="P103">
        <v>3.1443232399999999</v>
      </c>
      <c r="Q103">
        <v>15383.5764</v>
      </c>
      <c r="R103">
        <v>3.73</v>
      </c>
      <c r="S103">
        <v>443</v>
      </c>
      <c r="T103">
        <v>17.060815999999999</v>
      </c>
      <c r="U103">
        <v>-61.796427999999999</v>
      </c>
    </row>
    <row r="104" spans="1:21">
      <c r="A104" t="s">
        <v>25</v>
      </c>
      <c r="B104">
        <v>2018</v>
      </c>
      <c r="C104">
        <v>33026.226999999999</v>
      </c>
      <c r="D104">
        <v>509.99999050000002</v>
      </c>
      <c r="E104">
        <v>0.32</v>
      </c>
      <c r="F104">
        <v>0</v>
      </c>
      <c r="G104">
        <v>0.01</v>
      </c>
      <c r="H104">
        <v>3.030303</v>
      </c>
      <c r="I104">
        <v>86.21</v>
      </c>
      <c r="J104">
        <v>0.9</v>
      </c>
      <c r="K104">
        <v>223</v>
      </c>
      <c r="L104">
        <v>100</v>
      </c>
      <c r="M104">
        <v>100</v>
      </c>
      <c r="P104">
        <v>6.8836408169999999</v>
      </c>
      <c r="Q104">
        <v>16679.591659999998</v>
      </c>
      <c r="R104">
        <v>3.57</v>
      </c>
      <c r="S104">
        <v>443</v>
      </c>
      <c r="T104">
        <v>17.060815999999999</v>
      </c>
      <c r="U104">
        <v>-61.796427999999999</v>
      </c>
    </row>
    <row r="105" spans="1:21">
      <c r="A105" t="s">
        <v>25</v>
      </c>
      <c r="B105">
        <v>2019</v>
      </c>
      <c r="C105">
        <v>33027.516000000003</v>
      </c>
      <c r="D105">
        <v>519.99998089999997</v>
      </c>
      <c r="E105">
        <v>0.33</v>
      </c>
      <c r="F105">
        <v>0</v>
      </c>
      <c r="G105">
        <v>0.01</v>
      </c>
      <c r="H105">
        <v>2.9411763999999998</v>
      </c>
      <c r="I105">
        <v>85.47</v>
      </c>
      <c r="J105">
        <v>0.91</v>
      </c>
      <c r="K105">
        <v>223</v>
      </c>
      <c r="L105">
        <v>100</v>
      </c>
      <c r="M105">
        <v>100</v>
      </c>
      <c r="P105">
        <v>4.8622361659999997</v>
      </c>
      <c r="Q105">
        <v>17376.649679999999</v>
      </c>
      <c r="R105">
        <v>3.45</v>
      </c>
      <c r="S105">
        <v>443</v>
      </c>
      <c r="T105">
        <v>17.060815999999999</v>
      </c>
      <c r="U105">
        <v>-61.796427999999999</v>
      </c>
    </row>
    <row r="106" spans="1:21">
      <c r="A106" t="s">
        <v>25</v>
      </c>
      <c r="B106">
        <v>2020</v>
      </c>
      <c r="C106">
        <v>27785.226999999999</v>
      </c>
      <c r="E106">
        <v>0.31</v>
      </c>
      <c r="F106">
        <v>0</v>
      </c>
      <c r="G106">
        <v>0.02</v>
      </c>
      <c r="H106">
        <v>6.0606059999999999</v>
      </c>
      <c r="I106">
        <v>167.98</v>
      </c>
      <c r="K106">
        <v>223</v>
      </c>
      <c r="L106">
        <v>100</v>
      </c>
      <c r="M106">
        <v>100</v>
      </c>
      <c r="P106">
        <v>-20.192370570000001</v>
      </c>
      <c r="Q106">
        <v>13992.744479999999</v>
      </c>
      <c r="S106">
        <v>443</v>
      </c>
      <c r="T106">
        <v>17.060815999999999</v>
      </c>
      <c r="U106">
        <v>-61.796427999999999</v>
      </c>
    </row>
    <row r="107" spans="1:21">
      <c r="A107" t="s">
        <v>26</v>
      </c>
      <c r="B107">
        <v>2000</v>
      </c>
      <c r="C107">
        <v>18849.810000000001</v>
      </c>
      <c r="D107">
        <v>132270</v>
      </c>
      <c r="E107">
        <v>50.37</v>
      </c>
      <c r="F107">
        <v>5.99</v>
      </c>
      <c r="G107">
        <v>28.89</v>
      </c>
      <c r="H107">
        <v>40.914954999999999</v>
      </c>
      <c r="I107">
        <v>235.62</v>
      </c>
      <c r="J107">
        <v>9.85</v>
      </c>
      <c r="K107">
        <v>17</v>
      </c>
      <c r="L107">
        <v>95.783289999999994</v>
      </c>
      <c r="M107">
        <v>95</v>
      </c>
      <c r="N107">
        <v>12.283858</v>
      </c>
      <c r="P107">
        <v>-0.78899893899999995</v>
      </c>
      <c r="Q107">
        <v>7708.099115</v>
      </c>
      <c r="R107">
        <v>3.69</v>
      </c>
      <c r="S107">
        <v>2780400</v>
      </c>
      <c r="T107">
        <v>-38.416097000000001</v>
      </c>
      <c r="U107">
        <v>-63.616672000000001</v>
      </c>
    </row>
    <row r="108" spans="1:21">
      <c r="A108" t="s">
        <v>26</v>
      </c>
      <c r="B108">
        <v>2001</v>
      </c>
      <c r="C108">
        <v>18210.12</v>
      </c>
      <c r="D108">
        <v>125260</v>
      </c>
      <c r="E108">
        <v>42.91</v>
      </c>
      <c r="F108">
        <v>6.54</v>
      </c>
      <c r="G108">
        <v>37.04</v>
      </c>
      <c r="H108">
        <v>50.387329999999999</v>
      </c>
      <c r="I108">
        <v>234.09</v>
      </c>
      <c r="J108">
        <v>11.51</v>
      </c>
      <c r="K108">
        <v>17</v>
      </c>
      <c r="L108">
        <v>95.511060000000001</v>
      </c>
      <c r="M108">
        <v>95.6</v>
      </c>
      <c r="N108">
        <v>15.937488</v>
      </c>
      <c r="O108">
        <v>3890000</v>
      </c>
      <c r="P108">
        <v>-4.4088396830000001</v>
      </c>
      <c r="Q108">
        <v>7208.373114</v>
      </c>
      <c r="R108">
        <v>3.59</v>
      </c>
      <c r="S108">
        <v>2780400</v>
      </c>
      <c r="T108">
        <v>-38.416097000000001</v>
      </c>
      <c r="U108">
        <v>-63.616672000000001</v>
      </c>
    </row>
    <row r="109" spans="1:21">
      <c r="A109" t="s">
        <v>26</v>
      </c>
      <c r="B109">
        <v>2002</v>
      </c>
      <c r="C109">
        <v>17275.256000000001</v>
      </c>
      <c r="D109">
        <v>117470.0012</v>
      </c>
      <c r="E109">
        <v>39.700000000000003</v>
      </c>
      <c r="F109">
        <v>5.39</v>
      </c>
      <c r="G109">
        <v>36.06</v>
      </c>
      <c r="H109">
        <v>51.078249999999997</v>
      </c>
      <c r="I109">
        <v>236.78</v>
      </c>
      <c r="J109">
        <v>11.62</v>
      </c>
      <c r="K109">
        <v>17</v>
      </c>
      <c r="L109">
        <v>96.228870000000001</v>
      </c>
      <c r="M109">
        <v>96.1</v>
      </c>
      <c r="N109">
        <v>16.249306000000001</v>
      </c>
      <c r="P109">
        <v>-10.89448483</v>
      </c>
      <c r="Q109">
        <v>2593.4045630000001</v>
      </c>
      <c r="R109">
        <v>3.99</v>
      </c>
      <c r="S109">
        <v>2780400</v>
      </c>
      <c r="T109">
        <v>-38.416097000000001</v>
      </c>
      <c r="U109">
        <v>-63.616672000000001</v>
      </c>
    </row>
    <row r="110" spans="1:21">
      <c r="A110" t="s">
        <v>26</v>
      </c>
      <c r="B110">
        <v>2003</v>
      </c>
      <c r="C110">
        <v>18326.521000000001</v>
      </c>
      <c r="D110">
        <v>127660.0037</v>
      </c>
      <c r="E110">
        <v>46.73</v>
      </c>
      <c r="F110">
        <v>7.03</v>
      </c>
      <c r="G110">
        <v>34.380000000000003</v>
      </c>
      <c r="H110">
        <v>46.982075000000002</v>
      </c>
      <c r="I110">
        <v>234.82</v>
      </c>
      <c r="J110">
        <v>10.82</v>
      </c>
      <c r="K110">
        <v>17</v>
      </c>
      <c r="L110">
        <v>96.442634999999996</v>
      </c>
      <c r="M110">
        <v>96.45</v>
      </c>
      <c r="N110">
        <v>14.408258999999999</v>
      </c>
      <c r="O110">
        <v>50000</v>
      </c>
      <c r="P110">
        <v>8.8370407960000001</v>
      </c>
      <c r="Q110">
        <v>3349.8063000000002</v>
      </c>
      <c r="R110">
        <v>3.97</v>
      </c>
      <c r="S110">
        <v>2780400</v>
      </c>
      <c r="T110">
        <v>-38.416097000000001</v>
      </c>
      <c r="U110">
        <v>-63.616672000000001</v>
      </c>
    </row>
    <row r="111" spans="1:21">
      <c r="A111" t="s">
        <v>26</v>
      </c>
      <c r="B111">
        <v>2004</v>
      </c>
      <c r="C111">
        <v>19261.456999999999</v>
      </c>
      <c r="D111">
        <v>141380.0049</v>
      </c>
      <c r="E111">
        <v>57.35</v>
      </c>
      <c r="F111">
        <v>7.31</v>
      </c>
      <c r="G111">
        <v>31.03</v>
      </c>
      <c r="H111">
        <v>40.066882999999997</v>
      </c>
      <c r="I111">
        <v>236.15</v>
      </c>
      <c r="J111">
        <v>9.2899999999999991</v>
      </c>
      <c r="K111">
        <v>17</v>
      </c>
      <c r="L111">
        <v>96.653499999999994</v>
      </c>
      <c r="M111">
        <v>97.2</v>
      </c>
      <c r="N111">
        <v>12.185575500000001</v>
      </c>
      <c r="O111">
        <v>40960000</v>
      </c>
      <c r="P111">
        <v>9.0295733009999992</v>
      </c>
      <c r="Q111">
        <v>4277.7215729999998</v>
      </c>
      <c r="R111">
        <v>4.04</v>
      </c>
      <c r="S111">
        <v>2780400</v>
      </c>
      <c r="T111">
        <v>-38.416097000000001</v>
      </c>
      <c r="U111">
        <v>-63.616672000000001</v>
      </c>
    </row>
    <row r="112" spans="1:21">
      <c r="A112" t="s">
        <v>26</v>
      </c>
      <c r="B112">
        <v>2005</v>
      </c>
      <c r="C112">
        <v>20232.844000000001</v>
      </c>
      <c r="D112">
        <v>145990.0055</v>
      </c>
      <c r="E112">
        <v>59.89</v>
      </c>
      <c r="F112">
        <v>6.37</v>
      </c>
      <c r="G112">
        <v>34.6</v>
      </c>
      <c r="H112">
        <v>40.620663</v>
      </c>
      <c r="I112">
        <v>234.67</v>
      </c>
      <c r="J112">
        <v>9.64</v>
      </c>
      <c r="K112">
        <v>17</v>
      </c>
      <c r="L112">
        <v>96.863845999999995</v>
      </c>
      <c r="M112">
        <v>97.5</v>
      </c>
      <c r="N112">
        <v>12.788524000000001</v>
      </c>
      <c r="O112">
        <v>280000</v>
      </c>
      <c r="P112">
        <v>8.8516599199999995</v>
      </c>
      <c r="Q112">
        <v>5109.852245</v>
      </c>
      <c r="R112">
        <v>3.68</v>
      </c>
      <c r="S112">
        <v>2780400</v>
      </c>
      <c r="T112">
        <v>-38.416097000000001</v>
      </c>
      <c r="U112">
        <v>-63.616672000000001</v>
      </c>
    </row>
    <row r="113" spans="1:21">
      <c r="A113" t="s">
        <v>26</v>
      </c>
      <c r="B113">
        <v>2006</v>
      </c>
      <c r="C113">
        <v>21038.723000000002</v>
      </c>
      <c r="D113">
        <v>154899.9939</v>
      </c>
      <c r="E113">
        <v>65.58</v>
      </c>
      <c r="F113">
        <v>7.15</v>
      </c>
      <c r="G113">
        <v>38.67</v>
      </c>
      <c r="H113">
        <v>41.131058000000003</v>
      </c>
      <c r="I113">
        <v>232.56</v>
      </c>
      <c r="J113">
        <v>9.18</v>
      </c>
      <c r="K113">
        <v>17</v>
      </c>
      <c r="L113">
        <v>97.076059999999998</v>
      </c>
      <c r="M113">
        <v>98.1</v>
      </c>
      <c r="N113">
        <v>13.449462</v>
      </c>
      <c r="O113">
        <v>440000</v>
      </c>
      <c r="P113">
        <v>8.0471515</v>
      </c>
      <c r="Q113">
        <v>5919.0123380000005</v>
      </c>
      <c r="R113">
        <v>3.58</v>
      </c>
      <c r="S113">
        <v>2780400</v>
      </c>
      <c r="T113">
        <v>-38.416097000000001</v>
      </c>
      <c r="U113">
        <v>-63.616672000000001</v>
      </c>
    </row>
    <row r="114" spans="1:21">
      <c r="A114" t="s">
        <v>26</v>
      </c>
      <c r="B114">
        <v>2007</v>
      </c>
      <c r="C114">
        <v>21708.37</v>
      </c>
      <c r="D114">
        <v>162809.9976</v>
      </c>
      <c r="E114">
        <v>72.95</v>
      </c>
      <c r="F114">
        <v>6.72</v>
      </c>
      <c r="G114">
        <v>31.18</v>
      </c>
      <c r="H114">
        <v>34.190350000000002</v>
      </c>
      <c r="I114">
        <v>236.6</v>
      </c>
      <c r="J114">
        <v>7.72</v>
      </c>
      <c r="K114">
        <v>17</v>
      </c>
      <c r="L114">
        <v>97.292789999999997</v>
      </c>
      <c r="M114">
        <v>98.3</v>
      </c>
      <c r="N114">
        <v>10.599154</v>
      </c>
      <c r="O114">
        <v>360000</v>
      </c>
      <c r="P114">
        <v>9.0076508749999995</v>
      </c>
      <c r="Q114">
        <v>7245.4468569999999</v>
      </c>
      <c r="R114">
        <v>3.44</v>
      </c>
      <c r="S114">
        <v>2780400</v>
      </c>
      <c r="T114">
        <v>-38.416097000000001</v>
      </c>
      <c r="U114">
        <v>-63.616672000000001</v>
      </c>
    </row>
    <row r="115" spans="1:21">
      <c r="A115" t="s">
        <v>26</v>
      </c>
      <c r="B115">
        <v>2008</v>
      </c>
      <c r="C115">
        <v>21780.38</v>
      </c>
      <c r="D115">
        <v>167229.9957</v>
      </c>
      <c r="E115">
        <v>76.62</v>
      </c>
      <c r="F115">
        <v>6.85</v>
      </c>
      <c r="G115">
        <v>31.28</v>
      </c>
      <c r="H115">
        <v>33.228760000000001</v>
      </c>
      <c r="I115">
        <v>234.79</v>
      </c>
      <c r="J115">
        <v>7.65</v>
      </c>
      <c r="K115">
        <v>17</v>
      </c>
      <c r="L115">
        <v>97.516754000000006</v>
      </c>
      <c r="M115">
        <v>98.6</v>
      </c>
      <c r="N115">
        <v>10.437063999999999</v>
      </c>
      <c r="O115">
        <v>22940000</v>
      </c>
      <c r="P115">
        <v>4.0572331029999997</v>
      </c>
      <c r="Q115">
        <v>9020.8733229999998</v>
      </c>
      <c r="R115">
        <v>3.42</v>
      </c>
      <c r="S115">
        <v>2780400</v>
      </c>
      <c r="T115">
        <v>-38.416097000000001</v>
      </c>
      <c r="U115">
        <v>-63.616672000000001</v>
      </c>
    </row>
    <row r="116" spans="1:21">
      <c r="A116" t="s">
        <v>26</v>
      </c>
      <c r="B116">
        <v>2009</v>
      </c>
      <c r="C116">
        <v>20954.271000000001</v>
      </c>
      <c r="D116">
        <v>156570.0073</v>
      </c>
      <c r="E116">
        <v>74.010000000000005</v>
      </c>
      <c r="F116">
        <v>7.59</v>
      </c>
      <c r="G116">
        <v>34.700000000000003</v>
      </c>
      <c r="H116">
        <v>36.362853999999999</v>
      </c>
      <c r="I116">
        <v>241.83</v>
      </c>
      <c r="J116">
        <v>8.59</v>
      </c>
      <c r="K116">
        <v>17</v>
      </c>
      <c r="L116">
        <v>97.750656000000006</v>
      </c>
      <c r="M116">
        <v>98.9</v>
      </c>
      <c r="N116">
        <v>11.783505999999999</v>
      </c>
      <c r="O116">
        <v>39080000</v>
      </c>
      <c r="P116">
        <v>-5.9185250759999999</v>
      </c>
      <c r="Q116">
        <v>8225.1375829999997</v>
      </c>
      <c r="R116">
        <v>3.35</v>
      </c>
      <c r="S116">
        <v>2780400</v>
      </c>
      <c r="T116">
        <v>-38.416097000000001</v>
      </c>
      <c r="U116">
        <v>-63.616672000000001</v>
      </c>
    </row>
    <row r="117" spans="1:21">
      <c r="A117" t="s">
        <v>26</v>
      </c>
      <c r="B117">
        <v>2010</v>
      </c>
      <c r="C117">
        <v>21507.703000000001</v>
      </c>
      <c r="D117">
        <v>167220.0012</v>
      </c>
      <c r="E117">
        <v>78.540000000000006</v>
      </c>
      <c r="F117">
        <v>6.69</v>
      </c>
      <c r="G117">
        <v>34.409999999999997</v>
      </c>
      <c r="H117">
        <v>34.353057999999997</v>
      </c>
      <c r="I117">
        <v>239.96</v>
      </c>
      <c r="J117">
        <v>8.7899999999999991</v>
      </c>
      <c r="K117">
        <v>17</v>
      </c>
      <c r="L117">
        <v>98.82</v>
      </c>
      <c r="M117">
        <v>99.1</v>
      </c>
      <c r="N117">
        <v>11.661375</v>
      </c>
      <c r="O117">
        <v>1040000</v>
      </c>
      <c r="P117">
        <v>10.12539816</v>
      </c>
      <c r="Q117">
        <v>10385.96443</v>
      </c>
      <c r="R117">
        <v>3.26</v>
      </c>
      <c r="S117">
        <v>2780400</v>
      </c>
      <c r="T117">
        <v>-38.416097000000001</v>
      </c>
      <c r="U117">
        <v>-63.616672000000001</v>
      </c>
    </row>
    <row r="118" spans="1:21">
      <c r="A118" t="s">
        <v>26</v>
      </c>
      <c r="B118">
        <v>2011</v>
      </c>
      <c r="C118">
        <v>21894.866999999998</v>
      </c>
      <c r="D118">
        <v>176639.9994</v>
      </c>
      <c r="E118">
        <v>84.43</v>
      </c>
      <c r="F118">
        <v>5.89</v>
      </c>
      <c r="G118">
        <v>32.43</v>
      </c>
      <c r="H118">
        <v>31.217922000000002</v>
      </c>
      <c r="I118">
        <v>251.14</v>
      </c>
      <c r="J118">
        <v>8.83</v>
      </c>
      <c r="K118">
        <v>17</v>
      </c>
      <c r="L118">
        <v>99.095349999999996</v>
      </c>
      <c r="M118">
        <v>99.3</v>
      </c>
      <c r="N118">
        <v>10.929448000000001</v>
      </c>
      <c r="O118">
        <v>69260000</v>
      </c>
      <c r="P118">
        <v>6.0039516930000003</v>
      </c>
      <c r="Q118">
        <v>12848.8642</v>
      </c>
      <c r="R118">
        <v>3.18</v>
      </c>
      <c r="S118">
        <v>2780400</v>
      </c>
      <c r="T118">
        <v>-38.416097000000001</v>
      </c>
      <c r="U118">
        <v>-63.616672000000001</v>
      </c>
    </row>
    <row r="119" spans="1:21">
      <c r="A119" t="s">
        <v>26</v>
      </c>
      <c r="B119">
        <v>2012</v>
      </c>
      <c r="C119">
        <v>22494.715</v>
      </c>
      <c r="D119">
        <v>177960.0067</v>
      </c>
      <c r="E119">
        <v>91.86</v>
      </c>
      <c r="F119">
        <v>5.9</v>
      </c>
      <c r="G119">
        <v>30.93</v>
      </c>
      <c r="H119">
        <v>28.619164000000001</v>
      </c>
      <c r="I119">
        <v>252.14</v>
      </c>
      <c r="J119">
        <v>8.61</v>
      </c>
      <c r="K119">
        <v>17</v>
      </c>
      <c r="L119">
        <v>99.229979999999998</v>
      </c>
      <c r="M119">
        <v>99.5</v>
      </c>
      <c r="N119">
        <v>10.216426</v>
      </c>
      <c r="O119">
        <v>256070000</v>
      </c>
      <c r="P119">
        <v>-1.0264204539999999</v>
      </c>
      <c r="Q119">
        <v>13082.66433</v>
      </c>
      <c r="R119">
        <v>3.3</v>
      </c>
      <c r="S119">
        <v>2780400</v>
      </c>
      <c r="T119">
        <v>-38.416097000000001</v>
      </c>
      <c r="U119">
        <v>-63.616672000000001</v>
      </c>
    </row>
    <row r="120" spans="1:21">
      <c r="A120" t="s">
        <v>26</v>
      </c>
      <c r="B120">
        <v>2013</v>
      </c>
      <c r="C120">
        <v>23152.588</v>
      </c>
      <c r="D120">
        <v>183250</v>
      </c>
      <c r="E120">
        <v>91.55</v>
      </c>
      <c r="F120">
        <v>5.73</v>
      </c>
      <c r="G120">
        <v>35.03</v>
      </c>
      <c r="H120">
        <v>30.806438</v>
      </c>
      <c r="I120">
        <v>250.97</v>
      </c>
      <c r="J120">
        <v>8.91</v>
      </c>
      <c r="K120">
        <v>17</v>
      </c>
      <c r="L120">
        <v>99.342674000000002</v>
      </c>
      <c r="M120">
        <v>99.6</v>
      </c>
      <c r="N120">
        <v>10.950079000000001</v>
      </c>
      <c r="O120">
        <v>47820000</v>
      </c>
      <c r="P120">
        <v>2.4053237809999999</v>
      </c>
      <c r="Q120">
        <v>13080.254730000001</v>
      </c>
      <c r="R120">
        <v>3.31</v>
      </c>
      <c r="S120">
        <v>2780400</v>
      </c>
      <c r="T120">
        <v>-38.416097000000001</v>
      </c>
      <c r="U120">
        <v>-63.616672000000001</v>
      </c>
    </row>
    <row r="121" spans="1:21">
      <c r="A121" t="s">
        <v>26</v>
      </c>
      <c r="B121">
        <v>2014</v>
      </c>
      <c r="C121">
        <v>22881.006000000001</v>
      </c>
      <c r="D121">
        <v>179600.0061</v>
      </c>
      <c r="E121">
        <v>92.18</v>
      </c>
      <c r="F121">
        <v>5.26</v>
      </c>
      <c r="G121">
        <v>34.369999999999997</v>
      </c>
      <c r="H121">
        <v>30.066004</v>
      </c>
      <c r="I121">
        <v>248.74</v>
      </c>
      <c r="J121">
        <v>9.7899999999999991</v>
      </c>
      <c r="K121">
        <v>17</v>
      </c>
      <c r="L121">
        <v>100</v>
      </c>
      <c r="M121">
        <v>99.7</v>
      </c>
      <c r="N121">
        <v>11.038978</v>
      </c>
      <c r="O121">
        <v>2472850000</v>
      </c>
      <c r="P121">
        <v>-2.5126153210000002</v>
      </c>
      <c r="Q121">
        <v>12334.79825</v>
      </c>
      <c r="R121">
        <v>3.4</v>
      </c>
      <c r="S121">
        <v>2780400</v>
      </c>
      <c r="T121">
        <v>-38.416097000000001</v>
      </c>
      <c r="U121">
        <v>-63.616672000000001</v>
      </c>
    </row>
    <row r="122" spans="1:21">
      <c r="A122" t="s">
        <v>26</v>
      </c>
      <c r="B122">
        <v>2015</v>
      </c>
      <c r="C122">
        <v>23046.873</v>
      </c>
      <c r="D122">
        <v>185550.0031</v>
      </c>
      <c r="E122">
        <v>97.18</v>
      </c>
      <c r="F122">
        <v>6.64</v>
      </c>
      <c r="G122">
        <v>33.97</v>
      </c>
      <c r="H122">
        <v>29.472387000000001</v>
      </c>
      <c r="I122">
        <v>247.37</v>
      </c>
      <c r="J122">
        <v>9.4</v>
      </c>
      <c r="K122">
        <v>17</v>
      </c>
      <c r="L122">
        <v>99.625389999999996</v>
      </c>
      <c r="M122">
        <v>99.7</v>
      </c>
      <c r="N122">
        <v>10.907397</v>
      </c>
      <c r="O122">
        <v>109830000</v>
      </c>
      <c r="P122">
        <v>2.731159828</v>
      </c>
      <c r="Q122">
        <v>13789.06042</v>
      </c>
      <c r="R122">
        <v>3.36</v>
      </c>
      <c r="S122">
        <v>2780400</v>
      </c>
      <c r="T122">
        <v>-38.416097000000001</v>
      </c>
      <c r="U122">
        <v>-63.616672000000001</v>
      </c>
    </row>
    <row r="123" spans="1:21">
      <c r="A123" t="s">
        <v>26</v>
      </c>
      <c r="B123">
        <v>2016</v>
      </c>
      <c r="C123">
        <v>22726.455000000002</v>
      </c>
      <c r="D123">
        <v>183160.0037</v>
      </c>
      <c r="E123">
        <v>100.8</v>
      </c>
      <c r="F123">
        <v>7.82</v>
      </c>
      <c r="G123">
        <v>31.02</v>
      </c>
      <c r="H123">
        <v>27.81438</v>
      </c>
      <c r="I123">
        <v>245.23</v>
      </c>
      <c r="J123">
        <v>9.3800000000000008</v>
      </c>
      <c r="K123">
        <v>17</v>
      </c>
      <c r="L123">
        <v>99.849580000000003</v>
      </c>
      <c r="M123">
        <v>99.8</v>
      </c>
      <c r="N123">
        <v>10.167007</v>
      </c>
      <c r="O123">
        <v>250160000</v>
      </c>
      <c r="P123">
        <v>-2.0803278440000001</v>
      </c>
      <c r="Q123">
        <v>12790.242469999999</v>
      </c>
      <c r="R123">
        <v>3.41</v>
      </c>
      <c r="S123">
        <v>2780400</v>
      </c>
      <c r="T123">
        <v>-38.416097000000001</v>
      </c>
      <c r="U123">
        <v>-63.616672000000001</v>
      </c>
    </row>
    <row r="124" spans="1:21">
      <c r="A124" t="s">
        <v>26</v>
      </c>
      <c r="B124">
        <v>2017</v>
      </c>
      <c r="C124">
        <v>22503.817999999999</v>
      </c>
      <c r="D124">
        <v>179320.0073</v>
      </c>
      <c r="E124">
        <v>99.4</v>
      </c>
      <c r="F124">
        <v>5.77</v>
      </c>
      <c r="G124">
        <v>33.4</v>
      </c>
      <c r="H124">
        <v>28.267298</v>
      </c>
      <c r="I124">
        <v>244.82</v>
      </c>
      <c r="J124">
        <v>10.37</v>
      </c>
      <c r="K124">
        <v>17</v>
      </c>
      <c r="L124">
        <v>100</v>
      </c>
      <c r="M124">
        <v>99.8</v>
      </c>
      <c r="N124">
        <v>10.964719000000001</v>
      </c>
      <c r="O124">
        <v>503740000</v>
      </c>
      <c r="P124">
        <v>2.8185029780000002</v>
      </c>
      <c r="Q124">
        <v>14613.04182</v>
      </c>
      <c r="R124">
        <v>3.32</v>
      </c>
      <c r="S124">
        <v>2780400</v>
      </c>
      <c r="T124">
        <v>-38.416097000000001</v>
      </c>
      <c r="U124">
        <v>-63.616672000000001</v>
      </c>
    </row>
    <row r="125" spans="1:21">
      <c r="A125" t="s">
        <v>26</v>
      </c>
      <c r="B125">
        <v>2018</v>
      </c>
      <c r="C125">
        <v>22163.16</v>
      </c>
      <c r="D125">
        <v>176899.9939</v>
      </c>
      <c r="E125">
        <v>98.31</v>
      </c>
      <c r="F125">
        <v>6.51</v>
      </c>
      <c r="G125">
        <v>34.97</v>
      </c>
      <c r="H125">
        <v>29.673082000000001</v>
      </c>
      <c r="I125">
        <v>259.47000000000003</v>
      </c>
      <c r="J125">
        <v>10.52</v>
      </c>
      <c r="K125">
        <v>17</v>
      </c>
      <c r="L125">
        <v>99.989580000000004</v>
      </c>
      <c r="M125">
        <v>99.8</v>
      </c>
      <c r="N125">
        <v>11.397629999999999</v>
      </c>
      <c r="O125">
        <v>492720000</v>
      </c>
      <c r="P125">
        <v>-2.617396463</v>
      </c>
      <c r="Q125">
        <v>11795.159390000001</v>
      </c>
      <c r="R125">
        <v>3.31</v>
      </c>
      <c r="S125">
        <v>2780400</v>
      </c>
      <c r="T125">
        <v>-38.416097000000001</v>
      </c>
      <c r="U125">
        <v>-63.616672000000001</v>
      </c>
    </row>
    <row r="126" spans="1:21">
      <c r="A126" t="s">
        <v>26</v>
      </c>
      <c r="B126">
        <v>2019</v>
      </c>
      <c r="C126">
        <v>20725.168000000001</v>
      </c>
      <c r="D126">
        <v>168100.0061</v>
      </c>
      <c r="E126">
        <v>90.56</v>
      </c>
      <c r="F126">
        <v>7.97</v>
      </c>
      <c r="G126">
        <v>34.630000000000003</v>
      </c>
      <c r="H126">
        <v>31.991589000000001</v>
      </c>
      <c r="I126">
        <v>283.38</v>
      </c>
      <c r="J126">
        <v>10.74</v>
      </c>
      <c r="K126">
        <v>17</v>
      </c>
      <c r="L126">
        <v>100</v>
      </c>
      <c r="M126">
        <v>99.9</v>
      </c>
      <c r="N126">
        <v>11.926772</v>
      </c>
      <c r="O126">
        <v>474460000</v>
      </c>
      <c r="P126">
        <v>-2.025934237</v>
      </c>
      <c r="Q126">
        <v>10056.637940000001</v>
      </c>
      <c r="R126">
        <v>3.35</v>
      </c>
      <c r="S126">
        <v>2780400</v>
      </c>
      <c r="T126">
        <v>-38.416097000000001</v>
      </c>
      <c r="U126">
        <v>-63.616672000000001</v>
      </c>
    </row>
    <row r="127" spans="1:21">
      <c r="A127" t="s">
        <v>26</v>
      </c>
      <c r="B127">
        <v>2020</v>
      </c>
      <c r="C127">
        <v>19314.065999999999</v>
      </c>
      <c r="E127">
        <v>91.58</v>
      </c>
      <c r="F127">
        <v>10.06</v>
      </c>
      <c r="G127">
        <v>37.049999999999997</v>
      </c>
      <c r="H127">
        <v>33.967841999999997</v>
      </c>
      <c r="I127">
        <v>311.27999999999997</v>
      </c>
      <c r="K127">
        <v>17</v>
      </c>
      <c r="L127">
        <v>100</v>
      </c>
      <c r="M127">
        <v>99.9</v>
      </c>
      <c r="N127">
        <v>12.179417000000001</v>
      </c>
      <c r="P127">
        <v>-9.8952689639999996</v>
      </c>
      <c r="Q127">
        <v>8579.0177729999996</v>
      </c>
      <c r="S127">
        <v>2780400</v>
      </c>
      <c r="T127">
        <v>-38.416097000000001</v>
      </c>
      <c r="U127">
        <v>-63.616672000000001</v>
      </c>
    </row>
    <row r="128" spans="1:21">
      <c r="A128" t="s">
        <v>27</v>
      </c>
      <c r="B128">
        <v>2000</v>
      </c>
      <c r="C128">
        <v>9270.4539999999997</v>
      </c>
      <c r="D128">
        <v>3560</v>
      </c>
      <c r="E128">
        <v>2.5299999999999998</v>
      </c>
      <c r="F128">
        <v>1.84</v>
      </c>
      <c r="G128">
        <v>1.25</v>
      </c>
      <c r="H128">
        <v>54.982210000000002</v>
      </c>
      <c r="I128">
        <v>333.66</v>
      </c>
      <c r="J128">
        <v>7.16</v>
      </c>
      <c r="K128">
        <v>104</v>
      </c>
      <c r="L128">
        <v>98.9</v>
      </c>
      <c r="M128">
        <v>79.5</v>
      </c>
      <c r="P128">
        <v>5.9000000029999997</v>
      </c>
      <c r="Q128">
        <v>622.74092289999999</v>
      </c>
      <c r="R128">
        <v>6.79</v>
      </c>
      <c r="S128">
        <v>29743</v>
      </c>
      <c r="T128">
        <v>40.069099000000001</v>
      </c>
      <c r="U128">
        <v>45.038189000000003</v>
      </c>
    </row>
    <row r="129" spans="1:21">
      <c r="A129" t="s">
        <v>27</v>
      </c>
      <c r="B129">
        <v>2001</v>
      </c>
      <c r="C129">
        <v>9219.866</v>
      </c>
      <c r="D129">
        <v>3600</v>
      </c>
      <c r="E129">
        <v>2.62</v>
      </c>
      <c r="F129">
        <v>1.99</v>
      </c>
      <c r="G129">
        <v>0.96</v>
      </c>
      <c r="H129">
        <v>52.962296000000002</v>
      </c>
      <c r="I129">
        <v>331.89</v>
      </c>
      <c r="J129">
        <v>5.42</v>
      </c>
      <c r="K129">
        <v>104</v>
      </c>
      <c r="L129">
        <v>100</v>
      </c>
      <c r="M129">
        <v>82.2</v>
      </c>
      <c r="O129">
        <v>7670000</v>
      </c>
      <c r="P129">
        <v>9.5999999989999996</v>
      </c>
      <c r="Q129">
        <v>694.42345539999997</v>
      </c>
      <c r="R129">
        <v>6.17</v>
      </c>
      <c r="S129">
        <v>29743</v>
      </c>
      <c r="T129">
        <v>40.069099000000001</v>
      </c>
      <c r="U129">
        <v>45.038189000000003</v>
      </c>
    </row>
    <row r="130" spans="1:21">
      <c r="A130" t="s">
        <v>27</v>
      </c>
      <c r="B130">
        <v>2002</v>
      </c>
      <c r="C130">
        <v>8911.6080000000002</v>
      </c>
      <c r="D130">
        <v>3119.9998860000001</v>
      </c>
      <c r="E130">
        <v>1.48</v>
      </c>
      <c r="F130">
        <v>2.09</v>
      </c>
      <c r="G130">
        <v>1.64</v>
      </c>
      <c r="H130">
        <v>71.593090000000004</v>
      </c>
      <c r="I130">
        <v>384.15</v>
      </c>
      <c r="J130">
        <v>8.9</v>
      </c>
      <c r="K130">
        <v>104</v>
      </c>
      <c r="L130">
        <v>98</v>
      </c>
      <c r="M130">
        <v>84.9</v>
      </c>
      <c r="O130">
        <v>50000</v>
      </c>
      <c r="P130">
        <v>13.2</v>
      </c>
      <c r="Q130">
        <v>783.24121500000001</v>
      </c>
      <c r="R130">
        <v>5.0999999999999996</v>
      </c>
      <c r="S130">
        <v>29743</v>
      </c>
      <c r="T130">
        <v>40.069099000000001</v>
      </c>
      <c r="U130">
        <v>45.038189000000003</v>
      </c>
    </row>
    <row r="131" spans="1:21">
      <c r="A131" t="s">
        <v>27</v>
      </c>
      <c r="B131">
        <v>2003</v>
      </c>
      <c r="C131">
        <v>9866.0720000000001</v>
      </c>
      <c r="D131">
        <v>3500</v>
      </c>
      <c r="E131">
        <v>1.43</v>
      </c>
      <c r="F131">
        <v>1.82</v>
      </c>
      <c r="G131">
        <v>1.96</v>
      </c>
      <c r="H131">
        <v>72.552779999999998</v>
      </c>
      <c r="I131">
        <v>387.62</v>
      </c>
      <c r="J131">
        <v>9.81</v>
      </c>
      <c r="K131">
        <v>104</v>
      </c>
      <c r="L131">
        <v>99.190129999999996</v>
      </c>
      <c r="M131">
        <v>87.7</v>
      </c>
      <c r="O131">
        <v>2780000</v>
      </c>
      <c r="P131">
        <v>14</v>
      </c>
      <c r="Q131">
        <v>930.12547270000005</v>
      </c>
      <c r="R131">
        <v>4.72</v>
      </c>
      <c r="S131">
        <v>29743</v>
      </c>
      <c r="T131">
        <v>40.069099000000001</v>
      </c>
      <c r="U131">
        <v>45.038189000000003</v>
      </c>
    </row>
    <row r="132" spans="1:21">
      <c r="A132" t="s">
        <v>27</v>
      </c>
      <c r="B132">
        <v>2004</v>
      </c>
      <c r="C132">
        <v>10294.191999999999</v>
      </c>
      <c r="D132">
        <v>3759.9999899999998</v>
      </c>
      <c r="E132">
        <v>1.72</v>
      </c>
      <c r="F132">
        <v>2.2000000000000002</v>
      </c>
      <c r="G132">
        <v>1.98</v>
      </c>
      <c r="H132">
        <v>70.847449999999995</v>
      </c>
      <c r="I132">
        <v>341.15</v>
      </c>
      <c r="J132">
        <v>8.7100000000000009</v>
      </c>
      <c r="K132">
        <v>104</v>
      </c>
      <c r="L132">
        <v>99.189229999999995</v>
      </c>
      <c r="M132">
        <v>89.9</v>
      </c>
      <c r="O132">
        <v>10320000</v>
      </c>
      <c r="P132">
        <v>10.5</v>
      </c>
      <c r="Q132">
        <v>1191.921006</v>
      </c>
      <c r="R132">
        <v>4.5199999999999996</v>
      </c>
      <c r="S132">
        <v>29743</v>
      </c>
      <c r="T132">
        <v>40.069099000000001</v>
      </c>
      <c r="U132">
        <v>45.038189000000003</v>
      </c>
    </row>
    <row r="133" spans="1:21">
      <c r="A133" t="s">
        <v>27</v>
      </c>
      <c r="B133">
        <v>2005</v>
      </c>
      <c r="C133">
        <v>11997.367</v>
      </c>
      <c r="D133">
        <v>4460.0000380000001</v>
      </c>
      <c r="E133">
        <v>1.72</v>
      </c>
      <c r="F133">
        <v>2.5</v>
      </c>
      <c r="G133">
        <v>1.75</v>
      </c>
      <c r="H133">
        <v>71.189284999999998</v>
      </c>
      <c r="I133">
        <v>345.27</v>
      </c>
      <c r="J133">
        <v>6.49</v>
      </c>
      <c r="K133">
        <v>104</v>
      </c>
      <c r="L133">
        <v>99.8</v>
      </c>
      <c r="M133">
        <v>91.6</v>
      </c>
      <c r="O133">
        <v>3060000</v>
      </c>
      <c r="P133">
        <v>13.9</v>
      </c>
      <c r="Q133">
        <v>1643.756889</v>
      </c>
      <c r="R133">
        <v>4.76</v>
      </c>
      <c r="S133">
        <v>29743</v>
      </c>
      <c r="T133">
        <v>40.069099000000001</v>
      </c>
      <c r="U133">
        <v>45.038189000000003</v>
      </c>
    </row>
    <row r="134" spans="1:21">
      <c r="A134" t="s">
        <v>27</v>
      </c>
      <c r="B134">
        <v>2006</v>
      </c>
      <c r="C134">
        <v>12061.231</v>
      </c>
      <c r="D134">
        <v>4489.9997709999998</v>
      </c>
      <c r="E134">
        <v>1.39</v>
      </c>
      <c r="F134">
        <v>2.42</v>
      </c>
      <c r="G134">
        <v>1.81</v>
      </c>
      <c r="H134">
        <v>75.266909999999996</v>
      </c>
      <c r="I134">
        <v>357.82</v>
      </c>
      <c r="J134">
        <v>7.65</v>
      </c>
      <c r="K134">
        <v>104</v>
      </c>
      <c r="L134">
        <v>99.188230000000004</v>
      </c>
      <c r="M134">
        <v>92.9</v>
      </c>
      <c r="O134">
        <v>13470000</v>
      </c>
      <c r="P134">
        <v>13.2</v>
      </c>
      <c r="Q134">
        <v>2158.1480740000002</v>
      </c>
      <c r="R134">
        <v>4.28</v>
      </c>
      <c r="S134">
        <v>29743</v>
      </c>
      <c r="T134">
        <v>40.069099000000001</v>
      </c>
      <c r="U134">
        <v>45.038189000000003</v>
      </c>
    </row>
    <row r="135" spans="1:21">
      <c r="A135" t="s">
        <v>27</v>
      </c>
      <c r="B135">
        <v>2007</v>
      </c>
      <c r="C135">
        <v>13633.888000000001</v>
      </c>
      <c r="D135">
        <v>5199.9998089999999</v>
      </c>
      <c r="E135">
        <v>1.4</v>
      </c>
      <c r="F135">
        <v>2.35</v>
      </c>
      <c r="G135">
        <v>1.83</v>
      </c>
      <c r="H135">
        <v>74.910390000000007</v>
      </c>
      <c r="I135">
        <v>364.5</v>
      </c>
      <c r="J135">
        <v>7.02</v>
      </c>
      <c r="K135">
        <v>104</v>
      </c>
      <c r="L135">
        <v>99.193184000000002</v>
      </c>
      <c r="M135">
        <v>94.2</v>
      </c>
      <c r="O135">
        <v>1530000</v>
      </c>
      <c r="P135">
        <v>13.7</v>
      </c>
      <c r="Q135">
        <v>3139.28071</v>
      </c>
      <c r="R135">
        <v>4.2</v>
      </c>
      <c r="S135">
        <v>29743</v>
      </c>
      <c r="T135">
        <v>40.069099000000001</v>
      </c>
      <c r="U135">
        <v>45.038189000000003</v>
      </c>
    </row>
    <row r="136" spans="1:21">
      <c r="A136" t="s">
        <v>27</v>
      </c>
      <c r="B136">
        <v>2008</v>
      </c>
      <c r="C136">
        <v>13250.285</v>
      </c>
      <c r="D136">
        <v>5690.0000570000002</v>
      </c>
      <c r="E136">
        <v>1.42</v>
      </c>
      <c r="F136">
        <v>2.27</v>
      </c>
      <c r="G136">
        <v>1.78</v>
      </c>
      <c r="H136">
        <v>74.040229999999994</v>
      </c>
      <c r="I136">
        <v>372.59</v>
      </c>
      <c r="J136">
        <v>6.4</v>
      </c>
      <c r="K136">
        <v>104</v>
      </c>
      <c r="L136">
        <v>99.205376000000001</v>
      </c>
      <c r="M136">
        <v>95</v>
      </c>
      <c r="O136">
        <v>100000</v>
      </c>
      <c r="P136">
        <v>6.9</v>
      </c>
      <c r="Q136">
        <v>4010.8613810000002</v>
      </c>
      <c r="R136">
        <v>4.13</v>
      </c>
      <c r="S136">
        <v>29743</v>
      </c>
      <c r="T136">
        <v>40.069099000000001</v>
      </c>
      <c r="U136">
        <v>45.038189000000003</v>
      </c>
    </row>
    <row r="137" spans="1:21">
      <c r="A137" t="s">
        <v>27</v>
      </c>
      <c r="B137">
        <v>2009</v>
      </c>
      <c r="C137">
        <v>11915.396000000001</v>
      </c>
      <c r="D137">
        <v>4510.0002290000002</v>
      </c>
      <c r="E137">
        <v>1.08</v>
      </c>
      <c r="F137">
        <v>2.29</v>
      </c>
      <c r="G137">
        <v>2</v>
      </c>
      <c r="H137">
        <v>79.888270000000006</v>
      </c>
      <c r="I137">
        <v>380.13</v>
      </c>
      <c r="J137">
        <v>7.8</v>
      </c>
      <c r="K137">
        <v>104</v>
      </c>
      <c r="L137">
        <v>99.227500000000006</v>
      </c>
      <c r="M137">
        <v>95.7</v>
      </c>
      <c r="O137">
        <v>450000</v>
      </c>
      <c r="P137">
        <v>-14.1</v>
      </c>
      <c r="Q137">
        <v>2994.340471</v>
      </c>
      <c r="R137">
        <v>4.18</v>
      </c>
      <c r="S137">
        <v>29743</v>
      </c>
      <c r="T137">
        <v>40.069099000000001</v>
      </c>
      <c r="U137">
        <v>45.038189000000003</v>
      </c>
    </row>
    <row r="138" spans="1:21">
      <c r="A138" t="s">
        <v>27</v>
      </c>
      <c r="B138">
        <v>2010</v>
      </c>
      <c r="C138">
        <v>13351.512000000001</v>
      </c>
      <c r="D138">
        <v>4340.000153</v>
      </c>
      <c r="E138">
        <v>1.35</v>
      </c>
      <c r="F138">
        <v>2.29</v>
      </c>
      <c r="G138">
        <v>2.54</v>
      </c>
      <c r="H138">
        <v>78.155339999999995</v>
      </c>
      <c r="I138">
        <v>391.73</v>
      </c>
      <c r="J138">
        <v>9.36</v>
      </c>
      <c r="K138">
        <v>104</v>
      </c>
      <c r="L138">
        <v>99.8</v>
      </c>
      <c r="M138">
        <v>96.4</v>
      </c>
      <c r="O138">
        <v>92450000</v>
      </c>
      <c r="P138">
        <v>2.2000000000000002</v>
      </c>
      <c r="Q138">
        <v>3218.378299</v>
      </c>
      <c r="R138">
        <v>3.89</v>
      </c>
      <c r="S138">
        <v>29743</v>
      </c>
      <c r="T138">
        <v>40.069099000000001</v>
      </c>
      <c r="U138">
        <v>45.038189000000003</v>
      </c>
    </row>
    <row r="139" spans="1:21">
      <c r="A139" t="s">
        <v>27</v>
      </c>
      <c r="B139">
        <v>2011</v>
      </c>
      <c r="C139">
        <v>14139.787</v>
      </c>
      <c r="D139">
        <v>4940.0000570000002</v>
      </c>
      <c r="E139">
        <v>2.25</v>
      </c>
      <c r="F139">
        <v>2.36</v>
      </c>
      <c r="G139">
        <v>2.46</v>
      </c>
      <c r="H139">
        <v>68.175389999999993</v>
      </c>
      <c r="I139">
        <v>400.57</v>
      </c>
      <c r="J139">
        <v>8.01</v>
      </c>
      <c r="K139">
        <v>104</v>
      </c>
      <c r="L139">
        <v>99.605800000000002</v>
      </c>
      <c r="M139">
        <v>96.8</v>
      </c>
      <c r="O139">
        <v>960000</v>
      </c>
      <c r="P139">
        <v>4.6999999990000001</v>
      </c>
      <c r="Q139">
        <v>3525.807198</v>
      </c>
      <c r="R139">
        <v>4.0599999999999996</v>
      </c>
      <c r="S139">
        <v>29743</v>
      </c>
      <c r="T139">
        <v>40.069099000000001</v>
      </c>
      <c r="U139">
        <v>45.038189000000003</v>
      </c>
    </row>
    <row r="140" spans="1:21">
      <c r="A140" t="s">
        <v>27</v>
      </c>
      <c r="B140">
        <v>2012</v>
      </c>
      <c r="C140">
        <v>15057.879000000001</v>
      </c>
      <c r="D140">
        <v>5719.9997899999998</v>
      </c>
      <c r="E140">
        <v>3.19</v>
      </c>
      <c r="F140">
        <v>2.12</v>
      </c>
      <c r="G140">
        <v>2.2999999999999998</v>
      </c>
      <c r="H140">
        <v>58.081470000000003</v>
      </c>
      <c r="I140">
        <v>434.48</v>
      </c>
      <c r="J140">
        <v>6.56</v>
      </c>
      <c r="K140">
        <v>104</v>
      </c>
      <c r="L140">
        <v>99.628969999999995</v>
      </c>
      <c r="M140">
        <v>97.2</v>
      </c>
      <c r="O140">
        <v>74170000</v>
      </c>
      <c r="P140">
        <v>7.2000000010000003</v>
      </c>
      <c r="Q140">
        <v>3681.8446909999998</v>
      </c>
      <c r="R140">
        <v>4.1500000000000004</v>
      </c>
      <c r="S140">
        <v>29743</v>
      </c>
      <c r="T140">
        <v>40.069099000000001</v>
      </c>
      <c r="U140">
        <v>45.038189000000003</v>
      </c>
    </row>
    <row r="141" spans="1:21">
      <c r="A141" t="s">
        <v>27</v>
      </c>
      <c r="B141">
        <v>2013</v>
      </c>
      <c r="C141">
        <v>14838.981</v>
      </c>
      <c r="D141">
        <v>5500</v>
      </c>
      <c r="E141">
        <v>2.98</v>
      </c>
      <c r="F141">
        <v>2.17</v>
      </c>
      <c r="G141">
        <v>2.15</v>
      </c>
      <c r="H141">
        <v>59.178085000000003</v>
      </c>
      <c r="I141">
        <v>445.76</v>
      </c>
      <c r="J141">
        <v>6.77</v>
      </c>
      <c r="K141">
        <v>104</v>
      </c>
      <c r="L141">
        <v>99.42</v>
      </c>
      <c r="M141">
        <v>97.5</v>
      </c>
      <c r="O141">
        <v>25910000</v>
      </c>
      <c r="P141">
        <v>3.3</v>
      </c>
      <c r="Q141">
        <v>3838.1738799999998</v>
      </c>
      <c r="R141">
        <v>3.92</v>
      </c>
      <c r="S141">
        <v>29743</v>
      </c>
      <c r="T141">
        <v>40.069099000000001</v>
      </c>
      <c r="U141">
        <v>45.038189000000003</v>
      </c>
    </row>
    <row r="142" spans="1:21">
      <c r="A142" t="s">
        <v>27</v>
      </c>
      <c r="B142">
        <v>2014</v>
      </c>
      <c r="C142">
        <v>15185.13</v>
      </c>
      <c r="D142">
        <v>5480.0000190000001</v>
      </c>
      <c r="E142">
        <v>3.09</v>
      </c>
      <c r="F142">
        <v>2.27</v>
      </c>
      <c r="G142">
        <v>1.97</v>
      </c>
      <c r="H142">
        <v>57.844470000000001</v>
      </c>
      <c r="I142">
        <v>446.62</v>
      </c>
      <c r="J142">
        <v>7.08</v>
      </c>
      <c r="K142">
        <v>104</v>
      </c>
      <c r="L142">
        <v>99.71</v>
      </c>
      <c r="M142">
        <v>97.6</v>
      </c>
      <c r="O142">
        <v>9340000</v>
      </c>
      <c r="P142">
        <v>3.6000000010000002</v>
      </c>
      <c r="Q142">
        <v>3986.231624</v>
      </c>
      <c r="R142">
        <v>4.1100000000000003</v>
      </c>
      <c r="S142">
        <v>29743</v>
      </c>
      <c r="T142">
        <v>40.069099000000001</v>
      </c>
      <c r="U142">
        <v>45.038189000000003</v>
      </c>
    </row>
    <row r="143" spans="1:21">
      <c r="A143" t="s">
        <v>27</v>
      </c>
      <c r="B143">
        <v>2015</v>
      </c>
      <c r="C143">
        <v>14124.947</v>
      </c>
      <c r="D143">
        <v>5340.000153</v>
      </c>
      <c r="E143">
        <v>2.63</v>
      </c>
      <c r="F143">
        <v>2.57</v>
      </c>
      <c r="G143">
        <v>2.1800000000000002</v>
      </c>
      <c r="H143">
        <v>64.363144000000005</v>
      </c>
      <c r="I143">
        <v>440.7</v>
      </c>
      <c r="J143">
        <v>10.74</v>
      </c>
      <c r="K143">
        <v>104</v>
      </c>
      <c r="L143">
        <v>100</v>
      </c>
      <c r="M143">
        <v>97.8</v>
      </c>
      <c r="O143">
        <v>23250000</v>
      </c>
      <c r="P143">
        <v>3.1999999990000001</v>
      </c>
      <c r="Q143">
        <v>3607.289299</v>
      </c>
      <c r="R143">
        <v>4.12</v>
      </c>
      <c r="S143">
        <v>29743</v>
      </c>
      <c r="T143">
        <v>40.069099000000001</v>
      </c>
      <c r="U143">
        <v>45.038189000000003</v>
      </c>
    </row>
    <row r="144" spans="1:21">
      <c r="A144" t="s">
        <v>27</v>
      </c>
      <c r="B144">
        <v>2016</v>
      </c>
      <c r="C144">
        <v>14289.046</v>
      </c>
      <c r="D144">
        <v>5070.000172</v>
      </c>
      <c r="E144">
        <v>2.4300000000000002</v>
      </c>
      <c r="F144">
        <v>2.19</v>
      </c>
      <c r="G144">
        <v>2.33</v>
      </c>
      <c r="H144">
        <v>65.035970000000006</v>
      </c>
      <c r="I144">
        <v>448.05</v>
      </c>
      <c r="J144">
        <v>13.15</v>
      </c>
      <c r="K144">
        <v>104</v>
      </c>
      <c r="L144">
        <v>99.8</v>
      </c>
      <c r="M144">
        <v>97.9</v>
      </c>
      <c r="O144">
        <v>120440000</v>
      </c>
      <c r="P144">
        <v>0.2</v>
      </c>
      <c r="Q144">
        <v>3591.8280519999998</v>
      </c>
      <c r="R144">
        <v>3.93</v>
      </c>
      <c r="S144">
        <v>29743</v>
      </c>
      <c r="T144">
        <v>40.069099000000001</v>
      </c>
      <c r="U144">
        <v>45.038189000000003</v>
      </c>
    </row>
    <row r="145" spans="1:21">
      <c r="A145" t="s">
        <v>27</v>
      </c>
      <c r="B145">
        <v>2017</v>
      </c>
      <c r="C145">
        <v>15302.439</v>
      </c>
      <c r="D145">
        <v>5369.9998859999996</v>
      </c>
      <c r="E145">
        <v>2.7</v>
      </c>
      <c r="F145">
        <v>2.41</v>
      </c>
      <c r="G145">
        <v>2.25</v>
      </c>
      <c r="H145">
        <v>63.315215999999999</v>
      </c>
      <c r="I145">
        <v>452.37</v>
      </c>
      <c r="J145">
        <v>12.56</v>
      </c>
      <c r="K145">
        <v>104</v>
      </c>
      <c r="L145">
        <v>99.7</v>
      </c>
      <c r="M145">
        <v>98</v>
      </c>
      <c r="O145">
        <v>1550000</v>
      </c>
      <c r="P145">
        <v>7.5000000020000002</v>
      </c>
      <c r="Q145">
        <v>3914.5278539999999</v>
      </c>
      <c r="R145">
        <v>3.86</v>
      </c>
      <c r="S145">
        <v>29743</v>
      </c>
      <c r="T145">
        <v>40.069099000000001</v>
      </c>
      <c r="U145">
        <v>45.038189000000003</v>
      </c>
    </row>
    <row r="146" spans="1:21">
      <c r="A146" t="s">
        <v>27</v>
      </c>
      <c r="B146">
        <v>2018</v>
      </c>
      <c r="C146">
        <v>15133.982</v>
      </c>
      <c r="D146">
        <v>5710.0000380000001</v>
      </c>
      <c r="E146">
        <v>3.17</v>
      </c>
      <c r="F146">
        <v>1.9</v>
      </c>
      <c r="G146">
        <v>2.31</v>
      </c>
      <c r="H146">
        <v>57.04607</v>
      </c>
      <c r="I146">
        <v>459.61</v>
      </c>
      <c r="J146">
        <v>11.13</v>
      </c>
      <c r="K146">
        <v>104</v>
      </c>
      <c r="L146">
        <v>99.9</v>
      </c>
      <c r="M146">
        <v>98</v>
      </c>
      <c r="O146">
        <v>27690000</v>
      </c>
      <c r="P146">
        <v>5.2</v>
      </c>
      <c r="Q146">
        <v>4220.5403210000004</v>
      </c>
      <c r="R146">
        <v>3.51</v>
      </c>
      <c r="S146">
        <v>29743</v>
      </c>
      <c r="T146">
        <v>40.069099000000001</v>
      </c>
      <c r="U146">
        <v>45.038189000000003</v>
      </c>
    </row>
    <row r="147" spans="1:21">
      <c r="A147" t="s">
        <v>27</v>
      </c>
      <c r="B147">
        <v>2019</v>
      </c>
      <c r="C147">
        <v>16179.096</v>
      </c>
      <c r="D147">
        <v>6170.0000760000003</v>
      </c>
      <c r="E147">
        <v>2.86</v>
      </c>
      <c r="F147">
        <v>2.0299999999999998</v>
      </c>
      <c r="G147">
        <v>2.41</v>
      </c>
      <c r="H147">
        <v>60.821914999999997</v>
      </c>
      <c r="I147">
        <v>469.73</v>
      </c>
      <c r="J147">
        <v>10.34</v>
      </c>
      <c r="K147">
        <v>104</v>
      </c>
      <c r="L147">
        <v>100</v>
      </c>
      <c r="M147">
        <v>98</v>
      </c>
      <c r="O147">
        <v>72580000</v>
      </c>
      <c r="P147">
        <v>7.5999999989999996</v>
      </c>
      <c r="Q147">
        <v>4604.6463240000003</v>
      </c>
      <c r="R147">
        <v>3.53</v>
      </c>
      <c r="S147">
        <v>29743</v>
      </c>
      <c r="T147">
        <v>40.069099000000001</v>
      </c>
      <c r="U147">
        <v>45.038189000000003</v>
      </c>
    </row>
    <row r="148" spans="1:21">
      <c r="A148" t="s">
        <v>27</v>
      </c>
      <c r="B148">
        <v>2020</v>
      </c>
      <c r="C148">
        <v>17086.046999999999</v>
      </c>
      <c r="E148">
        <v>2.98</v>
      </c>
      <c r="F148">
        <v>2.5499999999999998</v>
      </c>
      <c r="G148">
        <v>1.92</v>
      </c>
      <c r="H148">
        <v>59.999996000000003</v>
      </c>
      <c r="I148">
        <v>484.04</v>
      </c>
      <c r="K148">
        <v>104</v>
      </c>
      <c r="L148">
        <v>100</v>
      </c>
      <c r="M148">
        <v>98.1</v>
      </c>
      <c r="P148">
        <v>-7.4</v>
      </c>
      <c r="Q148">
        <v>4266.0180739999996</v>
      </c>
      <c r="S148">
        <v>29743</v>
      </c>
      <c r="T148">
        <v>40.069099000000001</v>
      </c>
      <c r="U148">
        <v>45.038189000000003</v>
      </c>
    </row>
    <row r="149" spans="1:21">
      <c r="A149" t="s">
        <v>28</v>
      </c>
      <c r="B149">
        <v>2000</v>
      </c>
      <c r="C149">
        <v>49568.207000000002</v>
      </c>
      <c r="D149">
        <v>2379.8829999999998</v>
      </c>
      <c r="E149">
        <v>0.73</v>
      </c>
      <c r="F149">
        <v>0</v>
      </c>
      <c r="G149">
        <v>0</v>
      </c>
      <c r="H149">
        <v>0</v>
      </c>
      <c r="I149">
        <v>0</v>
      </c>
      <c r="J149">
        <v>0.18</v>
      </c>
      <c r="K149">
        <v>590</v>
      </c>
      <c r="L149">
        <v>91.660399999999996</v>
      </c>
      <c r="P149">
        <v>7.6165881940000002</v>
      </c>
      <c r="Q149">
        <v>20617.750469999999</v>
      </c>
      <c r="R149">
        <v>14.38</v>
      </c>
      <c r="S149">
        <v>179</v>
      </c>
      <c r="T149">
        <v>12.52111</v>
      </c>
      <c r="U149">
        <v>-69.968329999999995</v>
      </c>
    </row>
    <row r="150" spans="1:21">
      <c r="A150" t="s">
        <v>28</v>
      </c>
      <c r="B150">
        <v>2001</v>
      </c>
      <c r="C150">
        <v>50392.612999999998</v>
      </c>
      <c r="D150">
        <v>2409.2190000000001</v>
      </c>
      <c r="E150">
        <v>0.76</v>
      </c>
      <c r="F150">
        <v>0</v>
      </c>
      <c r="G150">
        <v>0</v>
      </c>
      <c r="H150">
        <v>0</v>
      </c>
      <c r="I150">
        <v>0</v>
      </c>
      <c r="J150">
        <v>0.18</v>
      </c>
      <c r="K150">
        <v>590</v>
      </c>
      <c r="L150">
        <v>100</v>
      </c>
      <c r="P150">
        <v>-2.9712567239999998</v>
      </c>
      <c r="Q150">
        <v>20670.367010000002</v>
      </c>
      <c r="R150">
        <v>14.94</v>
      </c>
      <c r="S150">
        <v>179</v>
      </c>
      <c r="T150">
        <v>12.52111</v>
      </c>
      <c r="U150">
        <v>-69.968329999999995</v>
      </c>
    </row>
    <row r="151" spans="1:21">
      <c r="A151" t="s">
        <v>28</v>
      </c>
      <c r="B151">
        <v>2002</v>
      </c>
      <c r="C151">
        <v>51469.32</v>
      </c>
      <c r="D151">
        <v>2438.5549999999998</v>
      </c>
      <c r="E151">
        <v>0.77</v>
      </c>
      <c r="F151">
        <v>0</v>
      </c>
      <c r="G151">
        <v>0</v>
      </c>
      <c r="H151">
        <v>0</v>
      </c>
      <c r="I151">
        <v>0</v>
      </c>
      <c r="J151">
        <v>0.18</v>
      </c>
      <c r="K151">
        <v>590</v>
      </c>
      <c r="L151">
        <v>100</v>
      </c>
      <c r="P151">
        <v>-3.2736464110000001</v>
      </c>
      <c r="Q151">
        <v>20436.887129999999</v>
      </c>
      <c r="R151">
        <v>15.55</v>
      </c>
      <c r="S151">
        <v>179</v>
      </c>
      <c r="T151">
        <v>12.52111</v>
      </c>
      <c r="U151">
        <v>-69.968329999999995</v>
      </c>
    </row>
    <row r="152" spans="1:21">
      <c r="A152" t="s">
        <v>28</v>
      </c>
      <c r="B152">
        <v>2003</v>
      </c>
      <c r="C152">
        <v>56750.387000000002</v>
      </c>
      <c r="D152">
        <v>2563.2330000000002</v>
      </c>
      <c r="E152">
        <v>0.79</v>
      </c>
      <c r="F152">
        <v>0</v>
      </c>
      <c r="G152">
        <v>0</v>
      </c>
      <c r="H152">
        <v>0</v>
      </c>
      <c r="I152">
        <v>0</v>
      </c>
      <c r="J152">
        <v>0.18</v>
      </c>
      <c r="K152">
        <v>590</v>
      </c>
      <c r="L152">
        <v>100</v>
      </c>
      <c r="P152">
        <v>1.9755472620000001</v>
      </c>
      <c r="Q152">
        <v>20833.976360000001</v>
      </c>
      <c r="R152">
        <v>15.73</v>
      </c>
      <c r="S152">
        <v>179</v>
      </c>
      <c r="T152">
        <v>12.52111</v>
      </c>
      <c r="U152">
        <v>-69.968329999999995</v>
      </c>
    </row>
    <row r="153" spans="1:21">
      <c r="A153" t="s">
        <v>28</v>
      </c>
      <c r="B153">
        <v>2004</v>
      </c>
      <c r="C153">
        <v>58649.285000000003</v>
      </c>
      <c r="D153">
        <v>2618.2379999999998</v>
      </c>
      <c r="E153">
        <v>0.81</v>
      </c>
      <c r="F153">
        <v>0</v>
      </c>
      <c r="G153">
        <v>0</v>
      </c>
      <c r="H153">
        <v>0</v>
      </c>
      <c r="I153">
        <v>0</v>
      </c>
      <c r="J153">
        <v>0.19</v>
      </c>
      <c r="K153">
        <v>590</v>
      </c>
      <c r="L153">
        <v>100</v>
      </c>
      <c r="P153">
        <v>7.9115634659999996</v>
      </c>
      <c r="Q153">
        <v>22568.37499</v>
      </c>
      <c r="R153">
        <v>14.76</v>
      </c>
      <c r="S153">
        <v>179</v>
      </c>
      <c r="T153">
        <v>12.52111</v>
      </c>
      <c r="U153">
        <v>-69.968329999999995</v>
      </c>
    </row>
    <row r="154" spans="1:21">
      <c r="A154" t="s">
        <v>28</v>
      </c>
      <c r="B154">
        <v>2005</v>
      </c>
      <c r="C154">
        <v>62704.925999999999</v>
      </c>
      <c r="D154">
        <v>2720.9140000000002</v>
      </c>
      <c r="E154">
        <v>0.86</v>
      </c>
      <c r="F154">
        <v>0</v>
      </c>
      <c r="G154">
        <v>0</v>
      </c>
      <c r="H154">
        <v>0</v>
      </c>
      <c r="I154">
        <v>0</v>
      </c>
      <c r="J154">
        <v>0.19</v>
      </c>
      <c r="K154">
        <v>590</v>
      </c>
      <c r="L154">
        <v>100</v>
      </c>
      <c r="P154">
        <v>1.2143493489999999</v>
      </c>
      <c r="Q154">
        <v>23300.738359999999</v>
      </c>
      <c r="R154">
        <v>14.93</v>
      </c>
      <c r="S154">
        <v>179</v>
      </c>
      <c r="T154">
        <v>12.52111</v>
      </c>
      <c r="U154">
        <v>-69.968329999999995</v>
      </c>
    </row>
    <row r="155" spans="1:21">
      <c r="A155" t="s">
        <v>28</v>
      </c>
      <c r="B155">
        <v>2006</v>
      </c>
      <c r="C155">
        <v>61848.480000000003</v>
      </c>
      <c r="D155">
        <v>2717.2469999999998</v>
      </c>
      <c r="E155">
        <v>0.85</v>
      </c>
      <c r="F155">
        <v>0</v>
      </c>
      <c r="G155">
        <v>0</v>
      </c>
      <c r="H155">
        <v>0</v>
      </c>
      <c r="I155">
        <v>0</v>
      </c>
      <c r="J155">
        <v>0.19</v>
      </c>
      <c r="K155">
        <v>590</v>
      </c>
      <c r="L155">
        <v>100</v>
      </c>
      <c r="P155">
        <v>1.050607528</v>
      </c>
      <c r="Q155">
        <v>24046.22638</v>
      </c>
      <c r="R155">
        <v>14.77</v>
      </c>
      <c r="S155">
        <v>179</v>
      </c>
      <c r="T155">
        <v>12.52111</v>
      </c>
      <c r="U155">
        <v>-69.968329999999995</v>
      </c>
    </row>
    <row r="156" spans="1:21">
      <c r="A156" t="s">
        <v>28</v>
      </c>
      <c r="B156">
        <v>2007</v>
      </c>
      <c r="C156">
        <v>62959.137000000002</v>
      </c>
      <c r="D156">
        <v>2823.59</v>
      </c>
      <c r="E156">
        <v>0.88</v>
      </c>
      <c r="F156">
        <v>0</v>
      </c>
      <c r="G156">
        <v>0</v>
      </c>
      <c r="H156">
        <v>0</v>
      </c>
      <c r="I156">
        <v>0</v>
      </c>
      <c r="J156">
        <v>0.19</v>
      </c>
      <c r="K156">
        <v>590</v>
      </c>
      <c r="L156">
        <v>100</v>
      </c>
      <c r="P156">
        <v>1.8002259709999999</v>
      </c>
      <c r="Q156">
        <v>25834.111779999999</v>
      </c>
      <c r="R156">
        <v>14.94</v>
      </c>
      <c r="S156">
        <v>179</v>
      </c>
      <c r="T156">
        <v>12.52111</v>
      </c>
      <c r="U156">
        <v>-69.968329999999995</v>
      </c>
    </row>
    <row r="157" spans="1:21">
      <c r="A157" t="s">
        <v>28</v>
      </c>
      <c r="B157">
        <v>2008</v>
      </c>
      <c r="C157">
        <v>58413.714999999997</v>
      </c>
      <c r="D157">
        <v>2658.5749999999998</v>
      </c>
      <c r="E157">
        <v>0.86</v>
      </c>
      <c r="F157">
        <v>0</v>
      </c>
      <c r="G157">
        <v>0</v>
      </c>
      <c r="H157">
        <v>0</v>
      </c>
      <c r="I157">
        <v>0</v>
      </c>
      <c r="J157">
        <v>0.19</v>
      </c>
      <c r="K157">
        <v>590</v>
      </c>
      <c r="L157">
        <v>100</v>
      </c>
      <c r="P157">
        <v>-9.0708046000000001E-2</v>
      </c>
      <c r="Q157">
        <v>27083.634859999998</v>
      </c>
      <c r="R157">
        <v>14.36</v>
      </c>
      <c r="S157">
        <v>179</v>
      </c>
      <c r="T157">
        <v>12.52111</v>
      </c>
      <c r="U157">
        <v>-69.968329999999995</v>
      </c>
    </row>
    <row r="158" spans="1:21">
      <c r="A158" t="s">
        <v>28</v>
      </c>
      <c r="B158">
        <v>2009</v>
      </c>
      <c r="C158">
        <v>57522.296999999999</v>
      </c>
      <c r="D158">
        <v>2629.239</v>
      </c>
      <c r="E158">
        <v>0.87</v>
      </c>
      <c r="F158">
        <v>0</v>
      </c>
      <c r="G158">
        <v>0.03</v>
      </c>
      <c r="H158">
        <v>3.3333335000000002</v>
      </c>
      <c r="I158">
        <v>295.70999999999998</v>
      </c>
      <c r="J158">
        <v>0.3</v>
      </c>
      <c r="K158">
        <v>590</v>
      </c>
      <c r="L158">
        <v>100</v>
      </c>
      <c r="P158">
        <v>-10.51974854</v>
      </c>
      <c r="Q158">
        <v>24631.182049999999</v>
      </c>
      <c r="R158">
        <v>15.96</v>
      </c>
      <c r="S158">
        <v>179</v>
      </c>
      <c r="T158">
        <v>12.52111</v>
      </c>
      <c r="U158">
        <v>-69.968329999999995</v>
      </c>
    </row>
    <row r="159" spans="1:21">
      <c r="A159" t="s">
        <v>28</v>
      </c>
      <c r="B159">
        <v>2010</v>
      </c>
      <c r="C159">
        <v>53389.605000000003</v>
      </c>
      <c r="D159">
        <v>2508.2280000000001</v>
      </c>
      <c r="E159">
        <v>0.78</v>
      </c>
      <c r="F159">
        <v>0</v>
      </c>
      <c r="G159">
        <v>0.11</v>
      </c>
      <c r="H159">
        <v>12.35955</v>
      </c>
      <c r="I159">
        <v>296.07</v>
      </c>
      <c r="J159">
        <v>5.46</v>
      </c>
      <c r="K159">
        <v>590</v>
      </c>
      <c r="L159">
        <v>93.356290000000001</v>
      </c>
      <c r="P159">
        <v>-3.6850293870000002</v>
      </c>
      <c r="Q159">
        <v>23513.527699999999</v>
      </c>
      <c r="R159">
        <v>16.21</v>
      </c>
      <c r="S159">
        <v>179</v>
      </c>
      <c r="T159">
        <v>12.52111</v>
      </c>
      <c r="U159">
        <v>-69.968329999999995</v>
      </c>
    </row>
    <row r="160" spans="1:21">
      <c r="A160" t="s">
        <v>28</v>
      </c>
      <c r="B160">
        <v>2011</v>
      </c>
      <c r="C160">
        <v>42076.207000000002</v>
      </c>
      <c r="D160">
        <v>2500.8939999999998</v>
      </c>
      <c r="E160">
        <v>0.77</v>
      </c>
      <c r="F160">
        <v>0</v>
      </c>
      <c r="G160">
        <v>0.11</v>
      </c>
      <c r="H160">
        <v>12.5</v>
      </c>
      <c r="I160">
        <v>296.91000000000003</v>
      </c>
      <c r="J160">
        <v>5.66</v>
      </c>
      <c r="K160">
        <v>590</v>
      </c>
      <c r="L160">
        <v>100</v>
      </c>
      <c r="P160">
        <v>3.4460547500000001</v>
      </c>
      <c r="Q160">
        <v>24985.013920000001</v>
      </c>
      <c r="R160">
        <v>15.62</v>
      </c>
      <c r="S160">
        <v>179</v>
      </c>
      <c r="T160">
        <v>12.52111</v>
      </c>
      <c r="U160">
        <v>-69.968329999999995</v>
      </c>
    </row>
    <row r="161" spans="1:21">
      <c r="A161" t="s">
        <v>28</v>
      </c>
      <c r="B161">
        <v>2012</v>
      </c>
      <c r="C161">
        <v>52292.04</v>
      </c>
      <c r="D161">
        <v>1349.4559999999999</v>
      </c>
      <c r="E161">
        <v>0.73</v>
      </c>
      <c r="F161">
        <v>0</v>
      </c>
      <c r="G161">
        <v>0.14000000000000001</v>
      </c>
      <c r="H161">
        <v>16.091953</v>
      </c>
      <c r="I161">
        <v>302.25</v>
      </c>
      <c r="J161">
        <v>6.86</v>
      </c>
      <c r="K161">
        <v>590</v>
      </c>
      <c r="L161">
        <v>100</v>
      </c>
      <c r="P161">
        <v>-1.3698630140000001</v>
      </c>
      <c r="Q161">
        <v>24712.493259999999</v>
      </c>
      <c r="R161">
        <v>6.83</v>
      </c>
      <c r="S161">
        <v>179</v>
      </c>
      <c r="T161">
        <v>12.52111</v>
      </c>
      <c r="U161">
        <v>-69.968329999999995</v>
      </c>
    </row>
    <row r="162" spans="1:21">
      <c r="A162" t="s">
        <v>28</v>
      </c>
      <c r="B162">
        <v>2013</v>
      </c>
      <c r="C162">
        <v>50264.644999999997</v>
      </c>
      <c r="D162">
        <v>861.745</v>
      </c>
      <c r="E162">
        <v>0.74</v>
      </c>
      <c r="F162">
        <v>0</v>
      </c>
      <c r="G162">
        <v>0.15</v>
      </c>
      <c r="H162">
        <v>16.853933000000001</v>
      </c>
      <c r="I162">
        <v>306.3</v>
      </c>
      <c r="J162">
        <v>6.89</v>
      </c>
      <c r="K162">
        <v>590</v>
      </c>
      <c r="L162">
        <v>100</v>
      </c>
      <c r="P162">
        <v>4.198232323</v>
      </c>
      <c r="Q162">
        <v>26441.61994</v>
      </c>
      <c r="R162">
        <v>3.34</v>
      </c>
      <c r="S162">
        <v>179</v>
      </c>
      <c r="T162">
        <v>12.52111</v>
      </c>
      <c r="U162">
        <v>-69.968329999999995</v>
      </c>
    </row>
    <row r="163" spans="1:21">
      <c r="A163" t="s">
        <v>28</v>
      </c>
      <c r="B163">
        <v>2014</v>
      </c>
      <c r="C163">
        <v>50628.815999999999</v>
      </c>
      <c r="D163">
        <v>872.74599999999998</v>
      </c>
      <c r="E163">
        <v>0.73</v>
      </c>
      <c r="F163">
        <v>0</v>
      </c>
      <c r="G163">
        <v>0.16</v>
      </c>
      <c r="H163">
        <v>17.977528</v>
      </c>
      <c r="I163">
        <v>355.57</v>
      </c>
      <c r="J163">
        <v>6.93</v>
      </c>
      <c r="K163">
        <v>590</v>
      </c>
      <c r="L163">
        <v>100</v>
      </c>
      <c r="P163">
        <v>0.3</v>
      </c>
      <c r="Q163">
        <v>26893.01151</v>
      </c>
      <c r="R163">
        <v>3.38</v>
      </c>
      <c r="S163">
        <v>179</v>
      </c>
      <c r="T163">
        <v>12.52111</v>
      </c>
      <c r="U163">
        <v>-69.968329999999995</v>
      </c>
    </row>
    <row r="164" spans="1:21">
      <c r="A164" t="s">
        <v>28</v>
      </c>
      <c r="B164">
        <v>2015</v>
      </c>
      <c r="C164">
        <v>51778.612999999998</v>
      </c>
      <c r="D164">
        <v>898.41499999999996</v>
      </c>
      <c r="E164">
        <v>0.75</v>
      </c>
      <c r="F164">
        <v>0</v>
      </c>
      <c r="G164">
        <v>0.18</v>
      </c>
      <c r="H164">
        <v>19.354839999999999</v>
      </c>
      <c r="I164">
        <v>365.16</v>
      </c>
      <c r="J164">
        <v>6.73</v>
      </c>
      <c r="K164">
        <v>590</v>
      </c>
      <c r="L164">
        <v>100</v>
      </c>
      <c r="P164">
        <v>5.7000008759999998</v>
      </c>
      <c r="Q164">
        <v>28396.90842</v>
      </c>
      <c r="R164">
        <v>3.28</v>
      </c>
      <c r="S164">
        <v>179</v>
      </c>
      <c r="T164">
        <v>12.52111</v>
      </c>
      <c r="U164">
        <v>-69.968329999999995</v>
      </c>
    </row>
    <row r="165" spans="1:21">
      <c r="A165" t="s">
        <v>28</v>
      </c>
      <c r="B165">
        <v>2016</v>
      </c>
      <c r="C165">
        <v>50017.652000000002</v>
      </c>
      <c r="D165">
        <v>883.74699999999996</v>
      </c>
      <c r="E165">
        <v>0.76</v>
      </c>
      <c r="F165">
        <v>0</v>
      </c>
      <c r="G165">
        <v>0.14000000000000001</v>
      </c>
      <c r="H165">
        <v>15.555555999999999</v>
      </c>
      <c r="I165">
        <v>363.32</v>
      </c>
      <c r="J165">
        <v>6.99</v>
      </c>
      <c r="K165">
        <v>590</v>
      </c>
      <c r="L165">
        <v>100</v>
      </c>
      <c r="P165">
        <v>2.099999586</v>
      </c>
      <c r="Q165">
        <v>28452.170610000001</v>
      </c>
      <c r="R165">
        <v>3.16</v>
      </c>
      <c r="S165">
        <v>179</v>
      </c>
      <c r="T165">
        <v>12.52111</v>
      </c>
      <c r="U165">
        <v>-69.968329999999995</v>
      </c>
    </row>
    <row r="166" spans="1:21">
      <c r="A166" t="s">
        <v>28</v>
      </c>
      <c r="B166">
        <v>2017</v>
      </c>
      <c r="C166">
        <v>51509.81</v>
      </c>
      <c r="E166">
        <v>0.79</v>
      </c>
      <c r="F166">
        <v>0</v>
      </c>
      <c r="G166">
        <v>0.14000000000000001</v>
      </c>
      <c r="H166">
        <v>15.053763</v>
      </c>
      <c r="I166">
        <v>361.61</v>
      </c>
      <c r="J166">
        <v>6.7</v>
      </c>
      <c r="K166">
        <v>590</v>
      </c>
      <c r="L166">
        <v>100</v>
      </c>
      <c r="P166">
        <v>1.999999104</v>
      </c>
      <c r="Q166">
        <v>29350.80502</v>
      </c>
      <c r="R166">
        <v>3.13</v>
      </c>
      <c r="S166">
        <v>179</v>
      </c>
      <c r="T166">
        <v>12.52111</v>
      </c>
      <c r="U166">
        <v>-69.968329999999995</v>
      </c>
    </row>
    <row r="167" spans="1:21">
      <c r="A167" t="s">
        <v>28</v>
      </c>
      <c r="B167">
        <v>2018</v>
      </c>
      <c r="C167">
        <v>49515.112999999998</v>
      </c>
      <c r="E167">
        <v>0.76</v>
      </c>
      <c r="F167">
        <v>0</v>
      </c>
      <c r="G167">
        <v>0.15</v>
      </c>
      <c r="H167">
        <v>16.483516999999999</v>
      </c>
      <c r="I167">
        <v>359.96</v>
      </c>
      <c r="J167">
        <v>8.02</v>
      </c>
      <c r="K167">
        <v>590</v>
      </c>
      <c r="L167">
        <v>100</v>
      </c>
      <c r="Q167">
        <v>30253.27936</v>
      </c>
      <c r="R167">
        <v>3.07</v>
      </c>
      <c r="S167">
        <v>179</v>
      </c>
      <c r="T167">
        <v>12.52111</v>
      </c>
      <c r="U167">
        <v>-69.968329999999995</v>
      </c>
    </row>
    <row r="168" spans="1:21">
      <c r="A168" t="s">
        <v>28</v>
      </c>
      <c r="B168">
        <v>2019</v>
      </c>
      <c r="C168">
        <v>51107.843999999997</v>
      </c>
      <c r="E168">
        <v>0.77</v>
      </c>
      <c r="F168">
        <v>0</v>
      </c>
      <c r="G168">
        <v>0.15</v>
      </c>
      <c r="H168">
        <v>16.304348000000001</v>
      </c>
      <c r="I168">
        <v>358.39</v>
      </c>
      <c r="J168">
        <v>7.48</v>
      </c>
      <c r="K168">
        <v>590</v>
      </c>
      <c r="L168">
        <v>100</v>
      </c>
      <c r="R168">
        <v>3.2</v>
      </c>
      <c r="S168">
        <v>179</v>
      </c>
      <c r="T168">
        <v>12.52111</v>
      </c>
      <c r="U168">
        <v>-69.968329999999995</v>
      </c>
    </row>
    <row r="169" spans="1:21">
      <c r="A169" t="s">
        <v>28</v>
      </c>
      <c r="B169">
        <v>2020</v>
      </c>
      <c r="C169">
        <v>43496.94</v>
      </c>
      <c r="E169">
        <v>0.73</v>
      </c>
      <c r="F169">
        <v>0</v>
      </c>
      <c r="G169">
        <v>0.15</v>
      </c>
      <c r="H169">
        <v>17.045456000000001</v>
      </c>
      <c r="I169">
        <v>356.86</v>
      </c>
      <c r="K169">
        <v>590</v>
      </c>
      <c r="L169">
        <v>100</v>
      </c>
      <c r="S169">
        <v>179</v>
      </c>
      <c r="T169">
        <v>12.52111</v>
      </c>
      <c r="U169">
        <v>-69.968329999999995</v>
      </c>
    </row>
    <row r="170" spans="1:21">
      <c r="A170" t="s">
        <v>29</v>
      </c>
      <c r="B170">
        <v>2000</v>
      </c>
      <c r="C170">
        <v>68632.960000000006</v>
      </c>
      <c r="D170">
        <v>339450</v>
      </c>
      <c r="E170">
        <v>181.05</v>
      </c>
      <c r="F170">
        <v>0</v>
      </c>
      <c r="G170">
        <v>17.11</v>
      </c>
      <c r="H170">
        <v>8.6344370000000001</v>
      </c>
      <c r="J170">
        <v>8.42</v>
      </c>
      <c r="K170">
        <v>3</v>
      </c>
      <c r="L170">
        <v>100</v>
      </c>
      <c r="M170">
        <v>100</v>
      </c>
      <c r="N170">
        <v>3.9888778</v>
      </c>
      <c r="P170">
        <v>3.9124277329999999</v>
      </c>
      <c r="Q170">
        <v>21697.708480000001</v>
      </c>
      <c r="R170">
        <v>6.16</v>
      </c>
      <c r="S170">
        <v>7741220</v>
      </c>
      <c r="T170">
        <v>-25.274398000000001</v>
      </c>
      <c r="U170">
        <v>133.775136</v>
      </c>
    </row>
    <row r="171" spans="1:21">
      <c r="A171" t="s">
        <v>29</v>
      </c>
      <c r="B171">
        <v>2001</v>
      </c>
      <c r="C171">
        <v>68338.28</v>
      </c>
      <c r="D171">
        <v>345640</v>
      </c>
      <c r="E171">
        <v>194.33</v>
      </c>
      <c r="F171">
        <v>0</v>
      </c>
      <c r="G171">
        <v>17.399999999999999</v>
      </c>
      <c r="H171">
        <v>8.2180140000000002</v>
      </c>
      <c r="J171">
        <v>8.3699999999999992</v>
      </c>
      <c r="K171">
        <v>3</v>
      </c>
      <c r="L171">
        <v>100</v>
      </c>
      <c r="M171">
        <v>100</v>
      </c>
      <c r="N171">
        <v>3.870762</v>
      </c>
      <c r="P171">
        <v>2.0383007320000002</v>
      </c>
      <c r="Q171">
        <v>19527.32358</v>
      </c>
      <c r="R171">
        <v>5.91</v>
      </c>
      <c r="S171">
        <v>7741220</v>
      </c>
      <c r="T171">
        <v>-25.274398000000001</v>
      </c>
      <c r="U171">
        <v>133.775136</v>
      </c>
    </row>
    <row r="172" spans="1:21">
      <c r="A172" t="s">
        <v>29</v>
      </c>
      <c r="B172">
        <v>2002</v>
      </c>
      <c r="C172">
        <v>68892.78</v>
      </c>
      <c r="D172">
        <v>353369.9951</v>
      </c>
      <c r="E172">
        <v>197.29</v>
      </c>
      <c r="F172">
        <v>0</v>
      </c>
      <c r="G172">
        <v>17.350000000000001</v>
      </c>
      <c r="H172">
        <v>8.0833025000000003</v>
      </c>
      <c r="J172">
        <v>8.74</v>
      </c>
      <c r="K172">
        <v>3</v>
      </c>
      <c r="L172">
        <v>100</v>
      </c>
      <c r="M172">
        <v>100</v>
      </c>
      <c r="N172">
        <v>3.9314504000000001</v>
      </c>
      <c r="P172">
        <v>4.014526654</v>
      </c>
      <c r="Q172">
        <v>20117.78889</v>
      </c>
      <c r="R172">
        <v>5.89</v>
      </c>
      <c r="S172">
        <v>7741220</v>
      </c>
      <c r="T172">
        <v>-25.274398000000001</v>
      </c>
      <c r="U172">
        <v>133.775136</v>
      </c>
    </row>
    <row r="173" spans="1:21">
      <c r="A173" t="s">
        <v>29</v>
      </c>
      <c r="B173">
        <v>2003</v>
      </c>
      <c r="C173">
        <v>69082.789999999994</v>
      </c>
      <c r="D173">
        <v>352579.9866</v>
      </c>
      <c r="E173">
        <v>195.13</v>
      </c>
      <c r="F173">
        <v>0</v>
      </c>
      <c r="G173">
        <v>18.5</v>
      </c>
      <c r="H173">
        <v>8.6598319999999998</v>
      </c>
      <c r="J173">
        <v>7.15</v>
      </c>
      <c r="K173">
        <v>3</v>
      </c>
      <c r="L173">
        <v>100</v>
      </c>
      <c r="M173">
        <v>100</v>
      </c>
      <c r="N173">
        <v>4.0149689999999998</v>
      </c>
      <c r="P173">
        <v>3.1103251090000001</v>
      </c>
      <c r="Q173">
        <v>23492.405170000002</v>
      </c>
      <c r="R173">
        <v>5.78</v>
      </c>
      <c r="S173">
        <v>7741220</v>
      </c>
      <c r="T173">
        <v>-25.274398000000001</v>
      </c>
      <c r="U173">
        <v>133.775136</v>
      </c>
    </row>
    <row r="174" spans="1:21">
      <c r="A174" t="s">
        <v>29</v>
      </c>
      <c r="B174">
        <v>2004</v>
      </c>
      <c r="C174">
        <v>70486.320000000007</v>
      </c>
      <c r="D174">
        <v>365809.9976</v>
      </c>
      <c r="E174">
        <v>203.66</v>
      </c>
      <c r="F174">
        <v>0</v>
      </c>
      <c r="G174">
        <v>19.41</v>
      </c>
      <c r="H174">
        <v>8.7013040000000004</v>
      </c>
      <c r="J174">
        <v>6.68</v>
      </c>
      <c r="K174">
        <v>3</v>
      </c>
      <c r="L174">
        <v>100</v>
      </c>
      <c r="M174">
        <v>100</v>
      </c>
      <c r="N174">
        <v>4.0365605000000002</v>
      </c>
      <c r="P174">
        <v>4.2054468869999999</v>
      </c>
      <c r="Q174">
        <v>30513.941739999998</v>
      </c>
      <c r="R174">
        <v>5.65</v>
      </c>
      <c r="S174">
        <v>7741220</v>
      </c>
      <c r="T174">
        <v>-25.274398000000001</v>
      </c>
      <c r="U174">
        <v>133.775136</v>
      </c>
    </row>
    <row r="175" spans="1:21">
      <c r="A175" t="s">
        <v>29</v>
      </c>
      <c r="B175">
        <v>2005</v>
      </c>
      <c r="C175">
        <v>69917.164000000004</v>
      </c>
      <c r="D175">
        <v>370089.9963</v>
      </c>
      <c r="E175">
        <v>195.95</v>
      </c>
      <c r="F175">
        <v>0</v>
      </c>
      <c r="G175">
        <v>19.75</v>
      </c>
      <c r="H175">
        <v>9.1562359999999998</v>
      </c>
      <c r="J175">
        <v>6.71</v>
      </c>
      <c r="K175">
        <v>3</v>
      </c>
      <c r="L175">
        <v>100</v>
      </c>
      <c r="M175">
        <v>100</v>
      </c>
      <c r="N175">
        <v>4.3135532999999997</v>
      </c>
      <c r="P175">
        <v>3.1603383250000001</v>
      </c>
      <c r="Q175">
        <v>34080.999900000003</v>
      </c>
      <c r="R175">
        <v>5.52</v>
      </c>
      <c r="S175">
        <v>7741220</v>
      </c>
      <c r="T175">
        <v>-25.274398000000001</v>
      </c>
      <c r="U175">
        <v>133.775136</v>
      </c>
    </row>
    <row r="176" spans="1:21">
      <c r="A176" t="s">
        <v>29</v>
      </c>
      <c r="B176">
        <v>2006</v>
      </c>
      <c r="C176">
        <v>71863.759999999995</v>
      </c>
      <c r="D176">
        <v>375489.9902</v>
      </c>
      <c r="E176">
        <v>198.72</v>
      </c>
      <c r="F176">
        <v>0</v>
      </c>
      <c r="G176">
        <v>21.19</v>
      </c>
      <c r="H176">
        <v>9.6357599999999994</v>
      </c>
      <c r="J176">
        <v>6.85</v>
      </c>
      <c r="K176">
        <v>3</v>
      </c>
      <c r="L176">
        <v>100</v>
      </c>
      <c r="M176">
        <v>100</v>
      </c>
      <c r="N176">
        <v>4.2334129999999996</v>
      </c>
      <c r="P176">
        <v>2.7268934460000001</v>
      </c>
      <c r="Q176">
        <v>36117.487979999998</v>
      </c>
      <c r="R176">
        <v>5.58</v>
      </c>
      <c r="S176">
        <v>7741220</v>
      </c>
      <c r="T176">
        <v>-25.274398000000001</v>
      </c>
      <c r="U176">
        <v>133.775136</v>
      </c>
    </row>
    <row r="177" spans="1:21">
      <c r="A177" t="s">
        <v>29</v>
      </c>
      <c r="B177">
        <v>2007</v>
      </c>
      <c r="C177">
        <v>72304.695000000007</v>
      </c>
      <c r="D177">
        <v>385750</v>
      </c>
      <c r="E177">
        <v>208.59</v>
      </c>
      <c r="F177">
        <v>0</v>
      </c>
      <c r="G177">
        <v>20.93</v>
      </c>
      <c r="H177">
        <v>9.1190309999999997</v>
      </c>
      <c r="J177">
        <v>6.95</v>
      </c>
      <c r="K177">
        <v>3</v>
      </c>
      <c r="L177">
        <v>100</v>
      </c>
      <c r="M177">
        <v>100</v>
      </c>
      <c r="N177">
        <v>3.9767226999999998</v>
      </c>
      <c r="P177">
        <v>3.768487516</v>
      </c>
      <c r="Q177">
        <v>41001.142979999997</v>
      </c>
      <c r="R177">
        <v>5.52</v>
      </c>
      <c r="S177">
        <v>7741220</v>
      </c>
      <c r="T177">
        <v>-25.274398000000001</v>
      </c>
      <c r="U177">
        <v>133.775136</v>
      </c>
    </row>
    <row r="178" spans="1:21">
      <c r="A178" t="s">
        <v>29</v>
      </c>
      <c r="B178">
        <v>2008</v>
      </c>
      <c r="C178">
        <v>72089.34</v>
      </c>
      <c r="D178">
        <v>388940.0024</v>
      </c>
      <c r="E178">
        <v>211.06</v>
      </c>
      <c r="F178">
        <v>0</v>
      </c>
      <c r="G178">
        <v>18.489999999999998</v>
      </c>
      <c r="H178">
        <v>8.0548900000000003</v>
      </c>
      <c r="J178">
        <v>6.79</v>
      </c>
      <c r="K178">
        <v>3</v>
      </c>
      <c r="L178">
        <v>100</v>
      </c>
      <c r="M178">
        <v>100</v>
      </c>
      <c r="N178">
        <v>3.6813264000000001</v>
      </c>
      <c r="P178">
        <v>3.577014878</v>
      </c>
      <c r="Q178">
        <v>49654.910600000003</v>
      </c>
      <c r="R178">
        <v>5.53</v>
      </c>
      <c r="S178">
        <v>7741220</v>
      </c>
      <c r="T178">
        <v>-25.274398000000001</v>
      </c>
      <c r="U178">
        <v>133.775136</v>
      </c>
    </row>
    <row r="179" spans="1:21">
      <c r="A179" t="s">
        <v>29</v>
      </c>
      <c r="B179">
        <v>2009</v>
      </c>
      <c r="C179">
        <v>69689.84</v>
      </c>
      <c r="D179">
        <v>395290.0085</v>
      </c>
      <c r="E179">
        <v>216.42</v>
      </c>
      <c r="F179">
        <v>0</v>
      </c>
      <c r="G179">
        <v>18.32</v>
      </c>
      <c r="H179">
        <v>7.804379</v>
      </c>
      <c r="J179">
        <v>7.15</v>
      </c>
      <c r="K179">
        <v>3</v>
      </c>
      <c r="L179">
        <v>100</v>
      </c>
      <c r="M179">
        <v>100</v>
      </c>
      <c r="N179">
        <v>3.9202661999999999</v>
      </c>
      <c r="P179">
        <v>1.8668320700000001</v>
      </c>
      <c r="Q179">
        <v>42783.322569999997</v>
      </c>
      <c r="R179">
        <v>5.43</v>
      </c>
      <c r="S179">
        <v>7741220</v>
      </c>
      <c r="T179">
        <v>-25.274398000000001</v>
      </c>
      <c r="U179">
        <v>133.775136</v>
      </c>
    </row>
    <row r="180" spans="1:21">
      <c r="A180" t="s">
        <v>29</v>
      </c>
      <c r="B180">
        <v>2010</v>
      </c>
      <c r="C180">
        <v>68523.875</v>
      </c>
      <c r="D180">
        <v>387540.0085</v>
      </c>
      <c r="E180">
        <v>212.5</v>
      </c>
      <c r="F180">
        <v>0</v>
      </c>
      <c r="G180">
        <v>21.13</v>
      </c>
      <c r="H180">
        <v>9.0442149999999994</v>
      </c>
      <c r="J180">
        <v>8.16</v>
      </c>
      <c r="K180">
        <v>3</v>
      </c>
      <c r="L180">
        <v>100</v>
      </c>
      <c r="M180">
        <v>100</v>
      </c>
      <c r="N180">
        <v>4.3128047</v>
      </c>
      <c r="P180">
        <v>2.1723370910000002</v>
      </c>
      <c r="Q180">
        <v>52087.972289999998</v>
      </c>
      <c r="R180">
        <v>5.33</v>
      </c>
      <c r="S180">
        <v>7741220</v>
      </c>
      <c r="T180">
        <v>-25.274398000000001</v>
      </c>
      <c r="U180">
        <v>133.775136</v>
      </c>
    </row>
    <row r="181" spans="1:21">
      <c r="A181" t="s">
        <v>29</v>
      </c>
      <c r="B181">
        <v>2011</v>
      </c>
      <c r="C181">
        <v>69714.19</v>
      </c>
      <c r="D181">
        <v>386380.0049</v>
      </c>
      <c r="E181">
        <v>213.56</v>
      </c>
      <c r="F181">
        <v>0</v>
      </c>
      <c r="G181">
        <v>27.33</v>
      </c>
      <c r="H181">
        <v>11.3454275</v>
      </c>
      <c r="J181">
        <v>8.32</v>
      </c>
      <c r="K181">
        <v>3</v>
      </c>
      <c r="L181">
        <v>100</v>
      </c>
      <c r="M181">
        <v>100</v>
      </c>
      <c r="N181">
        <v>5.6989809999999999</v>
      </c>
      <c r="P181">
        <v>2.4697462940000001</v>
      </c>
      <c r="Q181">
        <v>62574.145700000001</v>
      </c>
      <c r="R181">
        <v>5.23</v>
      </c>
      <c r="S181">
        <v>7741220</v>
      </c>
      <c r="T181">
        <v>-25.274398000000001</v>
      </c>
      <c r="U181">
        <v>133.775136</v>
      </c>
    </row>
    <row r="182" spans="1:21">
      <c r="A182" t="s">
        <v>29</v>
      </c>
      <c r="B182">
        <v>2012</v>
      </c>
      <c r="C182">
        <v>67583.03</v>
      </c>
      <c r="D182">
        <v>386970.0012</v>
      </c>
      <c r="E182">
        <v>206.75</v>
      </c>
      <c r="F182">
        <v>0</v>
      </c>
      <c r="G182">
        <v>26.63</v>
      </c>
      <c r="H182">
        <v>11.410575</v>
      </c>
      <c r="J182">
        <v>8.2899999999999991</v>
      </c>
      <c r="K182">
        <v>3</v>
      </c>
      <c r="L182">
        <v>100</v>
      </c>
      <c r="M182">
        <v>100</v>
      </c>
      <c r="N182">
        <v>5.7002090000000001</v>
      </c>
      <c r="P182">
        <v>3.9173624629999999</v>
      </c>
      <c r="Q182">
        <v>68027.841709999993</v>
      </c>
      <c r="R182">
        <v>4.9800000000000004</v>
      </c>
      <c r="S182">
        <v>7741220</v>
      </c>
      <c r="T182">
        <v>-25.274398000000001</v>
      </c>
      <c r="U182">
        <v>133.775136</v>
      </c>
    </row>
    <row r="183" spans="1:21">
      <c r="A183" t="s">
        <v>29</v>
      </c>
      <c r="B183">
        <v>2013</v>
      </c>
      <c r="C183">
        <v>67307.039999999994</v>
      </c>
      <c r="D183">
        <v>380279.9988</v>
      </c>
      <c r="E183">
        <v>195.78</v>
      </c>
      <c r="F183">
        <v>0</v>
      </c>
      <c r="G183">
        <v>34.200000000000003</v>
      </c>
      <c r="H183">
        <v>14.870858</v>
      </c>
      <c r="J183">
        <v>9.2100000000000009</v>
      </c>
      <c r="K183">
        <v>3</v>
      </c>
      <c r="L183">
        <v>100</v>
      </c>
      <c r="M183">
        <v>100</v>
      </c>
      <c r="N183">
        <v>6.5258690000000001</v>
      </c>
      <c r="P183">
        <v>2.6002118809999999</v>
      </c>
      <c r="Q183">
        <v>68156.627919999999</v>
      </c>
      <c r="R183">
        <v>4.93</v>
      </c>
      <c r="S183">
        <v>7741220</v>
      </c>
      <c r="T183">
        <v>-25.274398000000001</v>
      </c>
      <c r="U183">
        <v>133.775136</v>
      </c>
    </row>
    <row r="184" spans="1:21">
      <c r="A184" t="s">
        <v>29</v>
      </c>
      <c r="B184">
        <v>2014</v>
      </c>
      <c r="C184">
        <v>66744.195000000007</v>
      </c>
      <c r="D184">
        <v>371630.0049</v>
      </c>
      <c r="E184">
        <v>205.46</v>
      </c>
      <c r="F184">
        <v>0</v>
      </c>
      <c r="G184">
        <v>36.15</v>
      </c>
      <c r="H184">
        <v>14.96213</v>
      </c>
      <c r="J184">
        <v>9.32</v>
      </c>
      <c r="K184">
        <v>3</v>
      </c>
      <c r="L184">
        <v>100</v>
      </c>
      <c r="M184">
        <v>100</v>
      </c>
      <c r="N184">
        <v>5.9798229999999997</v>
      </c>
      <c r="P184">
        <v>2.5629315209999999</v>
      </c>
      <c r="Q184">
        <v>62511.690589999998</v>
      </c>
      <c r="R184">
        <v>4.78</v>
      </c>
      <c r="S184">
        <v>7741220</v>
      </c>
      <c r="T184">
        <v>-25.274398000000001</v>
      </c>
      <c r="U184">
        <v>133.775136</v>
      </c>
    </row>
    <row r="185" spans="1:21">
      <c r="A185" t="s">
        <v>29</v>
      </c>
      <c r="B185">
        <v>2015</v>
      </c>
      <c r="C185">
        <v>67234.929999999993</v>
      </c>
      <c r="D185">
        <v>377799.9878</v>
      </c>
      <c r="E185">
        <v>197.72</v>
      </c>
      <c r="F185">
        <v>0</v>
      </c>
      <c r="G185">
        <v>33.119999999999997</v>
      </c>
      <c r="H185">
        <v>14.3476</v>
      </c>
      <c r="J185">
        <v>9.31</v>
      </c>
      <c r="K185">
        <v>3</v>
      </c>
      <c r="L185">
        <v>100</v>
      </c>
      <c r="M185">
        <v>100</v>
      </c>
      <c r="N185">
        <v>6.2900210000000003</v>
      </c>
      <c r="P185">
        <v>2.1722047529999999</v>
      </c>
      <c r="Q185">
        <v>56707.022080000002</v>
      </c>
      <c r="R185">
        <v>4.67</v>
      </c>
      <c r="S185">
        <v>7741220</v>
      </c>
      <c r="T185">
        <v>-25.274398000000001</v>
      </c>
      <c r="U185">
        <v>133.775136</v>
      </c>
    </row>
    <row r="186" spans="1:21">
      <c r="A186" t="s">
        <v>29</v>
      </c>
      <c r="B186">
        <v>2016</v>
      </c>
      <c r="C186">
        <v>66407.09</v>
      </c>
      <c r="D186">
        <v>384989.9902</v>
      </c>
      <c r="E186">
        <v>207.66</v>
      </c>
      <c r="F186">
        <v>0</v>
      </c>
      <c r="G186">
        <v>38.409999999999997</v>
      </c>
      <c r="H186">
        <v>15.609379000000001</v>
      </c>
      <c r="J186">
        <v>9.42</v>
      </c>
      <c r="K186">
        <v>3</v>
      </c>
      <c r="L186">
        <v>100</v>
      </c>
      <c r="M186">
        <v>100</v>
      </c>
      <c r="N186">
        <v>7.1891756000000004</v>
      </c>
      <c r="P186">
        <v>2.7416430690000002</v>
      </c>
      <c r="Q186">
        <v>49881.763709999999</v>
      </c>
      <c r="R186">
        <v>4.54</v>
      </c>
      <c r="S186">
        <v>7741220</v>
      </c>
      <c r="T186">
        <v>-25.274398000000001</v>
      </c>
      <c r="U186">
        <v>133.775136</v>
      </c>
    </row>
    <row r="187" spans="1:21">
      <c r="A187" t="s">
        <v>29</v>
      </c>
      <c r="B187">
        <v>2017</v>
      </c>
      <c r="C187">
        <v>65146.315999999999</v>
      </c>
      <c r="D187">
        <v>389160.0037</v>
      </c>
      <c r="E187">
        <v>209.14</v>
      </c>
      <c r="F187">
        <v>0</v>
      </c>
      <c r="G187">
        <v>40.770000000000003</v>
      </c>
      <c r="H187">
        <v>16.313873000000001</v>
      </c>
      <c r="J187">
        <v>9.69</v>
      </c>
      <c r="K187">
        <v>3</v>
      </c>
      <c r="L187">
        <v>100</v>
      </c>
      <c r="M187">
        <v>100</v>
      </c>
      <c r="N187">
        <v>6.750127</v>
      </c>
      <c r="P187">
        <v>2.2959269469999999</v>
      </c>
      <c r="Q187">
        <v>53934.250180000003</v>
      </c>
      <c r="R187">
        <v>4.49</v>
      </c>
      <c r="S187">
        <v>7741220</v>
      </c>
      <c r="T187">
        <v>-25.274398000000001</v>
      </c>
      <c r="U187">
        <v>133.775136</v>
      </c>
    </row>
    <row r="188" spans="1:21">
      <c r="A188" t="s">
        <v>29</v>
      </c>
      <c r="B188">
        <v>2018</v>
      </c>
      <c r="C188">
        <v>65072.667999999998</v>
      </c>
      <c r="D188">
        <v>387070.0073</v>
      </c>
      <c r="E188">
        <v>207.45</v>
      </c>
      <c r="F188">
        <v>0</v>
      </c>
      <c r="G188">
        <v>42.93</v>
      </c>
      <c r="H188">
        <v>17.145937</v>
      </c>
      <c r="J188">
        <v>9.67</v>
      </c>
      <c r="K188">
        <v>3</v>
      </c>
      <c r="L188">
        <v>100</v>
      </c>
      <c r="M188">
        <v>100</v>
      </c>
      <c r="N188">
        <v>8.3000609999999995</v>
      </c>
      <c r="P188">
        <v>2.8709724799999998</v>
      </c>
      <c r="Q188">
        <v>57180.779399999999</v>
      </c>
      <c r="R188">
        <v>4.3899999999999997</v>
      </c>
      <c r="S188">
        <v>7741220</v>
      </c>
      <c r="T188">
        <v>-25.274398000000001</v>
      </c>
      <c r="U188">
        <v>133.775136</v>
      </c>
    </row>
    <row r="189" spans="1:21">
      <c r="A189" t="s">
        <v>29</v>
      </c>
      <c r="B189">
        <v>2019</v>
      </c>
      <c r="C189">
        <v>66263.539999999994</v>
      </c>
      <c r="D189">
        <v>386529.9988</v>
      </c>
      <c r="E189">
        <v>196.45</v>
      </c>
      <c r="F189">
        <v>0</v>
      </c>
      <c r="G189">
        <v>53.41</v>
      </c>
      <c r="H189">
        <v>21.375969999999999</v>
      </c>
      <c r="J189">
        <v>10.130000000000001</v>
      </c>
      <c r="K189">
        <v>3</v>
      </c>
      <c r="L189">
        <v>100</v>
      </c>
      <c r="M189">
        <v>100</v>
      </c>
      <c r="N189">
        <v>8.8807220000000004</v>
      </c>
      <c r="P189">
        <v>2.113149425</v>
      </c>
      <c r="Q189">
        <v>54875.285960000001</v>
      </c>
      <c r="R189">
        <v>4.3</v>
      </c>
      <c r="S189">
        <v>7741220</v>
      </c>
      <c r="T189">
        <v>-25.274398000000001</v>
      </c>
      <c r="U189">
        <v>133.775136</v>
      </c>
    </row>
    <row r="190" spans="1:21">
      <c r="A190" t="s">
        <v>29</v>
      </c>
      <c r="B190">
        <v>2020</v>
      </c>
      <c r="C190">
        <v>61826.21</v>
      </c>
      <c r="E190">
        <v>186.92</v>
      </c>
      <c r="F190">
        <v>0</v>
      </c>
      <c r="G190">
        <v>63.99</v>
      </c>
      <c r="H190">
        <v>25.503167999999999</v>
      </c>
      <c r="K190">
        <v>3</v>
      </c>
      <c r="L190">
        <v>100</v>
      </c>
      <c r="M190">
        <v>100</v>
      </c>
      <c r="N190">
        <v>10.789811</v>
      </c>
      <c r="P190">
        <v>-3.8365589999999998E-3</v>
      </c>
      <c r="Q190">
        <v>51692.842750000003</v>
      </c>
      <c r="S190">
        <v>7741220</v>
      </c>
      <c r="T190">
        <v>-25.274398000000001</v>
      </c>
      <c r="U190">
        <v>133.775136</v>
      </c>
    </row>
    <row r="191" spans="1:21">
      <c r="A191" t="s">
        <v>30</v>
      </c>
      <c r="B191">
        <v>2000</v>
      </c>
      <c r="C191">
        <v>48863.28</v>
      </c>
      <c r="D191">
        <v>63530</v>
      </c>
      <c r="E191">
        <v>16.41</v>
      </c>
      <c r="F191">
        <v>0</v>
      </c>
      <c r="G191">
        <v>43.44</v>
      </c>
      <c r="H191">
        <v>72.581460000000007</v>
      </c>
      <c r="J191">
        <v>26.44</v>
      </c>
      <c r="K191">
        <v>109</v>
      </c>
      <c r="L191">
        <v>100</v>
      </c>
      <c r="M191">
        <v>100</v>
      </c>
      <c r="N191">
        <v>32.954258000000003</v>
      </c>
      <c r="P191">
        <v>3.3757221469999998</v>
      </c>
      <c r="Q191">
        <v>24564.458289999999</v>
      </c>
      <c r="R191">
        <v>3.22</v>
      </c>
      <c r="S191">
        <v>83871</v>
      </c>
      <c r="T191">
        <v>47.516230999999998</v>
      </c>
      <c r="U191">
        <v>14.550072</v>
      </c>
    </row>
    <row r="192" spans="1:21">
      <c r="A192" t="s">
        <v>30</v>
      </c>
      <c r="B192">
        <v>2001</v>
      </c>
      <c r="C192">
        <v>50421.105000000003</v>
      </c>
      <c r="D192">
        <v>67910</v>
      </c>
      <c r="E192">
        <v>18.82</v>
      </c>
      <c r="F192">
        <v>0</v>
      </c>
      <c r="G192">
        <v>42.24</v>
      </c>
      <c r="H192">
        <v>69.177859999999995</v>
      </c>
      <c r="J192">
        <v>25.53</v>
      </c>
      <c r="K192">
        <v>109</v>
      </c>
      <c r="L192">
        <v>100</v>
      </c>
      <c r="M192">
        <v>100</v>
      </c>
      <c r="N192">
        <v>30.816513</v>
      </c>
      <c r="P192">
        <v>1.2671681889999999</v>
      </c>
      <c r="Q192">
        <v>24537.51426</v>
      </c>
      <c r="R192">
        <v>3.36</v>
      </c>
      <c r="S192">
        <v>83871</v>
      </c>
      <c r="T192">
        <v>47.516230999999998</v>
      </c>
      <c r="U192">
        <v>14.550072</v>
      </c>
    </row>
    <row r="193" spans="1:21">
      <c r="A193" t="s">
        <v>30</v>
      </c>
      <c r="B193">
        <v>2002</v>
      </c>
      <c r="C193">
        <v>50254.64</v>
      </c>
      <c r="D193">
        <v>69370.00275</v>
      </c>
      <c r="E193">
        <v>18.79</v>
      </c>
      <c r="F193">
        <v>0</v>
      </c>
      <c r="G193">
        <v>41.9</v>
      </c>
      <c r="H193">
        <v>69.039379999999994</v>
      </c>
      <c r="J193">
        <v>24.68</v>
      </c>
      <c r="K193">
        <v>109</v>
      </c>
      <c r="L193">
        <v>100</v>
      </c>
      <c r="M193">
        <v>100</v>
      </c>
      <c r="N193">
        <v>30.325116999999999</v>
      </c>
      <c r="P193">
        <v>1.651553922</v>
      </c>
      <c r="Q193">
        <v>26401.745459999998</v>
      </c>
      <c r="R193">
        <v>3.33</v>
      </c>
      <c r="S193">
        <v>83871</v>
      </c>
      <c r="T193">
        <v>47.516230999999998</v>
      </c>
      <c r="U193">
        <v>14.550072</v>
      </c>
    </row>
    <row r="194" spans="1:21">
      <c r="A194" t="s">
        <v>30</v>
      </c>
      <c r="B194">
        <v>2003</v>
      </c>
      <c r="C194">
        <v>50523.203000000001</v>
      </c>
      <c r="D194">
        <v>74459.999079999994</v>
      </c>
      <c r="E194">
        <v>22.82</v>
      </c>
      <c r="F194">
        <v>0</v>
      </c>
      <c r="G194">
        <v>35.24</v>
      </c>
      <c r="H194">
        <v>60.695835000000002</v>
      </c>
      <c r="J194">
        <v>22.56</v>
      </c>
      <c r="K194">
        <v>109</v>
      </c>
      <c r="L194">
        <v>100</v>
      </c>
      <c r="M194">
        <v>100</v>
      </c>
      <c r="N194">
        <v>25.140518</v>
      </c>
      <c r="P194">
        <v>0.94147092099999996</v>
      </c>
      <c r="Q194">
        <v>32222.897239999998</v>
      </c>
      <c r="R194">
        <v>3.48</v>
      </c>
      <c r="S194">
        <v>83871</v>
      </c>
      <c r="T194">
        <v>47.516230999999998</v>
      </c>
      <c r="U194">
        <v>14.550072</v>
      </c>
    </row>
    <row r="195" spans="1:21">
      <c r="A195" t="s">
        <v>30</v>
      </c>
      <c r="B195">
        <v>2004</v>
      </c>
      <c r="C195">
        <v>51139.311999999998</v>
      </c>
      <c r="D195">
        <v>75800.003049999999</v>
      </c>
      <c r="E195">
        <v>22.31</v>
      </c>
      <c r="F195">
        <v>0</v>
      </c>
      <c r="G195">
        <v>39.619999999999997</v>
      </c>
      <c r="H195">
        <v>63.975456000000001</v>
      </c>
      <c r="J195">
        <v>23.17</v>
      </c>
      <c r="K195">
        <v>109</v>
      </c>
      <c r="L195">
        <v>100</v>
      </c>
      <c r="M195">
        <v>100</v>
      </c>
      <c r="N195">
        <v>27.633785</v>
      </c>
      <c r="P195">
        <v>2.7351202219999999</v>
      </c>
      <c r="Q195">
        <v>36821.52147</v>
      </c>
      <c r="R195">
        <v>3.44</v>
      </c>
      <c r="S195">
        <v>83871</v>
      </c>
      <c r="T195">
        <v>47.516230999999998</v>
      </c>
      <c r="U195">
        <v>14.550072</v>
      </c>
    </row>
    <row r="196" spans="1:21">
      <c r="A196" t="s">
        <v>30</v>
      </c>
      <c r="B196">
        <v>2005</v>
      </c>
      <c r="C196">
        <v>51714.720000000001</v>
      </c>
      <c r="D196">
        <v>76239.997860000003</v>
      </c>
      <c r="E196">
        <v>23.61</v>
      </c>
      <c r="F196">
        <v>0</v>
      </c>
      <c r="G196">
        <v>40.880000000000003</v>
      </c>
      <c r="H196">
        <v>63.389674999999997</v>
      </c>
      <c r="J196">
        <v>24.41</v>
      </c>
      <c r="K196">
        <v>109</v>
      </c>
      <c r="L196">
        <v>100</v>
      </c>
      <c r="M196">
        <v>100</v>
      </c>
      <c r="N196">
        <v>27.947859999999999</v>
      </c>
      <c r="P196">
        <v>2.2440653250000002</v>
      </c>
      <c r="Q196">
        <v>38403.133880000001</v>
      </c>
      <c r="R196">
        <v>3.47</v>
      </c>
      <c r="S196">
        <v>83871</v>
      </c>
      <c r="T196">
        <v>47.516230999999998</v>
      </c>
      <c r="U196">
        <v>14.550072</v>
      </c>
    </row>
    <row r="197" spans="1:21">
      <c r="A197" t="s">
        <v>30</v>
      </c>
      <c r="B197">
        <v>2006</v>
      </c>
      <c r="C197">
        <v>50921.684000000001</v>
      </c>
      <c r="D197">
        <v>74099.998470000006</v>
      </c>
      <c r="E197">
        <v>21.62</v>
      </c>
      <c r="F197">
        <v>0</v>
      </c>
      <c r="G197">
        <v>40.659999999999997</v>
      </c>
      <c r="H197">
        <v>65.285804999999996</v>
      </c>
      <c r="J197">
        <v>26.64</v>
      </c>
      <c r="K197">
        <v>109</v>
      </c>
      <c r="L197">
        <v>100</v>
      </c>
      <c r="M197">
        <v>100</v>
      </c>
      <c r="N197">
        <v>28.59121</v>
      </c>
      <c r="P197">
        <v>3.454041836</v>
      </c>
      <c r="Q197">
        <v>40635.281819999997</v>
      </c>
      <c r="R197">
        <v>3.38</v>
      </c>
      <c r="S197">
        <v>83871</v>
      </c>
      <c r="T197">
        <v>47.516230999999998</v>
      </c>
      <c r="U197">
        <v>14.550072</v>
      </c>
    </row>
    <row r="198" spans="1:21">
      <c r="A198" t="s">
        <v>30</v>
      </c>
      <c r="B198">
        <v>2007</v>
      </c>
      <c r="C198">
        <v>49669.195</v>
      </c>
      <c r="D198">
        <v>71239.997860000003</v>
      </c>
      <c r="E198">
        <v>19.739999999999998</v>
      </c>
      <c r="F198">
        <v>0</v>
      </c>
      <c r="G198">
        <v>43.17</v>
      </c>
      <c r="H198">
        <v>68.621840000000006</v>
      </c>
      <c r="J198">
        <v>28.99</v>
      </c>
      <c r="K198">
        <v>109</v>
      </c>
      <c r="L198">
        <v>100</v>
      </c>
      <c r="M198">
        <v>100</v>
      </c>
      <c r="N198">
        <v>30.980609999999999</v>
      </c>
      <c r="P198">
        <v>3.7274153010000002</v>
      </c>
      <c r="Q198">
        <v>46855.77175</v>
      </c>
      <c r="R198">
        <v>3.2</v>
      </c>
      <c r="S198">
        <v>83871</v>
      </c>
      <c r="T198">
        <v>47.516230999999998</v>
      </c>
      <c r="U198">
        <v>14.550072</v>
      </c>
    </row>
    <row r="199" spans="1:21">
      <c r="A199" t="s">
        <v>30</v>
      </c>
      <c r="B199">
        <v>2008</v>
      </c>
      <c r="C199">
        <v>50475.008000000002</v>
      </c>
      <c r="D199">
        <v>70730.003360000002</v>
      </c>
      <c r="E199">
        <v>19.97</v>
      </c>
      <c r="F199">
        <v>0</v>
      </c>
      <c r="G199">
        <v>44.53</v>
      </c>
      <c r="H199">
        <v>69.038759999999996</v>
      </c>
      <c r="J199">
        <v>29.68</v>
      </c>
      <c r="K199">
        <v>109</v>
      </c>
      <c r="L199">
        <v>100</v>
      </c>
      <c r="M199">
        <v>100</v>
      </c>
      <c r="N199">
        <v>31.345478</v>
      </c>
      <c r="P199">
        <v>1.460423676</v>
      </c>
      <c r="Q199">
        <v>51708.765749999999</v>
      </c>
      <c r="R199">
        <v>3.18</v>
      </c>
      <c r="S199">
        <v>83871</v>
      </c>
      <c r="T199">
        <v>47.516230999999998</v>
      </c>
      <c r="U199">
        <v>14.550072</v>
      </c>
    </row>
    <row r="200" spans="1:21">
      <c r="A200" t="s">
        <v>30</v>
      </c>
      <c r="B200">
        <v>2009</v>
      </c>
      <c r="C200">
        <v>48765.184000000001</v>
      </c>
      <c r="D200">
        <v>64419.998169999999</v>
      </c>
      <c r="E200">
        <v>19.12</v>
      </c>
      <c r="F200">
        <v>0</v>
      </c>
      <c r="G200">
        <v>47.18</v>
      </c>
      <c r="H200">
        <v>71.161384999999996</v>
      </c>
      <c r="J200">
        <v>31.31</v>
      </c>
      <c r="K200">
        <v>109</v>
      </c>
      <c r="L200">
        <v>100</v>
      </c>
      <c r="M200">
        <v>100</v>
      </c>
      <c r="N200">
        <v>34.322513999999998</v>
      </c>
      <c r="P200">
        <v>-3.7645781779999998</v>
      </c>
      <c r="Q200">
        <v>47963.179400000001</v>
      </c>
      <c r="R200">
        <v>3.14</v>
      </c>
      <c r="S200">
        <v>83871</v>
      </c>
      <c r="T200">
        <v>47.516230999999998</v>
      </c>
      <c r="U200">
        <v>14.550072</v>
      </c>
    </row>
    <row r="201" spans="1:21">
      <c r="A201" t="s">
        <v>30</v>
      </c>
      <c r="B201">
        <v>2010</v>
      </c>
      <c r="C201">
        <v>50240.959999999999</v>
      </c>
      <c r="D201">
        <v>69959.999079999994</v>
      </c>
      <c r="E201">
        <v>22.92</v>
      </c>
      <c r="F201">
        <v>0</v>
      </c>
      <c r="G201">
        <v>44.99</v>
      </c>
      <c r="H201">
        <v>66.249440000000007</v>
      </c>
      <c r="J201">
        <v>31.15</v>
      </c>
      <c r="K201">
        <v>109</v>
      </c>
      <c r="L201">
        <v>100</v>
      </c>
      <c r="M201">
        <v>100</v>
      </c>
      <c r="N201">
        <v>31.605642</v>
      </c>
      <c r="P201">
        <v>1.8370936769999999</v>
      </c>
      <c r="Q201">
        <v>46858.043270000002</v>
      </c>
      <c r="R201">
        <v>3.29</v>
      </c>
      <c r="S201">
        <v>83871</v>
      </c>
      <c r="T201">
        <v>47.516230999999998</v>
      </c>
      <c r="U201">
        <v>14.550072</v>
      </c>
    </row>
    <row r="202" spans="1:21">
      <c r="A202" t="s">
        <v>30</v>
      </c>
      <c r="B202">
        <v>2011</v>
      </c>
      <c r="C202">
        <v>47200.483999999997</v>
      </c>
      <c r="D202">
        <v>68269.996639999998</v>
      </c>
      <c r="E202">
        <v>21.35</v>
      </c>
      <c r="F202">
        <v>0</v>
      </c>
      <c r="G202">
        <v>40.909999999999997</v>
      </c>
      <c r="H202">
        <v>65.708320000000001</v>
      </c>
      <c r="J202">
        <v>31.64</v>
      </c>
      <c r="K202">
        <v>109</v>
      </c>
      <c r="L202">
        <v>100</v>
      </c>
      <c r="M202">
        <v>100</v>
      </c>
      <c r="N202">
        <v>30.720794999999999</v>
      </c>
      <c r="P202">
        <v>2.9227972840000001</v>
      </c>
      <c r="Q202">
        <v>51374.958409999999</v>
      </c>
      <c r="R202">
        <v>3.1</v>
      </c>
      <c r="S202">
        <v>83871</v>
      </c>
      <c r="T202">
        <v>47.516230999999998</v>
      </c>
      <c r="U202">
        <v>14.550072</v>
      </c>
    </row>
    <row r="203" spans="1:21">
      <c r="A203" t="s">
        <v>30</v>
      </c>
      <c r="B203">
        <v>2012</v>
      </c>
      <c r="C203">
        <v>49174.593999999997</v>
      </c>
      <c r="D203">
        <v>65110.000610000003</v>
      </c>
      <c r="E203">
        <v>17.37</v>
      </c>
      <c r="F203">
        <v>0</v>
      </c>
      <c r="G203">
        <v>51.33</v>
      </c>
      <c r="H203">
        <v>74.716160000000002</v>
      </c>
      <c r="J203">
        <v>34.380000000000003</v>
      </c>
      <c r="K203">
        <v>109</v>
      </c>
      <c r="L203">
        <v>100</v>
      </c>
      <c r="M203">
        <v>100</v>
      </c>
      <c r="N203">
        <v>35.929344</v>
      </c>
      <c r="P203">
        <v>0.68044557699999997</v>
      </c>
      <c r="Q203">
        <v>48567.695290000003</v>
      </c>
      <c r="R203">
        <v>3.07</v>
      </c>
      <c r="S203">
        <v>83871</v>
      </c>
      <c r="T203">
        <v>47.516230999999998</v>
      </c>
      <c r="U203">
        <v>14.550072</v>
      </c>
    </row>
    <row r="204" spans="1:21">
      <c r="A204" t="s">
        <v>30</v>
      </c>
      <c r="B204">
        <v>2013</v>
      </c>
      <c r="C204">
        <v>48493.574000000001</v>
      </c>
      <c r="D204">
        <v>65750</v>
      </c>
      <c r="E204">
        <v>14.09</v>
      </c>
      <c r="F204">
        <v>0</v>
      </c>
      <c r="G204">
        <v>50.5</v>
      </c>
      <c r="H204">
        <v>78.185485999999997</v>
      </c>
      <c r="J204">
        <v>34.590000000000003</v>
      </c>
      <c r="K204">
        <v>109</v>
      </c>
      <c r="L204">
        <v>100</v>
      </c>
      <c r="M204">
        <v>100</v>
      </c>
      <c r="N204">
        <v>35.266674000000002</v>
      </c>
      <c r="P204">
        <v>2.5504711999999999E-2</v>
      </c>
      <c r="Q204">
        <v>50716.708709999999</v>
      </c>
      <c r="R204">
        <v>3.1</v>
      </c>
      <c r="S204">
        <v>83871</v>
      </c>
      <c r="T204">
        <v>47.516230999999998</v>
      </c>
      <c r="U204">
        <v>14.550072</v>
      </c>
    </row>
    <row r="205" spans="1:21">
      <c r="A205" t="s">
        <v>30</v>
      </c>
      <c r="B205">
        <v>2014</v>
      </c>
      <c r="C205">
        <v>46196.464999999997</v>
      </c>
      <c r="D205">
        <v>62049.999239999997</v>
      </c>
      <c r="E205">
        <v>11.42</v>
      </c>
      <c r="F205">
        <v>0</v>
      </c>
      <c r="G205">
        <v>50.2</v>
      </c>
      <c r="H205">
        <v>81.467060000000004</v>
      </c>
      <c r="J205">
        <v>35.67</v>
      </c>
      <c r="K205">
        <v>109</v>
      </c>
      <c r="L205">
        <v>100</v>
      </c>
      <c r="M205">
        <v>100</v>
      </c>
      <c r="N205">
        <v>36.640296999999997</v>
      </c>
      <c r="P205">
        <v>0.66127284900000005</v>
      </c>
      <c r="Q205">
        <v>51717.495940000001</v>
      </c>
      <c r="R205">
        <v>2.97</v>
      </c>
      <c r="S205">
        <v>83871</v>
      </c>
      <c r="T205">
        <v>47.516230999999998</v>
      </c>
      <c r="U205">
        <v>14.550072</v>
      </c>
    </row>
    <row r="206" spans="1:21">
      <c r="A206" t="s">
        <v>30</v>
      </c>
      <c r="B206">
        <v>2015</v>
      </c>
      <c r="C206">
        <v>45686.785000000003</v>
      </c>
      <c r="D206">
        <v>63240.001680000001</v>
      </c>
      <c r="E206">
        <v>14.26</v>
      </c>
      <c r="F206">
        <v>0</v>
      </c>
      <c r="G206">
        <v>47.59</v>
      </c>
      <c r="H206">
        <v>76.944220000000001</v>
      </c>
      <c r="J206">
        <v>34.82</v>
      </c>
      <c r="K206">
        <v>109</v>
      </c>
      <c r="L206">
        <v>100</v>
      </c>
      <c r="M206">
        <v>100</v>
      </c>
      <c r="N206">
        <v>34.964077000000003</v>
      </c>
      <c r="P206">
        <v>1.014501586</v>
      </c>
      <c r="Q206">
        <v>44178.047380000004</v>
      </c>
      <c r="R206">
        <v>3.01</v>
      </c>
      <c r="S206">
        <v>83871</v>
      </c>
      <c r="T206">
        <v>47.516230999999998</v>
      </c>
      <c r="U206">
        <v>14.550072</v>
      </c>
    </row>
    <row r="207" spans="1:21">
      <c r="A207" t="s">
        <v>30</v>
      </c>
      <c r="B207">
        <v>2016</v>
      </c>
      <c r="C207">
        <v>46698.785000000003</v>
      </c>
      <c r="D207">
        <v>63680.000310000003</v>
      </c>
      <c r="E207">
        <v>14.17</v>
      </c>
      <c r="F207">
        <v>0</v>
      </c>
      <c r="G207">
        <v>51.08</v>
      </c>
      <c r="H207">
        <v>78.283519999999996</v>
      </c>
      <c r="J207">
        <v>34.64</v>
      </c>
      <c r="K207">
        <v>109</v>
      </c>
      <c r="L207">
        <v>100</v>
      </c>
      <c r="M207">
        <v>100</v>
      </c>
      <c r="N207">
        <v>35.651854999999998</v>
      </c>
      <c r="P207">
        <v>1.989437162</v>
      </c>
      <c r="Q207">
        <v>45276.831440000002</v>
      </c>
      <c r="R207">
        <v>2.98</v>
      </c>
      <c r="S207">
        <v>83871</v>
      </c>
      <c r="T207">
        <v>47.516230999999998</v>
      </c>
      <c r="U207">
        <v>14.550072</v>
      </c>
    </row>
    <row r="208" spans="1:21">
      <c r="A208" t="s">
        <v>30</v>
      </c>
      <c r="B208">
        <v>2017</v>
      </c>
      <c r="C208">
        <v>47423.046999999999</v>
      </c>
      <c r="D208">
        <v>65860.000610000003</v>
      </c>
      <c r="E208">
        <v>16.37</v>
      </c>
      <c r="F208">
        <v>0</v>
      </c>
      <c r="G208">
        <v>51.05</v>
      </c>
      <c r="H208">
        <v>75.719375999999997</v>
      </c>
      <c r="J208">
        <v>33.979999999999997</v>
      </c>
      <c r="K208">
        <v>109</v>
      </c>
      <c r="L208">
        <v>100</v>
      </c>
      <c r="M208">
        <v>100</v>
      </c>
      <c r="N208">
        <v>34.502872000000004</v>
      </c>
      <c r="P208">
        <v>2.2585724329999999</v>
      </c>
      <c r="Q208">
        <v>47312.006229999999</v>
      </c>
      <c r="R208">
        <v>2.97</v>
      </c>
      <c r="S208">
        <v>83871</v>
      </c>
      <c r="T208">
        <v>47.516230999999998</v>
      </c>
      <c r="U208">
        <v>14.550072</v>
      </c>
    </row>
    <row r="209" spans="1:21">
      <c r="A209" t="s">
        <v>30</v>
      </c>
      <c r="B209">
        <v>2018</v>
      </c>
      <c r="C209">
        <v>46186.542999999998</v>
      </c>
      <c r="D209">
        <v>63060.001369999998</v>
      </c>
      <c r="E209">
        <v>14.98</v>
      </c>
      <c r="F209">
        <v>0</v>
      </c>
      <c r="G209">
        <v>50.06</v>
      </c>
      <c r="H209">
        <v>76.968019999999996</v>
      </c>
      <c r="J209">
        <v>34.11</v>
      </c>
      <c r="K209">
        <v>109</v>
      </c>
      <c r="L209">
        <v>100</v>
      </c>
      <c r="M209">
        <v>100</v>
      </c>
      <c r="N209">
        <v>34.568928</v>
      </c>
      <c r="P209">
        <v>2.5015951190000001</v>
      </c>
      <c r="Q209">
        <v>51461.433219999999</v>
      </c>
      <c r="R209">
        <v>2.81</v>
      </c>
      <c r="S209">
        <v>83871</v>
      </c>
      <c r="T209">
        <v>47.516230999999998</v>
      </c>
      <c r="U209">
        <v>14.550072</v>
      </c>
    </row>
    <row r="210" spans="1:21">
      <c r="A210" t="s">
        <v>30</v>
      </c>
      <c r="B210">
        <v>2019</v>
      </c>
      <c r="C210">
        <v>48314.258000000002</v>
      </c>
      <c r="D210">
        <v>64769.996639999998</v>
      </c>
      <c r="E210">
        <v>16.22</v>
      </c>
      <c r="F210">
        <v>0</v>
      </c>
      <c r="G210">
        <v>54.64</v>
      </c>
      <c r="H210">
        <v>77.109795000000005</v>
      </c>
      <c r="J210">
        <v>33.770000000000003</v>
      </c>
      <c r="K210">
        <v>109</v>
      </c>
      <c r="L210">
        <v>100</v>
      </c>
      <c r="M210">
        <v>100</v>
      </c>
      <c r="N210">
        <v>35.611378000000002</v>
      </c>
      <c r="P210">
        <v>1.4912108500000001</v>
      </c>
      <c r="Q210">
        <v>50114.401109999999</v>
      </c>
      <c r="R210">
        <v>2.82</v>
      </c>
      <c r="S210">
        <v>83871</v>
      </c>
      <c r="T210">
        <v>47.516230999999998</v>
      </c>
      <c r="U210">
        <v>14.550072</v>
      </c>
    </row>
    <row r="211" spans="1:21">
      <c r="A211" t="s">
        <v>30</v>
      </c>
      <c r="B211">
        <v>2020</v>
      </c>
      <c r="C211">
        <v>45028.27</v>
      </c>
      <c r="E211">
        <v>13.77</v>
      </c>
      <c r="F211">
        <v>0</v>
      </c>
      <c r="G211">
        <v>55.42</v>
      </c>
      <c r="H211">
        <v>80.098274000000004</v>
      </c>
      <c r="K211">
        <v>109</v>
      </c>
      <c r="L211">
        <v>100</v>
      </c>
      <c r="M211">
        <v>100</v>
      </c>
      <c r="N211">
        <v>38.260669999999998</v>
      </c>
      <c r="P211">
        <v>-6.734514076</v>
      </c>
      <c r="Q211">
        <v>48586.801319999999</v>
      </c>
      <c r="S211">
        <v>83871</v>
      </c>
      <c r="T211">
        <v>47.516230999999998</v>
      </c>
      <c r="U211">
        <v>14.550072</v>
      </c>
    </row>
    <row r="212" spans="1:21">
      <c r="A212" t="s">
        <v>31</v>
      </c>
      <c r="B212">
        <v>2000</v>
      </c>
      <c r="C212">
        <v>16123.289000000001</v>
      </c>
      <c r="D212">
        <v>27690</v>
      </c>
      <c r="E212">
        <v>16.13</v>
      </c>
      <c r="F212">
        <v>0</v>
      </c>
      <c r="G212">
        <v>1.52</v>
      </c>
      <c r="H212">
        <v>8.6118980000000001</v>
      </c>
      <c r="I212">
        <v>113.51</v>
      </c>
      <c r="J212">
        <v>2.0699999999999998</v>
      </c>
      <c r="K212">
        <v>123</v>
      </c>
      <c r="L212">
        <v>98.908225999999999</v>
      </c>
      <c r="M212">
        <v>70.3</v>
      </c>
      <c r="N212">
        <v>3.4460139999999999</v>
      </c>
      <c r="O212">
        <v>4880000</v>
      </c>
      <c r="P212">
        <v>11.099999499999999</v>
      </c>
      <c r="Q212">
        <v>655.11994519999996</v>
      </c>
      <c r="R212">
        <v>14.46</v>
      </c>
      <c r="S212">
        <v>86600</v>
      </c>
      <c r="T212">
        <v>40.143104999999998</v>
      </c>
      <c r="U212">
        <v>47.576926999999998</v>
      </c>
    </row>
    <row r="213" spans="1:21">
      <c r="A213" t="s">
        <v>31</v>
      </c>
      <c r="B213">
        <v>2001</v>
      </c>
      <c r="C213">
        <v>15361.87</v>
      </c>
      <c r="D213">
        <v>26400</v>
      </c>
      <c r="E213">
        <v>16.61</v>
      </c>
      <c r="F213">
        <v>0</v>
      </c>
      <c r="G213">
        <v>1.29</v>
      </c>
      <c r="H213">
        <v>7.2067040000000002</v>
      </c>
      <c r="I213">
        <v>113.82</v>
      </c>
      <c r="J213">
        <v>1.75</v>
      </c>
      <c r="K213">
        <v>123</v>
      </c>
      <c r="L213">
        <v>98.621799999999993</v>
      </c>
      <c r="M213">
        <v>73.599999999999994</v>
      </c>
      <c r="N213">
        <v>3.0117816999999998</v>
      </c>
      <c r="P213">
        <v>9.9000001300000005</v>
      </c>
      <c r="Q213">
        <v>703.6838434</v>
      </c>
      <c r="R213">
        <v>13.33</v>
      </c>
      <c r="S213">
        <v>86600</v>
      </c>
      <c r="T213">
        <v>40.143104999999998</v>
      </c>
      <c r="U213">
        <v>47.576926999999998</v>
      </c>
    </row>
    <row r="214" spans="1:21">
      <c r="A214" t="s">
        <v>31</v>
      </c>
      <c r="B214">
        <v>2002</v>
      </c>
      <c r="C214">
        <v>15003.191000000001</v>
      </c>
      <c r="D214">
        <v>26180.000309999999</v>
      </c>
      <c r="E214">
        <v>16.47</v>
      </c>
      <c r="F214">
        <v>0</v>
      </c>
      <c r="G214">
        <v>2</v>
      </c>
      <c r="H214">
        <v>10.828371000000001</v>
      </c>
      <c r="I214">
        <v>112.84</v>
      </c>
      <c r="J214">
        <v>2.35</v>
      </c>
      <c r="K214">
        <v>123</v>
      </c>
      <c r="L214">
        <v>100</v>
      </c>
      <c r="M214">
        <v>76.8</v>
      </c>
      <c r="N214">
        <v>4.7006664000000002</v>
      </c>
      <c r="P214">
        <v>9.4389163420000006</v>
      </c>
      <c r="Q214">
        <v>763.08063800000002</v>
      </c>
      <c r="R214">
        <v>12.31</v>
      </c>
      <c r="S214">
        <v>86600</v>
      </c>
      <c r="T214">
        <v>40.143104999999998</v>
      </c>
      <c r="U214">
        <v>47.576926999999998</v>
      </c>
    </row>
    <row r="215" spans="1:21">
      <c r="A215" t="s">
        <v>31</v>
      </c>
      <c r="B215">
        <v>2003</v>
      </c>
      <c r="C215">
        <v>16075.374</v>
      </c>
      <c r="D215">
        <v>28569.999690000001</v>
      </c>
      <c r="E215">
        <v>17.690000000000001</v>
      </c>
      <c r="F215">
        <v>0</v>
      </c>
      <c r="G215">
        <v>2.44</v>
      </c>
      <c r="H215">
        <v>12.121212999999999</v>
      </c>
      <c r="I215">
        <v>116.01</v>
      </c>
      <c r="J215">
        <v>2.94</v>
      </c>
      <c r="K215">
        <v>123</v>
      </c>
      <c r="L215">
        <v>98.92747</v>
      </c>
      <c r="M215">
        <v>80.3</v>
      </c>
      <c r="N215">
        <v>5.2779026</v>
      </c>
      <c r="P215">
        <v>10.20830001</v>
      </c>
      <c r="Q215">
        <v>883.73397150000005</v>
      </c>
      <c r="R215">
        <v>11.74</v>
      </c>
      <c r="S215">
        <v>86600</v>
      </c>
      <c r="T215">
        <v>40.143104999999998</v>
      </c>
      <c r="U215">
        <v>47.576926999999998</v>
      </c>
    </row>
    <row r="216" spans="1:21">
      <c r="A216" t="s">
        <v>31</v>
      </c>
      <c r="B216">
        <v>2004</v>
      </c>
      <c r="C216">
        <v>17986.782999999999</v>
      </c>
      <c r="D216">
        <v>28309.999469999999</v>
      </c>
      <c r="E216">
        <v>17.760000000000002</v>
      </c>
      <c r="F216">
        <v>0</v>
      </c>
      <c r="G216">
        <v>2.73</v>
      </c>
      <c r="H216">
        <v>13.323572</v>
      </c>
      <c r="I216">
        <v>114.81</v>
      </c>
      <c r="J216">
        <v>3.07</v>
      </c>
      <c r="K216">
        <v>123</v>
      </c>
      <c r="L216">
        <v>99.074799999999996</v>
      </c>
      <c r="M216">
        <v>82.9</v>
      </c>
      <c r="N216">
        <v>5.1585817</v>
      </c>
      <c r="P216">
        <v>9.2538013259999996</v>
      </c>
      <c r="Q216">
        <v>1045.0093790000001</v>
      </c>
      <c r="R216">
        <v>11.3</v>
      </c>
      <c r="S216">
        <v>86600</v>
      </c>
      <c r="T216">
        <v>40.143104999999998</v>
      </c>
      <c r="U216">
        <v>47.576926999999998</v>
      </c>
    </row>
    <row r="217" spans="1:21">
      <c r="A217" t="s">
        <v>31</v>
      </c>
      <c r="B217">
        <v>2005</v>
      </c>
      <c r="C217">
        <v>19273.648000000001</v>
      </c>
      <c r="D217">
        <v>30040.000919999999</v>
      </c>
      <c r="E217">
        <v>17.12</v>
      </c>
      <c r="F217">
        <v>0</v>
      </c>
      <c r="G217">
        <v>2.98</v>
      </c>
      <c r="H217">
        <v>14.825870500000001</v>
      </c>
      <c r="I217">
        <v>113.6</v>
      </c>
      <c r="J217">
        <v>3.36</v>
      </c>
      <c r="K217">
        <v>123</v>
      </c>
      <c r="L217">
        <v>99.221596000000005</v>
      </c>
      <c r="M217">
        <v>85.2</v>
      </c>
      <c r="N217">
        <v>5.1650033000000004</v>
      </c>
      <c r="O217">
        <v>2230000</v>
      </c>
      <c r="P217">
        <v>27.96153807</v>
      </c>
      <c r="Q217">
        <v>1578.40239</v>
      </c>
      <c r="R217">
        <v>9.2799999999999994</v>
      </c>
      <c r="S217">
        <v>86600</v>
      </c>
      <c r="T217">
        <v>40.143104999999998</v>
      </c>
      <c r="U217">
        <v>47.576926999999998</v>
      </c>
    </row>
    <row r="218" spans="1:21">
      <c r="A218" t="s">
        <v>31</v>
      </c>
      <c r="B218">
        <v>2006</v>
      </c>
      <c r="C218">
        <v>18724.745999999999</v>
      </c>
      <c r="D218">
        <v>30489.999769999999</v>
      </c>
      <c r="E218">
        <v>19.829999999999998</v>
      </c>
      <c r="F218">
        <v>0</v>
      </c>
      <c r="G218">
        <v>2.4900000000000002</v>
      </c>
      <c r="H218">
        <v>11.155913999999999</v>
      </c>
      <c r="I218">
        <v>118.77</v>
      </c>
      <c r="J218">
        <v>2.86</v>
      </c>
      <c r="K218">
        <v>123</v>
      </c>
      <c r="L218">
        <v>99.5</v>
      </c>
      <c r="M218">
        <v>87.4</v>
      </c>
      <c r="N218">
        <v>4.3662995999999996</v>
      </c>
      <c r="O218">
        <v>480000</v>
      </c>
      <c r="P218">
        <v>34.5</v>
      </c>
      <c r="Q218">
        <v>2473.081819</v>
      </c>
      <c r="R218">
        <v>6.8</v>
      </c>
      <c r="S218">
        <v>86600</v>
      </c>
      <c r="T218">
        <v>40.143104999999998</v>
      </c>
      <c r="U218">
        <v>47.576926999999998</v>
      </c>
    </row>
    <row r="219" spans="1:21">
      <c r="A219" t="s">
        <v>31</v>
      </c>
      <c r="B219">
        <v>2007</v>
      </c>
      <c r="C219">
        <v>17015.563999999998</v>
      </c>
      <c r="D219">
        <v>27629.999159999999</v>
      </c>
      <c r="E219">
        <v>18.309999999999999</v>
      </c>
      <c r="F219">
        <v>0</v>
      </c>
      <c r="G219">
        <v>2.34</v>
      </c>
      <c r="H219">
        <v>11.331718</v>
      </c>
      <c r="I219">
        <v>117.5</v>
      </c>
      <c r="J219">
        <v>3.78</v>
      </c>
      <c r="K219">
        <v>123</v>
      </c>
      <c r="L219">
        <v>99.523449999999997</v>
      </c>
      <c r="M219">
        <v>89.4</v>
      </c>
      <c r="N219">
        <v>4.5029700000000004</v>
      </c>
      <c r="P219">
        <v>25</v>
      </c>
      <c r="Q219">
        <v>3851.4378689999999</v>
      </c>
      <c r="R219">
        <v>5.13</v>
      </c>
      <c r="S219">
        <v>86600</v>
      </c>
      <c r="T219">
        <v>40.143104999999998</v>
      </c>
      <c r="U219">
        <v>47.576926999999998</v>
      </c>
    </row>
    <row r="220" spans="1:21">
      <c r="A220" t="s">
        <v>31</v>
      </c>
      <c r="B220">
        <v>2008</v>
      </c>
      <c r="C220">
        <v>16933.111000000001</v>
      </c>
      <c r="D220">
        <v>30450.000759999999</v>
      </c>
      <c r="E220">
        <v>18.239999999999998</v>
      </c>
      <c r="F220">
        <v>0</v>
      </c>
      <c r="G220">
        <v>2.21</v>
      </c>
      <c r="H220">
        <v>10.806846</v>
      </c>
      <c r="I220">
        <v>116.2</v>
      </c>
      <c r="J220">
        <v>3.08</v>
      </c>
      <c r="K220">
        <v>123</v>
      </c>
      <c r="L220">
        <v>99.683869999999999</v>
      </c>
      <c r="M220">
        <v>90.7</v>
      </c>
      <c r="N220">
        <v>4.1847567999999997</v>
      </c>
      <c r="P220">
        <v>10.75897816</v>
      </c>
      <c r="Q220">
        <v>5574.6038019999996</v>
      </c>
      <c r="R220">
        <v>5.15</v>
      </c>
      <c r="S220">
        <v>86600</v>
      </c>
      <c r="T220">
        <v>40.143104999999998</v>
      </c>
      <c r="U220">
        <v>47.576926999999998</v>
      </c>
    </row>
    <row r="221" spans="1:21">
      <c r="A221" t="s">
        <v>31</v>
      </c>
      <c r="B221">
        <v>2009</v>
      </c>
      <c r="C221">
        <v>14348.922</v>
      </c>
      <c r="D221">
        <v>25500</v>
      </c>
      <c r="E221">
        <v>15.57</v>
      </c>
      <c r="F221">
        <v>0</v>
      </c>
      <c r="G221">
        <v>2.29</v>
      </c>
      <c r="H221">
        <v>12.821948000000001</v>
      </c>
      <c r="I221">
        <v>110.83</v>
      </c>
      <c r="J221">
        <v>3.27</v>
      </c>
      <c r="K221">
        <v>123</v>
      </c>
      <c r="L221">
        <v>99.854225</v>
      </c>
      <c r="M221">
        <v>92.1</v>
      </c>
      <c r="N221">
        <v>4.8711276000000003</v>
      </c>
      <c r="O221">
        <v>170000</v>
      </c>
      <c r="P221">
        <v>9.2963634729999995</v>
      </c>
      <c r="Q221">
        <v>4950.2947910000003</v>
      </c>
      <c r="R221">
        <v>4.21</v>
      </c>
      <c r="S221">
        <v>86600</v>
      </c>
      <c r="T221">
        <v>40.143104999999998</v>
      </c>
      <c r="U221">
        <v>47.576926999999998</v>
      </c>
    </row>
    <row r="222" spans="1:21">
      <c r="A222" t="s">
        <v>31</v>
      </c>
      <c r="B222">
        <v>2010</v>
      </c>
      <c r="C222">
        <v>13958.922</v>
      </c>
      <c r="D222">
        <v>24309.999469999999</v>
      </c>
      <c r="E222">
        <v>14.34</v>
      </c>
      <c r="F222">
        <v>0</v>
      </c>
      <c r="G222">
        <v>3.41</v>
      </c>
      <c r="H222">
        <v>19.211266999999999</v>
      </c>
      <c r="I222">
        <v>110.41</v>
      </c>
      <c r="J222">
        <v>4.45</v>
      </c>
      <c r="K222">
        <v>123</v>
      </c>
      <c r="L222">
        <v>99.943793999999997</v>
      </c>
      <c r="M222">
        <v>93.1</v>
      </c>
      <c r="N222">
        <v>7.3114319999999999</v>
      </c>
      <c r="O222">
        <v>187390000</v>
      </c>
      <c r="P222">
        <v>5.0489445670000004</v>
      </c>
      <c r="Q222">
        <v>5843.5337680000002</v>
      </c>
      <c r="R222">
        <v>3.82</v>
      </c>
      <c r="S222">
        <v>86600</v>
      </c>
      <c r="T222">
        <v>40.143104999999998</v>
      </c>
      <c r="U222">
        <v>47.576926999999998</v>
      </c>
    </row>
    <row r="223" spans="1:21">
      <c r="A223" t="s">
        <v>31</v>
      </c>
      <c r="B223">
        <v>2011</v>
      </c>
      <c r="C223">
        <v>15663.72</v>
      </c>
      <c r="D223">
        <v>27280.000690000001</v>
      </c>
      <c r="E223">
        <v>16.57</v>
      </c>
      <c r="F223">
        <v>0</v>
      </c>
      <c r="G223">
        <v>2.65</v>
      </c>
      <c r="H223">
        <v>13.787722</v>
      </c>
      <c r="I223">
        <v>109.22</v>
      </c>
      <c r="J223">
        <v>3.55</v>
      </c>
      <c r="K223">
        <v>123</v>
      </c>
      <c r="L223">
        <v>99.9</v>
      </c>
      <c r="M223">
        <v>94</v>
      </c>
      <c r="N223">
        <v>5.0779540000000001</v>
      </c>
      <c r="O223">
        <v>20000</v>
      </c>
      <c r="P223">
        <v>0.1</v>
      </c>
      <c r="Q223">
        <v>7189.691229</v>
      </c>
      <c r="R223">
        <v>4.2</v>
      </c>
      <c r="S223">
        <v>86600</v>
      </c>
      <c r="T223">
        <v>40.143104999999998</v>
      </c>
      <c r="U223">
        <v>47.576926999999998</v>
      </c>
    </row>
    <row r="224" spans="1:21">
      <c r="A224" t="s">
        <v>31</v>
      </c>
      <c r="B224">
        <v>2012</v>
      </c>
      <c r="C224">
        <v>15936.575999999999</v>
      </c>
      <c r="D224">
        <v>30110.000609999999</v>
      </c>
      <c r="E224">
        <v>19.899999999999999</v>
      </c>
      <c r="F224">
        <v>0</v>
      </c>
      <c r="G224">
        <v>1.8</v>
      </c>
      <c r="H224">
        <v>8.2949300000000008</v>
      </c>
      <c r="I224">
        <v>110.53</v>
      </c>
      <c r="J224">
        <v>2.84</v>
      </c>
      <c r="K224">
        <v>123</v>
      </c>
      <c r="L224">
        <v>100</v>
      </c>
      <c r="M224">
        <v>94.7</v>
      </c>
      <c r="N224">
        <v>3.3373455999999999</v>
      </c>
      <c r="P224">
        <v>2.1652394300000002</v>
      </c>
      <c r="Q224">
        <v>7496.2946480000001</v>
      </c>
      <c r="R224">
        <v>4.47</v>
      </c>
      <c r="S224">
        <v>86600</v>
      </c>
      <c r="T224">
        <v>40.143104999999998</v>
      </c>
      <c r="U224">
        <v>47.576926999999998</v>
      </c>
    </row>
    <row r="225" spans="1:21">
      <c r="A225" t="s">
        <v>31</v>
      </c>
      <c r="B225">
        <v>2013</v>
      </c>
      <c r="C225">
        <v>16085.35</v>
      </c>
      <c r="D225">
        <v>30940.000530000001</v>
      </c>
      <c r="E225">
        <v>20.56</v>
      </c>
      <c r="F225">
        <v>0</v>
      </c>
      <c r="G225">
        <v>1.47</v>
      </c>
      <c r="H225">
        <v>6.6727189999999998</v>
      </c>
      <c r="I225">
        <v>119.83</v>
      </c>
      <c r="J225">
        <v>2.52</v>
      </c>
      <c r="K225">
        <v>123</v>
      </c>
      <c r="L225">
        <v>100</v>
      </c>
      <c r="M225">
        <v>95.2</v>
      </c>
      <c r="N225">
        <v>2.7806928000000002</v>
      </c>
      <c r="P225">
        <v>5.8098009450000001</v>
      </c>
      <c r="Q225">
        <v>7875.7569530000001</v>
      </c>
      <c r="R225">
        <v>4.28</v>
      </c>
      <c r="S225">
        <v>86600</v>
      </c>
      <c r="T225">
        <v>40.143104999999998</v>
      </c>
      <c r="U225">
        <v>47.576926999999998</v>
      </c>
    </row>
    <row r="226" spans="1:21">
      <c r="A226" t="s">
        <v>31</v>
      </c>
      <c r="B226">
        <v>2014</v>
      </c>
      <c r="C226">
        <v>16145.47</v>
      </c>
      <c r="D226">
        <v>32240.001680000001</v>
      </c>
      <c r="E226">
        <v>22.03</v>
      </c>
      <c r="F226">
        <v>0</v>
      </c>
      <c r="G226">
        <v>1.29</v>
      </c>
      <c r="H226">
        <v>5.5317325999999998</v>
      </c>
      <c r="I226">
        <v>117.84</v>
      </c>
      <c r="J226">
        <v>2.12</v>
      </c>
      <c r="K226">
        <v>123</v>
      </c>
      <c r="L226">
        <v>100</v>
      </c>
      <c r="M226">
        <v>95.5</v>
      </c>
      <c r="N226">
        <v>2.4336169999999999</v>
      </c>
      <c r="O226">
        <v>20000</v>
      </c>
      <c r="P226">
        <v>2.7505070300000001</v>
      </c>
      <c r="Q226">
        <v>7891.3131469999998</v>
      </c>
      <c r="R226">
        <v>4.3</v>
      </c>
      <c r="S226">
        <v>86600</v>
      </c>
      <c r="T226">
        <v>40.143104999999998</v>
      </c>
      <c r="U226">
        <v>47.576926999999998</v>
      </c>
    </row>
    <row r="227" spans="1:21">
      <c r="A227" t="s">
        <v>31</v>
      </c>
      <c r="B227">
        <v>2015</v>
      </c>
      <c r="C227">
        <v>17438.53</v>
      </c>
      <c r="D227">
        <v>31770.000459999999</v>
      </c>
      <c r="E227">
        <v>21.66</v>
      </c>
      <c r="F227">
        <v>0</v>
      </c>
      <c r="G227">
        <v>1.62</v>
      </c>
      <c r="H227">
        <v>6.9587626</v>
      </c>
      <c r="I227">
        <v>119.91</v>
      </c>
      <c r="J227">
        <v>2.33</v>
      </c>
      <c r="K227">
        <v>123</v>
      </c>
      <c r="L227">
        <v>100</v>
      </c>
      <c r="M227">
        <v>95.9</v>
      </c>
      <c r="N227">
        <v>2.7576879999999999</v>
      </c>
      <c r="O227">
        <v>77640000</v>
      </c>
      <c r="P227">
        <v>1.093975846</v>
      </c>
      <c r="Q227">
        <v>5500.3103819999997</v>
      </c>
      <c r="R227">
        <v>4.26</v>
      </c>
      <c r="S227">
        <v>86600</v>
      </c>
      <c r="T227">
        <v>40.143104999999998</v>
      </c>
      <c r="U227">
        <v>47.576926999999998</v>
      </c>
    </row>
    <row r="228" spans="1:21">
      <c r="A228" t="s">
        <v>31</v>
      </c>
      <c r="B228">
        <v>2016</v>
      </c>
      <c r="C228">
        <v>17089.488000000001</v>
      </c>
      <c r="D228">
        <v>32240.001680000001</v>
      </c>
      <c r="E228">
        <v>21.57</v>
      </c>
      <c r="F228">
        <v>0</v>
      </c>
      <c r="G228">
        <v>2</v>
      </c>
      <c r="H228">
        <v>8.4853629999999995</v>
      </c>
      <c r="I228">
        <v>121.57</v>
      </c>
      <c r="J228">
        <v>1.94</v>
      </c>
      <c r="K228">
        <v>123</v>
      </c>
      <c r="L228">
        <v>100</v>
      </c>
      <c r="M228">
        <v>96.2</v>
      </c>
      <c r="N228">
        <v>3.3459080000000001</v>
      </c>
      <c r="O228">
        <v>10000</v>
      </c>
      <c r="P228">
        <v>-3.1</v>
      </c>
      <c r="Q228">
        <v>3880.7387309999999</v>
      </c>
      <c r="R228">
        <v>4.3499999999999996</v>
      </c>
      <c r="S228">
        <v>86600</v>
      </c>
      <c r="T228">
        <v>40.143104999999998</v>
      </c>
      <c r="U228">
        <v>47.576926999999998</v>
      </c>
    </row>
    <row r="229" spans="1:21">
      <c r="A229" t="s">
        <v>31</v>
      </c>
      <c r="B229">
        <v>2017</v>
      </c>
      <c r="C229">
        <v>16612.636999999999</v>
      </c>
      <c r="D229">
        <v>31959.999080000001</v>
      </c>
      <c r="E229">
        <v>21.17</v>
      </c>
      <c r="F229">
        <v>0</v>
      </c>
      <c r="G229">
        <v>1.79</v>
      </c>
      <c r="H229">
        <v>7.7961673999999999</v>
      </c>
      <c r="I229">
        <v>121.23</v>
      </c>
      <c r="J229">
        <v>1.91</v>
      </c>
      <c r="K229">
        <v>123</v>
      </c>
      <c r="L229">
        <v>100</v>
      </c>
      <c r="M229">
        <v>96.4</v>
      </c>
      <c r="N229">
        <v>3.0498044000000002</v>
      </c>
      <c r="O229">
        <v>20000</v>
      </c>
      <c r="P229">
        <v>0.2</v>
      </c>
      <c r="Q229">
        <v>4147.0897160000004</v>
      </c>
      <c r="R229">
        <v>4.37</v>
      </c>
      <c r="S229">
        <v>86600</v>
      </c>
      <c r="T229">
        <v>40.143104999999998</v>
      </c>
      <c r="U229">
        <v>47.576926999999998</v>
      </c>
    </row>
    <row r="230" spans="1:21">
      <c r="A230" t="s">
        <v>31</v>
      </c>
      <c r="B230">
        <v>2018</v>
      </c>
      <c r="C230">
        <v>16897.240000000002</v>
      </c>
      <c r="D230">
        <v>32729.999540000001</v>
      </c>
      <c r="E230">
        <v>21.95</v>
      </c>
      <c r="F230">
        <v>0</v>
      </c>
      <c r="G230">
        <v>1.87</v>
      </c>
      <c r="H230">
        <v>7.8505459999999996</v>
      </c>
      <c r="I230">
        <v>128.32</v>
      </c>
      <c r="J230">
        <v>1.93</v>
      </c>
      <c r="K230">
        <v>123</v>
      </c>
      <c r="L230">
        <v>100</v>
      </c>
      <c r="M230">
        <v>96.6</v>
      </c>
      <c r="N230">
        <v>3.070157</v>
      </c>
      <c r="P230">
        <v>1.5</v>
      </c>
      <c r="Q230">
        <v>4739.8417099999997</v>
      </c>
      <c r="R230">
        <v>4.32</v>
      </c>
      <c r="S230">
        <v>86600</v>
      </c>
      <c r="T230">
        <v>40.143104999999998</v>
      </c>
      <c r="U230">
        <v>47.576926999999998</v>
      </c>
    </row>
    <row r="231" spans="1:21">
      <c r="A231" t="s">
        <v>31</v>
      </c>
      <c r="B231">
        <v>2019</v>
      </c>
      <c r="C231">
        <v>17546.780999999999</v>
      </c>
      <c r="D231">
        <v>35509.998319999999</v>
      </c>
      <c r="E231">
        <v>22.91</v>
      </c>
      <c r="F231">
        <v>0</v>
      </c>
      <c r="G231">
        <v>1.69</v>
      </c>
      <c r="H231">
        <v>6.8699190000000003</v>
      </c>
      <c r="I231">
        <v>128.51</v>
      </c>
      <c r="J231">
        <v>1.62</v>
      </c>
      <c r="K231">
        <v>123</v>
      </c>
      <c r="L231">
        <v>100</v>
      </c>
      <c r="M231">
        <v>96.7</v>
      </c>
      <c r="N231">
        <v>2.6745839999999999</v>
      </c>
      <c r="P231">
        <v>2.5</v>
      </c>
      <c r="Q231">
        <v>4805.7537179999999</v>
      </c>
      <c r="R231">
        <v>4.6100000000000003</v>
      </c>
      <c r="S231">
        <v>86600</v>
      </c>
      <c r="T231">
        <v>40.143104999999998</v>
      </c>
      <c r="U231">
        <v>47.576926999999998</v>
      </c>
    </row>
    <row r="232" spans="1:21">
      <c r="A232" t="s">
        <v>31</v>
      </c>
      <c r="B232">
        <v>2020</v>
      </c>
      <c r="C232">
        <v>17803.629000000001</v>
      </c>
      <c r="E232">
        <v>23.16</v>
      </c>
      <c r="F232">
        <v>0</v>
      </c>
      <c r="G232">
        <v>1.22</v>
      </c>
      <c r="H232">
        <v>5.0041017999999999</v>
      </c>
      <c r="I232">
        <v>127.35</v>
      </c>
      <c r="K232">
        <v>123</v>
      </c>
      <c r="L232">
        <v>100</v>
      </c>
      <c r="M232">
        <v>96.8</v>
      </c>
      <c r="N232">
        <v>1.9758317000000001</v>
      </c>
      <c r="P232">
        <v>-4.3</v>
      </c>
      <c r="Q232">
        <v>4221.4074780000001</v>
      </c>
      <c r="S232">
        <v>86600</v>
      </c>
      <c r="T232">
        <v>40.143104999999998</v>
      </c>
      <c r="U232">
        <v>47.576926999999998</v>
      </c>
    </row>
    <row r="233" spans="1:21">
      <c r="A233" t="s">
        <v>32</v>
      </c>
      <c r="B233">
        <v>2000</v>
      </c>
      <c r="C233">
        <v>50650.19</v>
      </c>
      <c r="E233">
        <v>1.57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41</v>
      </c>
      <c r="L233">
        <v>100</v>
      </c>
      <c r="M233">
        <v>100</v>
      </c>
      <c r="R233">
        <v>2.33</v>
      </c>
      <c r="S233">
        <v>13878</v>
      </c>
      <c r="T233">
        <v>25.025884999999999</v>
      </c>
      <c r="U233">
        <v>-78.035888999999997</v>
      </c>
    </row>
    <row r="234" spans="1:21">
      <c r="A234" t="s">
        <v>32</v>
      </c>
      <c r="B234">
        <v>2001</v>
      </c>
      <c r="C234">
        <v>50899.527000000002</v>
      </c>
      <c r="E234">
        <v>1.63</v>
      </c>
      <c r="F234">
        <v>0</v>
      </c>
      <c r="G234">
        <v>0</v>
      </c>
      <c r="H234">
        <v>0</v>
      </c>
      <c r="I234">
        <v>0</v>
      </c>
      <c r="J234">
        <v>0.42</v>
      </c>
      <c r="K234">
        <v>41</v>
      </c>
      <c r="L234">
        <v>100</v>
      </c>
      <c r="M234">
        <v>100</v>
      </c>
      <c r="R234">
        <v>2.19</v>
      </c>
      <c r="S234">
        <v>13878</v>
      </c>
      <c r="T234">
        <v>25.025884999999999</v>
      </c>
      <c r="U234">
        <v>-78.035888999999997</v>
      </c>
    </row>
    <row r="235" spans="1:21">
      <c r="A235" t="s">
        <v>32</v>
      </c>
      <c r="B235">
        <v>2002</v>
      </c>
      <c r="C235">
        <v>52098.81</v>
      </c>
      <c r="E235">
        <v>1.72</v>
      </c>
      <c r="F235">
        <v>0</v>
      </c>
      <c r="G235">
        <v>0</v>
      </c>
      <c r="H235">
        <v>0</v>
      </c>
      <c r="I235">
        <v>0</v>
      </c>
      <c r="J235">
        <v>0.38</v>
      </c>
      <c r="K235">
        <v>41</v>
      </c>
      <c r="L235">
        <v>100</v>
      </c>
      <c r="M235">
        <v>100</v>
      </c>
      <c r="R235">
        <v>2.23</v>
      </c>
      <c r="S235">
        <v>13878</v>
      </c>
      <c r="T235">
        <v>25.025884999999999</v>
      </c>
      <c r="U235">
        <v>-78.035888999999997</v>
      </c>
    </row>
    <row r="236" spans="1:21">
      <c r="A236" t="s">
        <v>32</v>
      </c>
      <c r="B236">
        <v>2003</v>
      </c>
      <c r="C236">
        <v>35908.116999999998</v>
      </c>
      <c r="E236">
        <v>1.81</v>
      </c>
      <c r="F236">
        <v>0</v>
      </c>
      <c r="G236">
        <v>0</v>
      </c>
      <c r="H236">
        <v>0</v>
      </c>
      <c r="I236">
        <v>0</v>
      </c>
      <c r="J236">
        <v>1.54</v>
      </c>
      <c r="K236">
        <v>41</v>
      </c>
      <c r="L236">
        <v>100</v>
      </c>
      <c r="M236">
        <v>100</v>
      </c>
      <c r="R236">
        <v>2.3199999999999998</v>
      </c>
      <c r="S236">
        <v>13878</v>
      </c>
      <c r="T236">
        <v>25.025884999999999</v>
      </c>
      <c r="U236">
        <v>-78.035888999999997</v>
      </c>
    </row>
    <row r="237" spans="1:21">
      <c r="A237" t="s">
        <v>32</v>
      </c>
      <c r="B237">
        <v>2004</v>
      </c>
      <c r="C237">
        <v>39267.47</v>
      </c>
      <c r="E237">
        <v>1.79</v>
      </c>
      <c r="F237">
        <v>0</v>
      </c>
      <c r="G237">
        <v>0</v>
      </c>
      <c r="H237">
        <v>0</v>
      </c>
      <c r="I237">
        <v>0</v>
      </c>
      <c r="J237">
        <v>1.59</v>
      </c>
      <c r="K237">
        <v>41</v>
      </c>
      <c r="L237">
        <v>100</v>
      </c>
      <c r="M237">
        <v>100</v>
      </c>
      <c r="R237">
        <v>2.27</v>
      </c>
      <c r="S237">
        <v>13878</v>
      </c>
      <c r="T237">
        <v>25.025884999999999</v>
      </c>
      <c r="U237">
        <v>-78.035888999999997</v>
      </c>
    </row>
    <row r="238" spans="1:21">
      <c r="A238" t="s">
        <v>32</v>
      </c>
      <c r="B238">
        <v>2005</v>
      </c>
      <c r="C238">
        <v>37244.637000000002</v>
      </c>
      <c r="E238">
        <v>1.89</v>
      </c>
      <c r="F238">
        <v>0</v>
      </c>
      <c r="G238">
        <v>0</v>
      </c>
      <c r="H238">
        <v>0</v>
      </c>
      <c r="I238">
        <v>0</v>
      </c>
      <c r="J238">
        <v>1.71</v>
      </c>
      <c r="K238">
        <v>41</v>
      </c>
      <c r="L238">
        <v>100</v>
      </c>
      <c r="M238">
        <v>100</v>
      </c>
      <c r="R238">
        <v>2.1</v>
      </c>
      <c r="S238">
        <v>13878</v>
      </c>
      <c r="T238">
        <v>25.025884999999999</v>
      </c>
      <c r="U238">
        <v>-78.035888999999997</v>
      </c>
    </row>
    <row r="239" spans="1:21">
      <c r="A239" t="s">
        <v>32</v>
      </c>
      <c r="B239">
        <v>2006</v>
      </c>
      <c r="C239">
        <v>42663.53</v>
      </c>
      <c r="E239">
        <v>1.93</v>
      </c>
      <c r="F239">
        <v>0</v>
      </c>
      <c r="G239">
        <v>0</v>
      </c>
      <c r="H239">
        <v>0</v>
      </c>
      <c r="I239">
        <v>0</v>
      </c>
      <c r="J239">
        <v>2.0099999999999998</v>
      </c>
      <c r="K239">
        <v>41</v>
      </c>
      <c r="L239">
        <v>100</v>
      </c>
      <c r="M239">
        <v>100</v>
      </c>
      <c r="R239">
        <v>2</v>
      </c>
      <c r="S239">
        <v>13878</v>
      </c>
      <c r="T239">
        <v>25.025884999999999</v>
      </c>
      <c r="U239">
        <v>-78.035888999999997</v>
      </c>
    </row>
    <row r="240" spans="1:21">
      <c r="A240" t="s">
        <v>32</v>
      </c>
      <c r="B240">
        <v>2007</v>
      </c>
      <c r="C240">
        <v>48444.41</v>
      </c>
      <c r="E240">
        <v>2.0499999999999998</v>
      </c>
      <c r="F240">
        <v>0</v>
      </c>
      <c r="G240">
        <v>0</v>
      </c>
      <c r="H240">
        <v>0</v>
      </c>
      <c r="I240">
        <v>0.3</v>
      </c>
      <c r="J240">
        <v>3.54</v>
      </c>
      <c r="K240">
        <v>41</v>
      </c>
      <c r="L240">
        <v>100</v>
      </c>
      <c r="M240">
        <v>100</v>
      </c>
      <c r="R240">
        <v>2</v>
      </c>
      <c r="S240">
        <v>13878</v>
      </c>
      <c r="T240">
        <v>25.025884999999999</v>
      </c>
      <c r="U240">
        <v>-78.035888999999997</v>
      </c>
    </row>
    <row r="241" spans="1:21">
      <c r="A241" t="s">
        <v>32</v>
      </c>
      <c r="B241">
        <v>2008</v>
      </c>
      <c r="C241">
        <v>46670.273000000001</v>
      </c>
      <c r="E241">
        <v>2.0499999999999998</v>
      </c>
      <c r="F241">
        <v>0</v>
      </c>
      <c r="G241">
        <v>0</v>
      </c>
      <c r="H241">
        <v>0</v>
      </c>
      <c r="I241">
        <v>0.28999999999999998</v>
      </c>
      <c r="J241">
        <v>1.97</v>
      </c>
      <c r="K241">
        <v>41</v>
      </c>
      <c r="L241">
        <v>100</v>
      </c>
      <c r="M241">
        <v>100</v>
      </c>
      <c r="R241">
        <v>2.08</v>
      </c>
      <c r="S241">
        <v>13878</v>
      </c>
      <c r="T241">
        <v>25.025884999999999</v>
      </c>
      <c r="U241">
        <v>-78.035888999999997</v>
      </c>
    </row>
    <row r="242" spans="1:21">
      <c r="A242" t="s">
        <v>32</v>
      </c>
      <c r="B242">
        <v>2009</v>
      </c>
      <c r="C242">
        <v>34584.957000000002</v>
      </c>
      <c r="E242">
        <v>1.95</v>
      </c>
      <c r="F242">
        <v>0</v>
      </c>
      <c r="G242">
        <v>0</v>
      </c>
      <c r="H242">
        <v>0</v>
      </c>
      <c r="I242">
        <v>0.56999999999999995</v>
      </c>
      <c r="J242">
        <v>1.83</v>
      </c>
      <c r="K242">
        <v>41</v>
      </c>
      <c r="L242">
        <v>100</v>
      </c>
      <c r="M242">
        <v>100</v>
      </c>
      <c r="R242">
        <v>2.23</v>
      </c>
      <c r="S242">
        <v>13878</v>
      </c>
      <c r="T242">
        <v>25.025884999999999</v>
      </c>
      <c r="U242">
        <v>-78.035888999999997</v>
      </c>
    </row>
    <row r="243" spans="1:21">
      <c r="A243" t="s">
        <v>32</v>
      </c>
      <c r="B243">
        <v>2010</v>
      </c>
      <c r="C243">
        <v>35531.06</v>
      </c>
      <c r="E243">
        <v>1.89</v>
      </c>
      <c r="F243">
        <v>0</v>
      </c>
      <c r="G243">
        <v>0</v>
      </c>
      <c r="H243">
        <v>0</v>
      </c>
      <c r="I243">
        <v>0.85</v>
      </c>
      <c r="J243">
        <v>1.65</v>
      </c>
      <c r="K243">
        <v>41</v>
      </c>
      <c r="L243">
        <v>100</v>
      </c>
      <c r="M243">
        <v>100</v>
      </c>
      <c r="R243">
        <v>2.14</v>
      </c>
      <c r="S243">
        <v>13878</v>
      </c>
      <c r="T243">
        <v>25.025884999999999</v>
      </c>
      <c r="U243">
        <v>-78.035888999999997</v>
      </c>
    </row>
    <row r="244" spans="1:21">
      <c r="A244" t="s">
        <v>32</v>
      </c>
      <c r="B244">
        <v>2011</v>
      </c>
      <c r="C244">
        <v>30982.486000000001</v>
      </c>
      <c r="E244">
        <v>1.93</v>
      </c>
      <c r="F244">
        <v>0</v>
      </c>
      <c r="G244">
        <v>0</v>
      </c>
      <c r="H244">
        <v>0</v>
      </c>
      <c r="I244">
        <v>1.1399999999999999</v>
      </c>
      <c r="J244">
        <v>1.42</v>
      </c>
      <c r="K244">
        <v>41</v>
      </c>
      <c r="L244">
        <v>100</v>
      </c>
      <c r="M244">
        <v>100</v>
      </c>
      <c r="R244">
        <v>2.35</v>
      </c>
      <c r="S244">
        <v>13878</v>
      </c>
      <c r="T244">
        <v>25.025884999999999</v>
      </c>
      <c r="U244">
        <v>-78.035888999999997</v>
      </c>
    </row>
    <row r="245" spans="1:21">
      <c r="A245" t="s">
        <v>32</v>
      </c>
      <c r="B245">
        <v>2012</v>
      </c>
      <c r="C245">
        <v>35422.555</v>
      </c>
      <c r="E245">
        <v>1.79</v>
      </c>
      <c r="F245">
        <v>0</v>
      </c>
      <c r="G245">
        <v>0</v>
      </c>
      <c r="H245">
        <v>0</v>
      </c>
      <c r="I245">
        <v>1.71</v>
      </c>
      <c r="J245">
        <v>1.18</v>
      </c>
      <c r="K245">
        <v>41</v>
      </c>
      <c r="L245">
        <v>100</v>
      </c>
      <c r="M245">
        <v>100</v>
      </c>
      <c r="R245">
        <v>2.5</v>
      </c>
      <c r="S245">
        <v>13878</v>
      </c>
      <c r="T245">
        <v>25.025884999999999</v>
      </c>
      <c r="U245">
        <v>-78.035888999999997</v>
      </c>
    </row>
    <row r="246" spans="1:21">
      <c r="A246" t="s">
        <v>32</v>
      </c>
      <c r="B246">
        <v>2013</v>
      </c>
      <c r="C246">
        <v>32656.572</v>
      </c>
      <c r="E246">
        <v>1.77</v>
      </c>
      <c r="F246">
        <v>0</v>
      </c>
      <c r="G246">
        <v>0</v>
      </c>
      <c r="H246">
        <v>0</v>
      </c>
      <c r="I246">
        <v>1.7</v>
      </c>
      <c r="J246">
        <v>0.96</v>
      </c>
      <c r="K246">
        <v>41</v>
      </c>
      <c r="L246">
        <v>100</v>
      </c>
      <c r="M246">
        <v>100</v>
      </c>
      <c r="R246">
        <v>2.98</v>
      </c>
      <c r="S246">
        <v>13878</v>
      </c>
      <c r="T246">
        <v>25.025884999999999</v>
      </c>
      <c r="U246">
        <v>-78.035888999999997</v>
      </c>
    </row>
    <row r="247" spans="1:21">
      <c r="A247" t="s">
        <v>32</v>
      </c>
      <c r="B247">
        <v>2014</v>
      </c>
      <c r="C247">
        <v>31772.065999999999</v>
      </c>
      <c r="E247">
        <v>1.81</v>
      </c>
      <c r="F247">
        <v>0</v>
      </c>
      <c r="G247">
        <v>0</v>
      </c>
      <c r="H247">
        <v>0</v>
      </c>
      <c r="I247">
        <v>3.44</v>
      </c>
      <c r="J247">
        <v>1.1399999999999999</v>
      </c>
      <c r="K247">
        <v>41</v>
      </c>
      <c r="L247">
        <v>100</v>
      </c>
      <c r="M247">
        <v>100</v>
      </c>
      <c r="R247">
        <v>2.65</v>
      </c>
      <c r="S247">
        <v>13878</v>
      </c>
      <c r="T247">
        <v>25.025884999999999</v>
      </c>
      <c r="U247">
        <v>-78.035888999999997</v>
      </c>
    </row>
    <row r="248" spans="1:21">
      <c r="A248" t="s">
        <v>32</v>
      </c>
      <c r="B248">
        <v>2015</v>
      </c>
      <c r="C248">
        <v>30096.48</v>
      </c>
      <c r="E248">
        <v>1.88</v>
      </c>
      <c r="F248">
        <v>0</v>
      </c>
      <c r="G248">
        <v>0</v>
      </c>
      <c r="H248">
        <v>0</v>
      </c>
      <c r="I248">
        <v>3.47</v>
      </c>
      <c r="J248">
        <v>1.54</v>
      </c>
      <c r="K248">
        <v>41</v>
      </c>
      <c r="L248">
        <v>100</v>
      </c>
      <c r="M248">
        <v>100</v>
      </c>
      <c r="R248">
        <v>2.33</v>
      </c>
      <c r="S248">
        <v>13878</v>
      </c>
      <c r="T248">
        <v>25.025884999999999</v>
      </c>
      <c r="U248">
        <v>-78.035888999999997</v>
      </c>
    </row>
    <row r="249" spans="1:21">
      <c r="A249" t="s">
        <v>32</v>
      </c>
      <c r="B249">
        <v>2016</v>
      </c>
      <c r="C249">
        <v>31247.096000000001</v>
      </c>
      <c r="E249">
        <v>1.85</v>
      </c>
      <c r="F249">
        <v>0</v>
      </c>
      <c r="G249">
        <v>0</v>
      </c>
      <c r="H249">
        <v>0</v>
      </c>
      <c r="I249">
        <v>3.84</v>
      </c>
      <c r="J249">
        <v>1.53</v>
      </c>
      <c r="K249">
        <v>41</v>
      </c>
      <c r="L249">
        <v>100</v>
      </c>
      <c r="M249">
        <v>100</v>
      </c>
      <c r="R249">
        <v>2.12</v>
      </c>
      <c r="S249">
        <v>13878</v>
      </c>
      <c r="T249">
        <v>25.025884999999999</v>
      </c>
      <c r="U249">
        <v>-78.035888999999997</v>
      </c>
    </row>
    <row r="250" spans="1:21">
      <c r="A250" t="s">
        <v>32</v>
      </c>
      <c r="B250">
        <v>2017</v>
      </c>
      <c r="C250">
        <v>36977.279999999999</v>
      </c>
      <c r="E250">
        <v>1.87</v>
      </c>
      <c r="F250">
        <v>0</v>
      </c>
      <c r="G250">
        <v>0</v>
      </c>
      <c r="H250">
        <v>0</v>
      </c>
      <c r="I250">
        <v>3.66</v>
      </c>
      <c r="J250">
        <v>1.44</v>
      </c>
      <c r="K250">
        <v>41</v>
      </c>
      <c r="L250">
        <v>100</v>
      </c>
      <c r="M250">
        <v>100</v>
      </c>
      <c r="O250">
        <v>20000</v>
      </c>
      <c r="R250">
        <v>2.1800000000000002</v>
      </c>
      <c r="S250">
        <v>13878</v>
      </c>
      <c r="T250">
        <v>25.025884999999999</v>
      </c>
      <c r="U250">
        <v>-78.035888999999997</v>
      </c>
    </row>
    <row r="251" spans="1:21">
      <c r="A251" t="s">
        <v>32</v>
      </c>
      <c r="B251">
        <v>2018</v>
      </c>
      <c r="C251">
        <v>39876.79</v>
      </c>
      <c r="E251">
        <v>2.14</v>
      </c>
      <c r="F251">
        <v>0</v>
      </c>
      <c r="G251">
        <v>0</v>
      </c>
      <c r="H251">
        <v>0</v>
      </c>
      <c r="I251">
        <v>3.54</v>
      </c>
      <c r="J251">
        <v>1.02</v>
      </c>
      <c r="K251">
        <v>41</v>
      </c>
      <c r="L251">
        <v>100</v>
      </c>
      <c r="M251">
        <v>100</v>
      </c>
      <c r="O251">
        <v>110000</v>
      </c>
      <c r="R251">
        <v>2.72</v>
      </c>
      <c r="S251">
        <v>13878</v>
      </c>
      <c r="T251">
        <v>25.025884999999999</v>
      </c>
      <c r="U251">
        <v>-78.035888999999997</v>
      </c>
    </row>
    <row r="252" spans="1:21">
      <c r="A252" t="s">
        <v>32</v>
      </c>
      <c r="B252">
        <v>2019</v>
      </c>
      <c r="C252">
        <v>39636.065999999999</v>
      </c>
      <c r="E252">
        <v>2.1</v>
      </c>
      <c r="F252">
        <v>0</v>
      </c>
      <c r="G252">
        <v>0</v>
      </c>
      <c r="H252">
        <v>0</v>
      </c>
      <c r="I252">
        <v>5.88</v>
      </c>
      <c r="J252">
        <v>1.1399999999999999</v>
      </c>
      <c r="K252">
        <v>41</v>
      </c>
      <c r="L252">
        <v>100</v>
      </c>
      <c r="M252">
        <v>100</v>
      </c>
      <c r="O252">
        <v>560000</v>
      </c>
      <c r="R252">
        <v>2.5299999999999998</v>
      </c>
      <c r="S252">
        <v>13878</v>
      </c>
      <c r="T252">
        <v>25.025884999999999</v>
      </c>
      <c r="U252">
        <v>-78.035888999999997</v>
      </c>
    </row>
    <row r="253" spans="1:21">
      <c r="A253" t="s">
        <v>32</v>
      </c>
      <c r="B253">
        <v>2020</v>
      </c>
      <c r="C253">
        <v>33301.769999999997</v>
      </c>
      <c r="E253">
        <v>1.99</v>
      </c>
      <c r="F253">
        <v>0</v>
      </c>
      <c r="G253">
        <v>0</v>
      </c>
      <c r="H253">
        <v>0</v>
      </c>
      <c r="I253">
        <v>5.68</v>
      </c>
      <c r="K253">
        <v>41</v>
      </c>
      <c r="L253">
        <v>100</v>
      </c>
      <c r="M253">
        <v>100</v>
      </c>
      <c r="S253">
        <v>13878</v>
      </c>
      <c r="T253">
        <v>25.025884999999999</v>
      </c>
      <c r="U253">
        <v>-78.035888999999997</v>
      </c>
    </row>
    <row r="254" spans="1:21">
      <c r="A254" t="s">
        <v>33</v>
      </c>
      <c r="B254">
        <v>2000</v>
      </c>
      <c r="C254">
        <v>157253.03</v>
      </c>
      <c r="D254">
        <v>15880</v>
      </c>
      <c r="E254">
        <v>13.02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2239</v>
      </c>
      <c r="L254">
        <v>100</v>
      </c>
      <c r="M254">
        <v>100</v>
      </c>
      <c r="P254">
        <v>5.300070056</v>
      </c>
      <c r="Q254">
        <v>13636.41675</v>
      </c>
      <c r="R254">
        <v>10.43</v>
      </c>
      <c r="S254">
        <v>765</v>
      </c>
      <c r="T254">
        <v>26.066700000000001</v>
      </c>
      <c r="U254">
        <v>50.557699999999997</v>
      </c>
    </row>
    <row r="255" spans="1:21">
      <c r="A255" t="s">
        <v>33</v>
      </c>
      <c r="B255">
        <v>2001</v>
      </c>
      <c r="C255">
        <v>158559.69</v>
      </c>
      <c r="D255">
        <v>16390</v>
      </c>
      <c r="E255">
        <v>13.74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2239</v>
      </c>
      <c r="L255">
        <v>100</v>
      </c>
      <c r="M255">
        <v>100</v>
      </c>
      <c r="P255">
        <v>2.490948108</v>
      </c>
      <c r="Q255">
        <v>12868.17692</v>
      </c>
      <c r="R255">
        <v>10.41</v>
      </c>
      <c r="S255">
        <v>765</v>
      </c>
      <c r="T255">
        <v>26.066700000000001</v>
      </c>
      <c r="U255">
        <v>50.557699999999997</v>
      </c>
    </row>
    <row r="256" spans="1:21">
      <c r="A256" t="s">
        <v>33</v>
      </c>
      <c r="B256">
        <v>2002</v>
      </c>
      <c r="C256">
        <v>165096.56</v>
      </c>
      <c r="D256">
        <v>17219.999309999999</v>
      </c>
      <c r="E256">
        <v>14.34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2239</v>
      </c>
      <c r="L256">
        <v>100</v>
      </c>
      <c r="M256">
        <v>100</v>
      </c>
      <c r="P256">
        <v>3.3485506680000001</v>
      </c>
      <c r="Q256">
        <v>13049.909729999999</v>
      </c>
      <c r="R256">
        <v>10.45</v>
      </c>
      <c r="S256">
        <v>765</v>
      </c>
      <c r="T256">
        <v>26.066700000000001</v>
      </c>
      <c r="U256">
        <v>50.557699999999997</v>
      </c>
    </row>
    <row r="257" spans="1:21">
      <c r="A257" t="s">
        <v>33</v>
      </c>
      <c r="B257">
        <v>2003</v>
      </c>
      <c r="C257">
        <v>165859.01999999999</v>
      </c>
      <c r="D257">
        <v>17940.000530000001</v>
      </c>
      <c r="E257">
        <v>14.76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2239</v>
      </c>
      <c r="L257">
        <v>100</v>
      </c>
      <c r="M257">
        <v>100</v>
      </c>
      <c r="P257">
        <v>6.2964419789999999</v>
      </c>
      <c r="Q257">
        <v>14222.0368</v>
      </c>
      <c r="R257">
        <v>10.3</v>
      </c>
      <c r="S257">
        <v>765</v>
      </c>
      <c r="T257">
        <v>26.066700000000001</v>
      </c>
      <c r="U257">
        <v>50.557699999999997</v>
      </c>
    </row>
    <row r="258" spans="1:21">
      <c r="A258" t="s">
        <v>33</v>
      </c>
      <c r="B258">
        <v>2004</v>
      </c>
      <c r="C258">
        <v>160432.51999999999</v>
      </c>
      <c r="D258">
        <v>17930.000309999999</v>
      </c>
      <c r="E258">
        <v>15.18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2239</v>
      </c>
      <c r="L258">
        <v>100</v>
      </c>
      <c r="M258">
        <v>100</v>
      </c>
      <c r="P258">
        <v>6.9809605939999999</v>
      </c>
      <c r="Q258">
        <v>15846.505950000001</v>
      </c>
      <c r="R258">
        <v>9.83</v>
      </c>
      <c r="S258">
        <v>765</v>
      </c>
      <c r="T258">
        <v>26.066700000000001</v>
      </c>
      <c r="U258">
        <v>50.557699999999997</v>
      </c>
    </row>
    <row r="259" spans="1:21">
      <c r="A259" t="s">
        <v>33</v>
      </c>
      <c r="B259">
        <v>2005</v>
      </c>
      <c r="C259">
        <v>166315.32999999999</v>
      </c>
      <c r="D259">
        <v>20690.000530000001</v>
      </c>
      <c r="E259">
        <v>18.2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2239</v>
      </c>
      <c r="L259">
        <v>100</v>
      </c>
      <c r="M259">
        <v>100</v>
      </c>
      <c r="P259">
        <v>6.7689978709999998</v>
      </c>
      <c r="Q259">
        <v>17959.396830000002</v>
      </c>
      <c r="R259">
        <v>10.55</v>
      </c>
      <c r="S259">
        <v>765</v>
      </c>
      <c r="T259">
        <v>26.066700000000001</v>
      </c>
      <c r="U259">
        <v>50.557699999999997</v>
      </c>
    </row>
    <row r="260" spans="1:21">
      <c r="A260" t="s">
        <v>33</v>
      </c>
      <c r="B260">
        <v>2006</v>
      </c>
      <c r="C260">
        <v>164833.39000000001</v>
      </c>
      <c r="D260">
        <v>22489.999769999999</v>
      </c>
      <c r="E260">
        <v>19.77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2239</v>
      </c>
      <c r="L260">
        <v>100</v>
      </c>
      <c r="M260">
        <v>100</v>
      </c>
      <c r="P260">
        <v>6.467000122</v>
      </c>
      <c r="Q260">
        <v>19307.50894</v>
      </c>
      <c r="R260">
        <v>10.36</v>
      </c>
      <c r="S260">
        <v>765</v>
      </c>
      <c r="T260">
        <v>26.066700000000001</v>
      </c>
      <c r="U260">
        <v>50.557699999999997</v>
      </c>
    </row>
    <row r="261" spans="1:21">
      <c r="A261" t="s">
        <v>33</v>
      </c>
      <c r="B261">
        <v>2007</v>
      </c>
      <c r="C261">
        <v>157924.5</v>
      </c>
      <c r="D261">
        <v>23000</v>
      </c>
      <c r="E261">
        <v>20.420000000000002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2239</v>
      </c>
      <c r="L261">
        <v>100</v>
      </c>
      <c r="M261">
        <v>100</v>
      </c>
      <c r="P261">
        <v>8.293960448</v>
      </c>
      <c r="Q261">
        <v>20976.442289999999</v>
      </c>
      <c r="R261">
        <v>10.31</v>
      </c>
      <c r="S261">
        <v>765</v>
      </c>
      <c r="T261">
        <v>26.066700000000001</v>
      </c>
      <c r="U261">
        <v>50.557699999999997</v>
      </c>
    </row>
    <row r="262" spans="1:21">
      <c r="A262" t="s">
        <v>33</v>
      </c>
      <c r="B262">
        <v>2008</v>
      </c>
      <c r="C262">
        <v>154979.23000000001</v>
      </c>
      <c r="D262">
        <v>24760.000230000001</v>
      </c>
      <c r="E262">
        <v>21.45</v>
      </c>
      <c r="F262">
        <v>0</v>
      </c>
      <c r="G262">
        <v>0</v>
      </c>
      <c r="H262">
        <v>0</v>
      </c>
      <c r="I262">
        <v>0.61</v>
      </c>
      <c r="J262">
        <v>0</v>
      </c>
      <c r="K262">
        <v>2239</v>
      </c>
      <c r="L262">
        <v>100</v>
      </c>
      <c r="M262">
        <v>100</v>
      </c>
      <c r="P262">
        <v>6.2450107749999999</v>
      </c>
      <c r="Q262">
        <v>23066.450980000001</v>
      </c>
      <c r="R262">
        <v>10.35</v>
      </c>
      <c r="S262">
        <v>765</v>
      </c>
      <c r="T262">
        <v>26.066700000000001</v>
      </c>
      <c r="U262">
        <v>50.557699999999997</v>
      </c>
    </row>
    <row r="263" spans="1:21">
      <c r="A263" t="s">
        <v>33</v>
      </c>
      <c r="B263">
        <v>2009</v>
      </c>
      <c r="C263">
        <v>144448.34</v>
      </c>
      <c r="D263">
        <v>24719.999309999999</v>
      </c>
      <c r="E263">
        <v>21.21</v>
      </c>
      <c r="F263">
        <v>0</v>
      </c>
      <c r="G263">
        <v>0</v>
      </c>
      <c r="H263">
        <v>0</v>
      </c>
      <c r="I263">
        <v>0.56999999999999995</v>
      </c>
      <c r="J263">
        <v>0</v>
      </c>
      <c r="K263">
        <v>2239</v>
      </c>
      <c r="L263">
        <v>100</v>
      </c>
      <c r="M263">
        <v>100</v>
      </c>
      <c r="P263">
        <v>2.5398859360000001</v>
      </c>
      <c r="Q263">
        <v>19355.921009999998</v>
      </c>
      <c r="R263">
        <v>9.6999999999999993</v>
      </c>
      <c r="S263">
        <v>765</v>
      </c>
      <c r="T263">
        <v>26.066700000000001</v>
      </c>
      <c r="U263">
        <v>50.557699999999997</v>
      </c>
    </row>
    <row r="264" spans="1:21">
      <c r="A264" t="s">
        <v>33</v>
      </c>
      <c r="B264">
        <v>2010</v>
      </c>
      <c r="C264">
        <v>141914.1</v>
      </c>
      <c r="D264">
        <v>25969.999309999999</v>
      </c>
      <c r="E264">
        <v>22.39</v>
      </c>
      <c r="F264">
        <v>0</v>
      </c>
      <c r="G264">
        <v>0</v>
      </c>
      <c r="H264">
        <v>0</v>
      </c>
      <c r="I264">
        <v>0.55000000000000004</v>
      </c>
      <c r="J264">
        <v>0</v>
      </c>
      <c r="K264">
        <v>2239</v>
      </c>
      <c r="L264">
        <v>100</v>
      </c>
      <c r="M264">
        <v>100</v>
      </c>
      <c r="P264">
        <v>4.3342991729999998</v>
      </c>
      <c r="Q264">
        <v>20722.070489999998</v>
      </c>
      <c r="R264">
        <v>9.59</v>
      </c>
      <c r="S264">
        <v>765</v>
      </c>
      <c r="T264">
        <v>26.066700000000001</v>
      </c>
      <c r="U264">
        <v>50.557699999999997</v>
      </c>
    </row>
    <row r="265" spans="1:21">
      <c r="A265" t="s">
        <v>33</v>
      </c>
      <c r="B265">
        <v>2011</v>
      </c>
      <c r="C265">
        <v>140596.47</v>
      </c>
      <c r="D265">
        <v>26020.000459999999</v>
      </c>
      <c r="E265">
        <v>22.88</v>
      </c>
      <c r="F265">
        <v>0</v>
      </c>
      <c r="G265">
        <v>0</v>
      </c>
      <c r="H265">
        <v>0</v>
      </c>
      <c r="I265">
        <v>0.54</v>
      </c>
      <c r="J265">
        <v>0</v>
      </c>
      <c r="K265">
        <v>2239</v>
      </c>
      <c r="L265">
        <v>100</v>
      </c>
      <c r="M265">
        <v>100</v>
      </c>
      <c r="P265">
        <v>1.983515012</v>
      </c>
      <c r="Q265">
        <v>22514.202720000001</v>
      </c>
      <c r="R265">
        <v>9.42</v>
      </c>
      <c r="S265">
        <v>765</v>
      </c>
      <c r="T265">
        <v>26.066700000000001</v>
      </c>
      <c r="U265">
        <v>50.557699999999997</v>
      </c>
    </row>
    <row r="266" spans="1:21">
      <c r="A266" t="s">
        <v>33</v>
      </c>
      <c r="B266">
        <v>2012</v>
      </c>
      <c r="C266">
        <v>149451.38</v>
      </c>
      <c r="D266">
        <v>27170.000080000002</v>
      </c>
      <c r="E266">
        <v>23.29</v>
      </c>
      <c r="F266">
        <v>0</v>
      </c>
      <c r="G266">
        <v>0</v>
      </c>
      <c r="H266">
        <v>0</v>
      </c>
      <c r="I266">
        <v>0.92</v>
      </c>
      <c r="J266">
        <v>0</v>
      </c>
      <c r="K266">
        <v>2239</v>
      </c>
      <c r="L266">
        <v>100</v>
      </c>
      <c r="M266">
        <v>100</v>
      </c>
      <c r="P266">
        <v>3.7281084299999998</v>
      </c>
      <c r="Q266">
        <v>23654.369589999998</v>
      </c>
      <c r="R266">
        <v>8.64</v>
      </c>
      <c r="S266">
        <v>765</v>
      </c>
      <c r="T266">
        <v>26.066700000000001</v>
      </c>
      <c r="U266">
        <v>50.557699999999997</v>
      </c>
    </row>
    <row r="267" spans="1:21">
      <c r="A267" t="s">
        <v>33</v>
      </c>
      <c r="B267">
        <v>2013</v>
      </c>
      <c r="C267">
        <v>161365.53</v>
      </c>
      <c r="D267">
        <v>28850.000380000001</v>
      </c>
      <c r="E267">
        <v>24.36</v>
      </c>
      <c r="F267">
        <v>0</v>
      </c>
      <c r="G267">
        <v>0</v>
      </c>
      <c r="H267">
        <v>0</v>
      </c>
      <c r="I267">
        <v>0.9</v>
      </c>
      <c r="J267">
        <v>0</v>
      </c>
      <c r="K267">
        <v>2239</v>
      </c>
      <c r="L267">
        <v>100</v>
      </c>
      <c r="M267">
        <v>100</v>
      </c>
      <c r="P267">
        <v>5.4168398099999999</v>
      </c>
      <c r="Q267">
        <v>24744.29696</v>
      </c>
      <c r="R267">
        <v>9.5399999999999991</v>
      </c>
      <c r="S267">
        <v>765</v>
      </c>
      <c r="T267">
        <v>26.066700000000001</v>
      </c>
      <c r="U267">
        <v>50.557699999999997</v>
      </c>
    </row>
    <row r="268" spans="1:21">
      <c r="A268" t="s">
        <v>33</v>
      </c>
      <c r="B268">
        <v>2014</v>
      </c>
      <c r="C268">
        <v>153929.60000000001</v>
      </c>
      <c r="D268">
        <v>30280.000690000001</v>
      </c>
      <c r="E268">
        <v>25.62</v>
      </c>
      <c r="F268">
        <v>0</v>
      </c>
      <c r="G268">
        <v>0.01</v>
      </c>
      <c r="H268">
        <v>3.9016780000000001E-2</v>
      </c>
      <c r="I268">
        <v>4.26</v>
      </c>
      <c r="J268">
        <v>0</v>
      </c>
      <c r="K268">
        <v>2239</v>
      </c>
      <c r="L268">
        <v>100</v>
      </c>
      <c r="M268">
        <v>100</v>
      </c>
      <c r="P268">
        <v>4.3503908530000004</v>
      </c>
      <c r="Q268">
        <v>24989.437529999999</v>
      </c>
      <c r="R268">
        <v>8.77</v>
      </c>
      <c r="S268">
        <v>765</v>
      </c>
      <c r="T268">
        <v>26.066700000000001</v>
      </c>
      <c r="U268">
        <v>50.557699999999997</v>
      </c>
    </row>
    <row r="269" spans="1:21">
      <c r="A269" t="s">
        <v>33</v>
      </c>
      <c r="B269">
        <v>2015</v>
      </c>
      <c r="C269">
        <v>149472.79999999999</v>
      </c>
      <c r="D269">
        <v>30579.999919999998</v>
      </c>
      <c r="E269">
        <v>26.77</v>
      </c>
      <c r="F269">
        <v>0</v>
      </c>
      <c r="G269">
        <v>0.01</v>
      </c>
      <c r="H269">
        <v>3.7341297000000002E-2</v>
      </c>
      <c r="I269">
        <v>4.1500000000000004</v>
      </c>
      <c r="J269">
        <v>0</v>
      </c>
      <c r="K269">
        <v>2239</v>
      </c>
      <c r="L269">
        <v>100</v>
      </c>
      <c r="M269">
        <v>100</v>
      </c>
      <c r="P269">
        <v>2.4853785579999998</v>
      </c>
      <c r="Q269">
        <v>22634.085650000001</v>
      </c>
      <c r="R269">
        <v>9.0500000000000007</v>
      </c>
      <c r="S269">
        <v>765</v>
      </c>
      <c r="T269">
        <v>26.066700000000001</v>
      </c>
      <c r="U269">
        <v>50.557699999999997</v>
      </c>
    </row>
    <row r="270" spans="1:21">
      <c r="A270" t="s">
        <v>33</v>
      </c>
      <c r="B270">
        <v>2016</v>
      </c>
      <c r="C270">
        <v>144113.94</v>
      </c>
      <c r="D270">
        <v>30299.999240000001</v>
      </c>
      <c r="E270">
        <v>26.8</v>
      </c>
      <c r="F270">
        <v>0</v>
      </c>
      <c r="G270">
        <v>0.01</v>
      </c>
      <c r="H270">
        <v>3.7299517999999997E-2</v>
      </c>
      <c r="I270">
        <v>4.6900000000000004</v>
      </c>
      <c r="J270">
        <v>0</v>
      </c>
      <c r="K270">
        <v>2239</v>
      </c>
      <c r="L270">
        <v>100</v>
      </c>
      <c r="M270">
        <v>100</v>
      </c>
      <c r="P270">
        <v>3.558128119</v>
      </c>
      <c r="Q270">
        <v>22608.452560000002</v>
      </c>
      <c r="R270">
        <v>8.6199999999999992</v>
      </c>
      <c r="S270">
        <v>765</v>
      </c>
      <c r="T270">
        <v>26.066700000000001</v>
      </c>
      <c r="U270">
        <v>50.557699999999997</v>
      </c>
    </row>
    <row r="271" spans="1:21">
      <c r="A271" t="s">
        <v>33</v>
      </c>
      <c r="B271">
        <v>2017</v>
      </c>
      <c r="C271">
        <v>143466.25</v>
      </c>
      <c r="D271">
        <v>30520.000459999999</v>
      </c>
      <c r="E271">
        <v>27.47</v>
      </c>
      <c r="F271">
        <v>0</v>
      </c>
      <c r="G271">
        <v>0.01</v>
      </c>
      <c r="H271">
        <v>3.6390103E-2</v>
      </c>
      <c r="I271">
        <v>4.4800000000000004</v>
      </c>
      <c r="J271">
        <v>0</v>
      </c>
      <c r="K271">
        <v>2239</v>
      </c>
      <c r="L271">
        <v>100</v>
      </c>
      <c r="M271">
        <v>100</v>
      </c>
      <c r="P271">
        <v>4.2909497779999999</v>
      </c>
      <c r="Q271">
        <v>23742.93734</v>
      </c>
      <c r="R271">
        <v>8.33</v>
      </c>
      <c r="S271">
        <v>765</v>
      </c>
      <c r="T271">
        <v>26.066700000000001</v>
      </c>
      <c r="U271">
        <v>50.557699999999997</v>
      </c>
    </row>
    <row r="272" spans="1:21">
      <c r="A272" t="s">
        <v>33</v>
      </c>
      <c r="B272">
        <v>2018</v>
      </c>
      <c r="C272">
        <v>142291.5</v>
      </c>
      <c r="D272">
        <v>30809.999469999999</v>
      </c>
      <c r="E272">
        <v>27.77</v>
      </c>
      <c r="F272">
        <v>0</v>
      </c>
      <c r="G272">
        <v>0.01</v>
      </c>
      <c r="H272">
        <v>3.5997120000000001E-2</v>
      </c>
      <c r="I272">
        <v>4.4800000000000004</v>
      </c>
      <c r="J272">
        <v>0</v>
      </c>
      <c r="K272">
        <v>2239</v>
      </c>
      <c r="L272">
        <v>100</v>
      </c>
      <c r="M272">
        <v>100</v>
      </c>
      <c r="P272">
        <v>2.1367013469999998</v>
      </c>
      <c r="Q272">
        <v>24085.955989999999</v>
      </c>
      <c r="R272">
        <v>8.27</v>
      </c>
      <c r="S272">
        <v>765</v>
      </c>
      <c r="T272">
        <v>26.066700000000001</v>
      </c>
      <c r="U272">
        <v>50.557699999999997</v>
      </c>
    </row>
    <row r="273" spans="1:21">
      <c r="A273" t="s">
        <v>33</v>
      </c>
      <c r="B273">
        <v>2019</v>
      </c>
      <c r="C273">
        <v>155398.47</v>
      </c>
      <c r="D273">
        <v>33259.998319999999</v>
      </c>
      <c r="E273">
        <v>31.43</v>
      </c>
      <c r="F273">
        <v>0</v>
      </c>
      <c r="G273">
        <v>0.01</v>
      </c>
      <c r="H273">
        <v>3.1806613999999997E-2</v>
      </c>
      <c r="I273">
        <v>6.11</v>
      </c>
      <c r="J273">
        <v>0</v>
      </c>
      <c r="K273">
        <v>2239</v>
      </c>
      <c r="L273">
        <v>100</v>
      </c>
      <c r="M273">
        <v>100</v>
      </c>
      <c r="P273">
        <v>2.1413767840000002</v>
      </c>
      <c r="Q273">
        <v>23551.930090000002</v>
      </c>
      <c r="R273">
        <v>8.73</v>
      </c>
      <c r="S273">
        <v>765</v>
      </c>
      <c r="T273">
        <v>26.066700000000001</v>
      </c>
      <c r="U273">
        <v>50.557699999999997</v>
      </c>
    </row>
    <row r="274" spans="1:21">
      <c r="A274" t="s">
        <v>33</v>
      </c>
      <c r="B274">
        <v>2020</v>
      </c>
      <c r="C274">
        <v>156095.79999999999</v>
      </c>
      <c r="E274">
        <v>29.85</v>
      </c>
      <c r="F274">
        <v>0</v>
      </c>
      <c r="G274">
        <v>0.01</v>
      </c>
      <c r="H274">
        <v>3.3489619999999998E-2</v>
      </c>
      <c r="I274">
        <v>6.13</v>
      </c>
      <c r="K274">
        <v>2239</v>
      </c>
      <c r="L274">
        <v>100</v>
      </c>
      <c r="M274">
        <v>100</v>
      </c>
      <c r="P274">
        <v>-5.0851802130000001</v>
      </c>
      <c r="Q274">
        <v>20409.952799999999</v>
      </c>
      <c r="S274">
        <v>765</v>
      </c>
      <c r="T274">
        <v>26.066700000000001</v>
      </c>
      <c r="U274">
        <v>50.557699999999997</v>
      </c>
    </row>
    <row r="275" spans="1:21">
      <c r="A275" t="s">
        <v>34</v>
      </c>
      <c r="B275">
        <v>2000</v>
      </c>
      <c r="C275">
        <v>1053.6212</v>
      </c>
      <c r="D275">
        <v>21650</v>
      </c>
      <c r="E275">
        <v>13.93</v>
      </c>
      <c r="F275">
        <v>0</v>
      </c>
      <c r="G275">
        <v>0.94</v>
      </c>
      <c r="H275">
        <v>6.3214525999999998</v>
      </c>
      <c r="I275">
        <v>1.8</v>
      </c>
      <c r="J275">
        <v>59.06</v>
      </c>
      <c r="K275">
        <v>1265</v>
      </c>
      <c r="L275">
        <v>32</v>
      </c>
      <c r="M275">
        <v>8.3000000000000007</v>
      </c>
      <c r="N275">
        <v>1.6270727</v>
      </c>
      <c r="O275">
        <v>3010000</v>
      </c>
      <c r="P275">
        <v>5.2932947180000003</v>
      </c>
      <c r="Q275">
        <v>418.06894210000002</v>
      </c>
      <c r="R275">
        <v>3.14</v>
      </c>
      <c r="S275">
        <v>148460</v>
      </c>
      <c r="T275">
        <v>23.684994</v>
      </c>
      <c r="U275">
        <v>90.356330999999997</v>
      </c>
    </row>
    <row r="276" spans="1:21">
      <c r="A276" t="s">
        <v>34</v>
      </c>
      <c r="B276">
        <v>2001</v>
      </c>
      <c r="C276">
        <v>1181.6239</v>
      </c>
      <c r="D276">
        <v>25780</v>
      </c>
      <c r="E276">
        <v>15.41</v>
      </c>
      <c r="F276">
        <v>0</v>
      </c>
      <c r="G276">
        <v>0.98</v>
      </c>
      <c r="H276">
        <v>5.9792557000000004</v>
      </c>
      <c r="I276">
        <v>1.77</v>
      </c>
      <c r="J276">
        <v>55.82</v>
      </c>
      <c r="K276">
        <v>1265</v>
      </c>
      <c r="L276">
        <v>35.032646</v>
      </c>
      <c r="M276">
        <v>8.3000000000000007</v>
      </c>
      <c r="N276">
        <v>1.8750032000000001</v>
      </c>
      <c r="P276">
        <v>5.0772877760000004</v>
      </c>
      <c r="Q276">
        <v>415.03440430000001</v>
      </c>
      <c r="R276">
        <v>3.27</v>
      </c>
      <c r="S276">
        <v>148460</v>
      </c>
      <c r="T276">
        <v>23.684994</v>
      </c>
      <c r="U276">
        <v>90.356330999999997</v>
      </c>
    </row>
    <row r="277" spans="1:21">
      <c r="A277" t="s">
        <v>34</v>
      </c>
      <c r="B277">
        <v>2002</v>
      </c>
      <c r="C277">
        <v>1163.1385</v>
      </c>
      <c r="D277">
        <v>27430.000309999999</v>
      </c>
      <c r="E277">
        <v>16.55</v>
      </c>
      <c r="F277">
        <v>0</v>
      </c>
      <c r="G277">
        <v>1.05</v>
      </c>
      <c r="H277">
        <v>5.9659085000000003</v>
      </c>
      <c r="I277">
        <v>1.74</v>
      </c>
      <c r="J277">
        <v>54.33</v>
      </c>
      <c r="K277">
        <v>1265</v>
      </c>
      <c r="L277">
        <v>37.85107</v>
      </c>
      <c r="M277">
        <v>8.4</v>
      </c>
      <c r="N277">
        <v>1.3622075</v>
      </c>
      <c r="O277">
        <v>32180000</v>
      </c>
      <c r="P277">
        <v>3.8331239400000001</v>
      </c>
      <c r="Q277">
        <v>413.08028259999998</v>
      </c>
      <c r="R277">
        <v>3.23</v>
      </c>
      <c r="S277">
        <v>148460</v>
      </c>
      <c r="T277">
        <v>23.684994</v>
      </c>
      <c r="U277">
        <v>90.356330999999997</v>
      </c>
    </row>
    <row r="278" spans="1:21">
      <c r="A278" t="s">
        <v>34</v>
      </c>
      <c r="B278">
        <v>2003</v>
      </c>
      <c r="C278">
        <v>1208.1465000000001</v>
      </c>
      <c r="D278">
        <v>28629.999159999999</v>
      </c>
      <c r="E278">
        <v>17.47</v>
      </c>
      <c r="F278">
        <v>0</v>
      </c>
      <c r="G278">
        <v>1.1200000000000001</v>
      </c>
      <c r="H278">
        <v>6.0247444999999997</v>
      </c>
      <c r="I278">
        <v>1.71</v>
      </c>
      <c r="J278">
        <v>52.62</v>
      </c>
      <c r="K278">
        <v>1265</v>
      </c>
      <c r="L278">
        <v>40.664259999999999</v>
      </c>
      <c r="M278">
        <v>8.6</v>
      </c>
      <c r="N278">
        <v>1.2784040999999999</v>
      </c>
      <c r="O278">
        <v>46690000</v>
      </c>
      <c r="P278">
        <v>4.7395673990000002</v>
      </c>
      <c r="Q278">
        <v>446.31067569999999</v>
      </c>
      <c r="R278">
        <v>3.2</v>
      </c>
      <c r="S278">
        <v>148460</v>
      </c>
      <c r="T278">
        <v>23.684994</v>
      </c>
      <c r="U278">
        <v>90.356330999999997</v>
      </c>
    </row>
    <row r="279" spans="1:21">
      <c r="A279" t="s">
        <v>34</v>
      </c>
      <c r="B279">
        <v>2004</v>
      </c>
      <c r="C279">
        <v>1261.4670000000001</v>
      </c>
      <c r="D279">
        <v>30530.000690000001</v>
      </c>
      <c r="E279">
        <v>22.05</v>
      </c>
      <c r="F279">
        <v>0</v>
      </c>
      <c r="G279">
        <v>1.21</v>
      </c>
      <c r="H279">
        <v>5.2020635999999998</v>
      </c>
      <c r="I279">
        <v>1.69</v>
      </c>
      <c r="J279">
        <v>52.05</v>
      </c>
      <c r="K279">
        <v>1265</v>
      </c>
      <c r="L279">
        <v>40.6</v>
      </c>
      <c r="M279">
        <v>8.9</v>
      </c>
      <c r="N279">
        <v>1.2296963999999999</v>
      </c>
      <c r="O279">
        <v>17170000</v>
      </c>
      <c r="P279">
        <v>5.2395329100000003</v>
      </c>
      <c r="Q279">
        <v>475.29193020000002</v>
      </c>
      <c r="R279">
        <v>3.1</v>
      </c>
      <c r="S279">
        <v>148460</v>
      </c>
      <c r="T279">
        <v>23.684994</v>
      </c>
      <c r="U279">
        <v>90.356330999999997</v>
      </c>
    </row>
    <row r="280" spans="1:21">
      <c r="A280" t="s">
        <v>34</v>
      </c>
      <c r="B280">
        <v>2005</v>
      </c>
      <c r="C280">
        <v>1345.8510000000001</v>
      </c>
      <c r="D280">
        <v>32709.999080000001</v>
      </c>
      <c r="E280">
        <v>24.15</v>
      </c>
      <c r="F280">
        <v>0</v>
      </c>
      <c r="G280">
        <v>1.28</v>
      </c>
      <c r="H280">
        <v>5.0334250000000003</v>
      </c>
      <c r="I280">
        <v>1.67</v>
      </c>
      <c r="J280">
        <v>50.66</v>
      </c>
      <c r="K280">
        <v>1265</v>
      </c>
      <c r="L280">
        <v>44.23</v>
      </c>
      <c r="M280">
        <v>9.1999999999999993</v>
      </c>
      <c r="N280">
        <v>1.1353458000000001</v>
      </c>
      <c r="O280">
        <v>39380000</v>
      </c>
      <c r="P280">
        <v>6.5359449410000003</v>
      </c>
      <c r="Q280">
        <v>499.46194020000002</v>
      </c>
      <c r="R280">
        <v>3.05</v>
      </c>
      <c r="S280">
        <v>148460</v>
      </c>
      <c r="T280">
        <v>23.684994</v>
      </c>
      <c r="U280">
        <v>90.356330999999997</v>
      </c>
    </row>
    <row r="281" spans="1:21">
      <c r="A281" t="s">
        <v>34</v>
      </c>
      <c r="B281">
        <v>2006</v>
      </c>
      <c r="C281">
        <v>1438.7639999999999</v>
      </c>
      <c r="D281">
        <v>35900.001530000001</v>
      </c>
      <c r="E281">
        <v>27.86</v>
      </c>
      <c r="F281">
        <v>0</v>
      </c>
      <c r="G281">
        <v>1.39</v>
      </c>
      <c r="H281">
        <v>4.7521367000000003</v>
      </c>
      <c r="I281">
        <v>1.67</v>
      </c>
      <c r="J281">
        <v>48.69</v>
      </c>
      <c r="K281">
        <v>1265</v>
      </c>
      <c r="L281">
        <v>50.525100000000002</v>
      </c>
      <c r="M281">
        <v>9.8000000000000007</v>
      </c>
      <c r="N281">
        <v>1.0463095</v>
      </c>
      <c r="O281">
        <v>20000</v>
      </c>
      <c r="P281">
        <v>6.671904981</v>
      </c>
      <c r="Q281">
        <v>509.6401899</v>
      </c>
      <c r="R281">
        <v>3.05</v>
      </c>
      <c r="S281">
        <v>148460</v>
      </c>
      <c r="T281">
        <v>23.684994</v>
      </c>
      <c r="U281">
        <v>90.356330999999997</v>
      </c>
    </row>
    <row r="282" spans="1:21">
      <c r="A282" t="s">
        <v>34</v>
      </c>
      <c r="B282">
        <v>2007</v>
      </c>
      <c r="C282">
        <v>1458.1193000000001</v>
      </c>
      <c r="D282">
        <v>37990.001680000001</v>
      </c>
      <c r="E282">
        <v>28.45</v>
      </c>
      <c r="F282">
        <v>0</v>
      </c>
      <c r="G282">
        <v>0.76</v>
      </c>
      <c r="H282">
        <v>2.6018488</v>
      </c>
      <c r="I282">
        <v>1.66</v>
      </c>
      <c r="J282">
        <v>47.19</v>
      </c>
      <c r="K282">
        <v>1265</v>
      </c>
      <c r="L282">
        <v>46.5</v>
      </c>
      <c r="M282">
        <v>10.3</v>
      </c>
      <c r="N282">
        <v>1.0207374</v>
      </c>
      <c r="O282">
        <v>50500000</v>
      </c>
      <c r="P282">
        <v>7.0585993570000003</v>
      </c>
      <c r="Q282">
        <v>558.05184069999996</v>
      </c>
      <c r="R282">
        <v>2.98</v>
      </c>
      <c r="S282">
        <v>148460</v>
      </c>
      <c r="T282">
        <v>23.684994</v>
      </c>
      <c r="U282">
        <v>90.356330999999997</v>
      </c>
    </row>
    <row r="283" spans="1:21">
      <c r="A283" t="s">
        <v>34</v>
      </c>
      <c r="B283">
        <v>2008</v>
      </c>
      <c r="C283">
        <v>1528.5889999999999</v>
      </c>
      <c r="D283">
        <v>41580.001830000001</v>
      </c>
      <c r="E283">
        <v>31.36</v>
      </c>
      <c r="F283">
        <v>0</v>
      </c>
      <c r="G283">
        <v>0.96</v>
      </c>
      <c r="H283">
        <v>2.970297</v>
      </c>
      <c r="I283">
        <v>1.68</v>
      </c>
      <c r="J283">
        <v>45.2</v>
      </c>
      <c r="K283">
        <v>1265</v>
      </c>
      <c r="L283">
        <v>54.735515999999997</v>
      </c>
      <c r="M283">
        <v>11</v>
      </c>
      <c r="N283">
        <v>1.2218127999999999</v>
      </c>
      <c r="O283">
        <v>10000</v>
      </c>
      <c r="P283">
        <v>6.0137897589999998</v>
      </c>
      <c r="Q283">
        <v>634.98706970000001</v>
      </c>
      <c r="R283">
        <v>2.94</v>
      </c>
      <c r="S283">
        <v>148460</v>
      </c>
      <c r="T283">
        <v>23.684994</v>
      </c>
      <c r="U283">
        <v>90.356330999999997</v>
      </c>
    </row>
    <row r="284" spans="1:21">
      <c r="A284" t="s">
        <v>34</v>
      </c>
      <c r="B284">
        <v>2009</v>
      </c>
      <c r="C284">
        <v>1660.9722999999999</v>
      </c>
      <c r="D284">
        <v>44750</v>
      </c>
      <c r="E284">
        <v>34.6</v>
      </c>
      <c r="F284">
        <v>0</v>
      </c>
      <c r="G284">
        <v>0.47</v>
      </c>
      <c r="H284">
        <v>1.3401768000000001</v>
      </c>
      <c r="I284">
        <v>1.72</v>
      </c>
      <c r="J284">
        <v>43.1</v>
      </c>
      <c r="K284">
        <v>1265</v>
      </c>
      <c r="L284">
        <v>57.568848000000003</v>
      </c>
      <c r="M284">
        <v>11.8</v>
      </c>
      <c r="N284">
        <v>0.51176010000000005</v>
      </c>
      <c r="O284">
        <v>26970000</v>
      </c>
      <c r="P284">
        <v>5.0451247940000004</v>
      </c>
      <c r="Q284">
        <v>702.2644196</v>
      </c>
      <c r="R284">
        <v>2.94</v>
      </c>
      <c r="S284">
        <v>148460</v>
      </c>
      <c r="T284">
        <v>23.684994</v>
      </c>
      <c r="U284">
        <v>90.356330999999997</v>
      </c>
    </row>
    <row r="285" spans="1:21">
      <c r="A285" t="s">
        <v>34</v>
      </c>
      <c r="B285">
        <v>2010</v>
      </c>
      <c r="C285">
        <v>1685.9304</v>
      </c>
      <c r="D285">
        <v>50580.001830000001</v>
      </c>
      <c r="E285">
        <v>37.65</v>
      </c>
      <c r="F285">
        <v>0</v>
      </c>
      <c r="G285">
        <v>0.84</v>
      </c>
      <c r="H285">
        <v>2.182385</v>
      </c>
      <c r="I285">
        <v>1.8</v>
      </c>
      <c r="J285">
        <v>40.28</v>
      </c>
      <c r="K285">
        <v>1265</v>
      </c>
      <c r="L285">
        <v>55.26</v>
      </c>
      <c r="M285">
        <v>12.7</v>
      </c>
      <c r="N285">
        <v>0.86489320000000003</v>
      </c>
      <c r="O285">
        <v>180000</v>
      </c>
      <c r="P285">
        <v>5.5717881880000002</v>
      </c>
      <c r="Q285">
        <v>781.15357770000003</v>
      </c>
      <c r="R285">
        <v>2.93</v>
      </c>
      <c r="S285">
        <v>148460</v>
      </c>
      <c r="T285">
        <v>23.684994</v>
      </c>
      <c r="U285">
        <v>90.356330999999997</v>
      </c>
    </row>
    <row r="286" spans="1:21">
      <c r="A286" t="s">
        <v>34</v>
      </c>
      <c r="B286">
        <v>2011</v>
      </c>
      <c r="C286">
        <v>1806.3943999999999</v>
      </c>
      <c r="D286">
        <v>54419.998169999999</v>
      </c>
      <c r="E286">
        <v>40.67</v>
      </c>
      <c r="F286">
        <v>0</v>
      </c>
      <c r="G286">
        <v>0.99</v>
      </c>
      <c r="H286">
        <v>2.3763801999999998</v>
      </c>
      <c r="I286">
        <v>1.79</v>
      </c>
      <c r="J286">
        <v>38.409999999999997</v>
      </c>
      <c r="K286">
        <v>1265</v>
      </c>
      <c r="L286">
        <v>59.6</v>
      </c>
      <c r="M286">
        <v>13.7</v>
      </c>
      <c r="N286">
        <v>0.95136946</v>
      </c>
      <c r="O286">
        <v>236740000</v>
      </c>
      <c r="P286">
        <v>6.4643791229999996</v>
      </c>
      <c r="Q286">
        <v>861.76216220000003</v>
      </c>
      <c r="R286">
        <v>2.85</v>
      </c>
      <c r="S286">
        <v>148460</v>
      </c>
      <c r="T286">
        <v>23.684994</v>
      </c>
      <c r="U286">
        <v>90.356330999999997</v>
      </c>
    </row>
    <row r="287" spans="1:21">
      <c r="A287" t="s">
        <v>34</v>
      </c>
      <c r="B287">
        <v>2012</v>
      </c>
      <c r="C287">
        <v>1938.1482000000001</v>
      </c>
      <c r="D287">
        <v>57990.001680000001</v>
      </c>
      <c r="E287">
        <v>44.91</v>
      </c>
      <c r="F287">
        <v>0</v>
      </c>
      <c r="G287">
        <v>0.93</v>
      </c>
      <c r="H287">
        <v>2.0287956999999999</v>
      </c>
      <c r="I287">
        <v>1.92</v>
      </c>
      <c r="J287">
        <v>37.31</v>
      </c>
      <c r="K287">
        <v>1265</v>
      </c>
      <c r="L287">
        <v>66.155569999999997</v>
      </c>
      <c r="M287">
        <v>14.7</v>
      </c>
      <c r="N287">
        <v>0.82564866999999997</v>
      </c>
      <c r="O287">
        <v>149130000</v>
      </c>
      <c r="P287">
        <v>6.5214587809999998</v>
      </c>
      <c r="Q287">
        <v>883.1171296</v>
      </c>
      <c r="R287">
        <v>2.77</v>
      </c>
      <c r="S287">
        <v>148460</v>
      </c>
      <c r="T287">
        <v>23.684994</v>
      </c>
      <c r="U287">
        <v>90.356330999999997</v>
      </c>
    </row>
    <row r="288" spans="1:21">
      <c r="A288" t="s">
        <v>34</v>
      </c>
      <c r="B288">
        <v>2013</v>
      </c>
      <c r="C288">
        <v>1991.1695999999999</v>
      </c>
      <c r="D288">
        <v>60599.998469999999</v>
      </c>
      <c r="E288">
        <v>48.94</v>
      </c>
      <c r="F288">
        <v>0</v>
      </c>
      <c r="G288">
        <v>1.1000000000000001</v>
      </c>
      <c r="H288">
        <v>2.1982415</v>
      </c>
      <c r="I288">
        <v>2.16</v>
      </c>
      <c r="J288">
        <v>37.08</v>
      </c>
      <c r="K288">
        <v>1265</v>
      </c>
      <c r="L288">
        <v>61.5</v>
      </c>
      <c r="M288">
        <v>15.8</v>
      </c>
      <c r="N288">
        <v>0.78850189999999998</v>
      </c>
      <c r="O288">
        <v>112940000</v>
      </c>
      <c r="P288">
        <v>6.0136056580000004</v>
      </c>
      <c r="Q288">
        <v>981.8608514</v>
      </c>
      <c r="R288">
        <v>2.73</v>
      </c>
      <c r="S288">
        <v>148460</v>
      </c>
      <c r="T288">
        <v>23.684994</v>
      </c>
      <c r="U288">
        <v>90.356330999999997</v>
      </c>
    </row>
    <row r="289" spans="1:21">
      <c r="A289" t="s">
        <v>34</v>
      </c>
      <c r="B289">
        <v>2014</v>
      </c>
      <c r="C289">
        <v>2040.6984</v>
      </c>
      <c r="D289">
        <v>63830.001830000001</v>
      </c>
      <c r="E289">
        <v>51.78</v>
      </c>
      <c r="F289">
        <v>0</v>
      </c>
      <c r="G289">
        <v>0.81</v>
      </c>
      <c r="H289">
        <v>1.5402168000000001</v>
      </c>
      <c r="I289">
        <v>2.2999999999999998</v>
      </c>
      <c r="J289">
        <v>35.32</v>
      </c>
      <c r="K289">
        <v>1265</v>
      </c>
      <c r="L289">
        <v>62.4</v>
      </c>
      <c r="M289">
        <v>17.100000000000001</v>
      </c>
      <c r="N289">
        <v>0.64616200000000001</v>
      </c>
      <c r="O289">
        <v>90490000</v>
      </c>
      <c r="P289">
        <v>6.0610593589999997</v>
      </c>
      <c r="Q289">
        <v>1118.8738080000001</v>
      </c>
      <c r="R289">
        <v>2.66</v>
      </c>
      <c r="S289">
        <v>148460</v>
      </c>
      <c r="T289">
        <v>23.684994</v>
      </c>
      <c r="U289">
        <v>90.356330999999997</v>
      </c>
    </row>
    <row r="290" spans="1:21">
      <c r="A290" t="s">
        <v>34</v>
      </c>
      <c r="B290">
        <v>2015</v>
      </c>
      <c r="C290">
        <v>2440.7685999999999</v>
      </c>
      <c r="D290">
        <v>72190.002439999997</v>
      </c>
      <c r="E290">
        <v>54.76</v>
      </c>
      <c r="F290">
        <v>0</v>
      </c>
      <c r="G290">
        <v>0.83</v>
      </c>
      <c r="H290">
        <v>1.4930743</v>
      </c>
      <c r="I290">
        <v>2.4500000000000002</v>
      </c>
      <c r="J290">
        <v>31.93</v>
      </c>
      <c r="K290">
        <v>1265</v>
      </c>
      <c r="L290">
        <v>74.903739999999999</v>
      </c>
      <c r="M290">
        <v>18.3</v>
      </c>
      <c r="N290">
        <v>0.81840855000000001</v>
      </c>
      <c r="O290">
        <v>7700000</v>
      </c>
      <c r="P290">
        <v>6.552639879</v>
      </c>
      <c r="Q290">
        <v>1248.4533100000001</v>
      </c>
      <c r="R290">
        <v>2.69</v>
      </c>
      <c r="S290">
        <v>148460</v>
      </c>
      <c r="T290">
        <v>23.684994</v>
      </c>
      <c r="U290">
        <v>90.356330999999997</v>
      </c>
    </row>
    <row r="291" spans="1:21">
      <c r="A291" t="s">
        <v>34</v>
      </c>
      <c r="B291">
        <v>2016</v>
      </c>
      <c r="C291">
        <v>2415.7280000000001</v>
      </c>
      <c r="D291">
        <v>74379.99725</v>
      </c>
      <c r="E291">
        <v>63.57</v>
      </c>
      <c r="F291">
        <v>0</v>
      </c>
      <c r="G291">
        <v>1.27</v>
      </c>
      <c r="H291">
        <v>1.9586676000000001</v>
      </c>
      <c r="I291">
        <v>2.52</v>
      </c>
      <c r="J291">
        <v>30.49</v>
      </c>
      <c r="K291">
        <v>1265</v>
      </c>
      <c r="L291">
        <v>75.92</v>
      </c>
      <c r="M291">
        <v>19.3</v>
      </c>
      <c r="N291">
        <v>0.80609750000000002</v>
      </c>
      <c r="O291">
        <v>418430000</v>
      </c>
      <c r="P291">
        <v>7.1134782129999996</v>
      </c>
      <c r="Q291">
        <v>1401.564635</v>
      </c>
      <c r="R291">
        <v>2.61</v>
      </c>
      <c r="S291">
        <v>148460</v>
      </c>
      <c r="T291">
        <v>23.684994</v>
      </c>
      <c r="U291">
        <v>90.356330999999997</v>
      </c>
    </row>
    <row r="292" spans="1:21">
      <c r="A292" t="s">
        <v>34</v>
      </c>
      <c r="B292">
        <v>2017</v>
      </c>
      <c r="C292">
        <v>2494.1149999999998</v>
      </c>
      <c r="D292">
        <v>79339.996339999998</v>
      </c>
      <c r="E292">
        <v>67.59</v>
      </c>
      <c r="F292">
        <v>0</v>
      </c>
      <c r="G292">
        <v>1.32</v>
      </c>
      <c r="H292">
        <v>1.9155419</v>
      </c>
      <c r="I292">
        <v>2.65</v>
      </c>
      <c r="J292">
        <v>28.36</v>
      </c>
      <c r="K292">
        <v>1265</v>
      </c>
      <c r="L292">
        <v>88</v>
      </c>
      <c r="M292">
        <v>20.6</v>
      </c>
      <c r="N292">
        <v>0.89464429999999995</v>
      </c>
      <c r="O292">
        <v>246620000</v>
      </c>
      <c r="P292">
        <v>7.2841744229999996</v>
      </c>
      <c r="Q292">
        <v>1563.7678189999999</v>
      </c>
      <c r="R292">
        <v>2.5</v>
      </c>
      <c r="S292">
        <v>148460</v>
      </c>
      <c r="T292">
        <v>23.684994</v>
      </c>
      <c r="U292">
        <v>90.356330999999997</v>
      </c>
    </row>
    <row r="293" spans="1:21">
      <c r="A293" t="s">
        <v>34</v>
      </c>
      <c r="B293">
        <v>2018</v>
      </c>
      <c r="C293">
        <v>2630.0277999999998</v>
      </c>
      <c r="D293">
        <v>83449.996950000001</v>
      </c>
      <c r="E293">
        <v>72.56</v>
      </c>
      <c r="F293">
        <v>0</v>
      </c>
      <c r="G293">
        <v>1.4</v>
      </c>
      <c r="H293">
        <v>1.8929151</v>
      </c>
      <c r="I293">
        <v>2.72</v>
      </c>
      <c r="J293">
        <v>26.88</v>
      </c>
      <c r="K293">
        <v>1265</v>
      </c>
      <c r="L293">
        <v>91.8</v>
      </c>
      <c r="M293">
        <v>21.9</v>
      </c>
      <c r="N293">
        <v>0.74711749999999999</v>
      </c>
      <c r="O293">
        <v>235500000</v>
      </c>
      <c r="P293">
        <v>7.86375358</v>
      </c>
      <c r="Q293">
        <v>1698.132081</v>
      </c>
      <c r="R293">
        <v>2.2999999999999998</v>
      </c>
      <c r="S293">
        <v>148460</v>
      </c>
      <c r="T293">
        <v>23.684994</v>
      </c>
      <c r="U293">
        <v>90.356330999999997</v>
      </c>
    </row>
    <row r="294" spans="1:21">
      <c r="A294" t="s">
        <v>34</v>
      </c>
      <c r="B294">
        <v>2019</v>
      </c>
      <c r="C294">
        <v>2916.3175999999999</v>
      </c>
      <c r="D294">
        <v>90739.997860000003</v>
      </c>
      <c r="E294">
        <v>78.37</v>
      </c>
      <c r="F294">
        <v>0</v>
      </c>
      <c r="G294">
        <v>1.1399999999999999</v>
      </c>
      <c r="H294">
        <v>1.4337819000000001</v>
      </c>
      <c r="I294">
        <v>2.93</v>
      </c>
      <c r="J294">
        <v>24.75</v>
      </c>
      <c r="K294">
        <v>1265</v>
      </c>
      <c r="L294">
        <v>92.2</v>
      </c>
      <c r="M294">
        <v>23.4</v>
      </c>
      <c r="N294">
        <v>0.67512870000000003</v>
      </c>
      <c r="O294">
        <v>137390000</v>
      </c>
      <c r="P294">
        <v>8.1526841490000006</v>
      </c>
      <c r="Q294">
        <v>1855.740094</v>
      </c>
      <c r="R294">
        <v>2.36</v>
      </c>
      <c r="S294">
        <v>148460</v>
      </c>
      <c r="T294">
        <v>23.684994</v>
      </c>
      <c r="U294">
        <v>90.356330999999997</v>
      </c>
    </row>
    <row r="295" spans="1:21">
      <c r="A295" t="s">
        <v>34</v>
      </c>
      <c r="B295">
        <v>2020</v>
      </c>
      <c r="C295">
        <v>2730.078</v>
      </c>
      <c r="E295">
        <v>74.41</v>
      </c>
      <c r="F295">
        <v>0</v>
      </c>
      <c r="G295">
        <v>1.31</v>
      </c>
      <c r="H295">
        <v>1.7300580999999999</v>
      </c>
      <c r="I295">
        <v>3.12</v>
      </c>
      <c r="K295">
        <v>1265</v>
      </c>
      <c r="L295">
        <v>96.2</v>
      </c>
      <c r="M295">
        <v>25</v>
      </c>
      <c r="N295">
        <v>0.65808180000000005</v>
      </c>
      <c r="P295">
        <v>3.5091358819999998</v>
      </c>
      <c r="Q295">
        <v>1961.6137490000001</v>
      </c>
      <c r="S295">
        <v>148460</v>
      </c>
      <c r="T295">
        <v>23.684994</v>
      </c>
      <c r="U295">
        <v>90.356330999999997</v>
      </c>
    </row>
    <row r="296" spans="1:21">
      <c r="A296" t="s">
        <v>35</v>
      </c>
      <c r="B296">
        <v>2000</v>
      </c>
      <c r="C296">
        <v>26318.063999999998</v>
      </c>
      <c r="D296">
        <v>1240</v>
      </c>
      <c r="E296">
        <v>0.76</v>
      </c>
      <c r="F296">
        <v>0</v>
      </c>
      <c r="G296">
        <v>0</v>
      </c>
      <c r="H296">
        <v>0</v>
      </c>
      <c r="I296">
        <v>0</v>
      </c>
      <c r="J296">
        <v>14.32</v>
      </c>
      <c r="K296">
        <v>668</v>
      </c>
      <c r="L296">
        <v>100</v>
      </c>
      <c r="M296">
        <v>100</v>
      </c>
      <c r="P296">
        <v>4.4471896229999999</v>
      </c>
      <c r="Q296">
        <v>11268.42006</v>
      </c>
      <c r="R296">
        <v>3.83</v>
      </c>
      <c r="S296">
        <v>430</v>
      </c>
      <c r="T296">
        <v>13.193887</v>
      </c>
      <c r="U296">
        <v>-59.543197999999997</v>
      </c>
    </row>
    <row r="297" spans="1:21">
      <c r="A297" t="s">
        <v>35</v>
      </c>
      <c r="B297">
        <v>2001</v>
      </c>
      <c r="C297">
        <v>26262.208999999999</v>
      </c>
      <c r="D297">
        <v>1310</v>
      </c>
      <c r="E297">
        <v>0.8</v>
      </c>
      <c r="F297">
        <v>0</v>
      </c>
      <c r="G297">
        <v>0</v>
      </c>
      <c r="H297">
        <v>0</v>
      </c>
      <c r="I297">
        <v>0.37</v>
      </c>
      <c r="J297">
        <v>12.56</v>
      </c>
      <c r="K297">
        <v>668</v>
      </c>
      <c r="L297">
        <v>100</v>
      </c>
      <c r="M297">
        <v>100</v>
      </c>
      <c r="P297">
        <v>-2.3654642219999999</v>
      </c>
      <c r="Q297">
        <v>11209.421120000001</v>
      </c>
      <c r="R297">
        <v>4.01</v>
      </c>
      <c r="S297">
        <v>430</v>
      </c>
      <c r="T297">
        <v>13.193887</v>
      </c>
      <c r="U297">
        <v>-59.543197999999997</v>
      </c>
    </row>
    <row r="298" spans="1:21">
      <c r="A298" t="s">
        <v>35</v>
      </c>
      <c r="B298">
        <v>2002</v>
      </c>
      <c r="C298">
        <v>26331.5</v>
      </c>
      <c r="D298">
        <v>1370.0000050000001</v>
      </c>
      <c r="E298">
        <v>0.83</v>
      </c>
      <c r="F298">
        <v>0</v>
      </c>
      <c r="G298">
        <v>0</v>
      </c>
      <c r="H298">
        <v>0</v>
      </c>
      <c r="I298">
        <v>0.37</v>
      </c>
      <c r="J298">
        <v>11.3</v>
      </c>
      <c r="K298">
        <v>668</v>
      </c>
      <c r="L298">
        <v>100</v>
      </c>
      <c r="M298">
        <v>100</v>
      </c>
      <c r="P298">
        <v>0.78740157499999996</v>
      </c>
      <c r="Q298">
        <v>11361.51677</v>
      </c>
      <c r="R298">
        <v>3.91</v>
      </c>
      <c r="S298">
        <v>430</v>
      </c>
      <c r="T298">
        <v>13.193887</v>
      </c>
      <c r="U298">
        <v>-59.543197999999997</v>
      </c>
    </row>
    <row r="299" spans="1:21">
      <c r="A299" t="s">
        <v>35</v>
      </c>
      <c r="B299">
        <v>2003</v>
      </c>
      <c r="C299">
        <v>26508.63</v>
      </c>
      <c r="D299">
        <v>1379.9999949999999</v>
      </c>
      <c r="E299">
        <v>0.87</v>
      </c>
      <c r="F299">
        <v>0</v>
      </c>
      <c r="G299">
        <v>0</v>
      </c>
      <c r="H299">
        <v>0</v>
      </c>
      <c r="I299">
        <v>0.37</v>
      </c>
      <c r="J299">
        <v>9.9499999999999993</v>
      </c>
      <c r="K299">
        <v>668</v>
      </c>
      <c r="L299">
        <v>100</v>
      </c>
      <c r="M299">
        <v>100</v>
      </c>
      <c r="P299">
        <v>2.175480769</v>
      </c>
      <c r="Q299">
        <v>11699.37047</v>
      </c>
      <c r="R299">
        <v>3.92</v>
      </c>
      <c r="S299">
        <v>430</v>
      </c>
      <c r="T299">
        <v>13.193887</v>
      </c>
      <c r="U299">
        <v>-59.543197999999997</v>
      </c>
    </row>
    <row r="300" spans="1:21">
      <c r="A300" t="s">
        <v>35</v>
      </c>
      <c r="B300">
        <v>2004</v>
      </c>
      <c r="C300">
        <v>26606.236000000001</v>
      </c>
      <c r="D300">
        <v>1360.000014</v>
      </c>
      <c r="E300">
        <v>0.9</v>
      </c>
      <c r="F300">
        <v>0</v>
      </c>
      <c r="G300">
        <v>0</v>
      </c>
      <c r="H300">
        <v>0</v>
      </c>
      <c r="I300">
        <v>0.36</v>
      </c>
      <c r="J300">
        <v>9.93</v>
      </c>
      <c r="K300">
        <v>668</v>
      </c>
      <c r="L300">
        <v>99.996740000000003</v>
      </c>
      <c r="M300">
        <v>100</v>
      </c>
      <c r="P300">
        <v>1.411598635</v>
      </c>
      <c r="Q300">
        <v>12512.57797</v>
      </c>
      <c r="R300">
        <v>3.97</v>
      </c>
      <c r="S300">
        <v>430</v>
      </c>
      <c r="T300">
        <v>13.193887</v>
      </c>
      <c r="U300">
        <v>-59.543197999999997</v>
      </c>
    </row>
    <row r="301" spans="1:21">
      <c r="A301" t="s">
        <v>35</v>
      </c>
      <c r="B301">
        <v>2005</v>
      </c>
      <c r="C301">
        <v>26715.06</v>
      </c>
      <c r="D301">
        <v>1419.999957</v>
      </c>
      <c r="E301">
        <v>0.95</v>
      </c>
      <c r="F301">
        <v>0</v>
      </c>
      <c r="G301">
        <v>0</v>
      </c>
      <c r="H301">
        <v>0</v>
      </c>
      <c r="I301">
        <v>0.72</v>
      </c>
      <c r="J301">
        <v>9.91</v>
      </c>
      <c r="K301">
        <v>668</v>
      </c>
      <c r="L301">
        <v>99.980450000000005</v>
      </c>
      <c r="M301">
        <v>100</v>
      </c>
      <c r="P301">
        <v>3.9554576039999998</v>
      </c>
      <c r="Q301">
        <v>13822.741749999999</v>
      </c>
      <c r="R301">
        <v>3.97</v>
      </c>
      <c r="S301">
        <v>430</v>
      </c>
      <c r="T301">
        <v>13.193887</v>
      </c>
      <c r="U301">
        <v>-59.543197999999997</v>
      </c>
    </row>
    <row r="302" spans="1:21">
      <c r="A302" t="s">
        <v>35</v>
      </c>
      <c r="B302">
        <v>2006</v>
      </c>
      <c r="C302">
        <v>26681.956999999999</v>
      </c>
      <c r="D302">
        <v>1470.000029</v>
      </c>
      <c r="E302">
        <v>0.98</v>
      </c>
      <c r="F302">
        <v>0</v>
      </c>
      <c r="G302">
        <v>0</v>
      </c>
      <c r="H302">
        <v>0</v>
      </c>
      <c r="I302">
        <v>0.72</v>
      </c>
      <c r="J302">
        <v>9.9</v>
      </c>
      <c r="K302">
        <v>668</v>
      </c>
      <c r="L302">
        <v>100</v>
      </c>
      <c r="M302">
        <v>100</v>
      </c>
      <c r="P302">
        <v>5.9027002900000003</v>
      </c>
      <c r="Q302">
        <v>15199.56753</v>
      </c>
      <c r="R302">
        <v>3.84</v>
      </c>
      <c r="S302">
        <v>430</v>
      </c>
      <c r="T302">
        <v>13.193887</v>
      </c>
      <c r="U302">
        <v>-59.543197999999997</v>
      </c>
    </row>
    <row r="303" spans="1:21">
      <c r="A303" t="s">
        <v>35</v>
      </c>
      <c r="B303">
        <v>2007</v>
      </c>
      <c r="C303">
        <v>25360.925999999999</v>
      </c>
      <c r="D303">
        <v>1480.0000190000001</v>
      </c>
      <c r="E303">
        <v>1</v>
      </c>
      <c r="F303">
        <v>0</v>
      </c>
      <c r="G303">
        <v>0</v>
      </c>
      <c r="H303">
        <v>0</v>
      </c>
      <c r="I303">
        <v>2.15</v>
      </c>
      <c r="J303">
        <v>9.7100000000000009</v>
      </c>
      <c r="K303">
        <v>668</v>
      </c>
      <c r="L303">
        <v>100</v>
      </c>
      <c r="M303">
        <v>100</v>
      </c>
      <c r="P303">
        <v>2.2020861869999999</v>
      </c>
      <c r="Q303">
        <v>16770.661029999999</v>
      </c>
      <c r="R303">
        <v>3.81</v>
      </c>
      <c r="S303">
        <v>430</v>
      </c>
      <c r="T303">
        <v>13.193887</v>
      </c>
      <c r="U303">
        <v>-59.543197999999997</v>
      </c>
    </row>
    <row r="304" spans="1:21">
      <c r="A304" t="s">
        <v>35</v>
      </c>
      <c r="B304">
        <v>2008</v>
      </c>
      <c r="C304">
        <v>29773.458999999999</v>
      </c>
      <c r="D304">
        <v>1779.999971</v>
      </c>
      <c r="E304">
        <v>1.01</v>
      </c>
      <c r="F304">
        <v>0</v>
      </c>
      <c r="G304">
        <v>0</v>
      </c>
      <c r="H304">
        <v>0</v>
      </c>
      <c r="I304">
        <v>2.14</v>
      </c>
      <c r="J304">
        <v>8.6300000000000008</v>
      </c>
      <c r="K304">
        <v>668</v>
      </c>
      <c r="L304">
        <v>100</v>
      </c>
      <c r="M304">
        <v>100</v>
      </c>
      <c r="P304">
        <v>0.701030928</v>
      </c>
      <c r="Q304">
        <v>17092.582139999999</v>
      </c>
      <c r="R304">
        <v>4.5199999999999996</v>
      </c>
      <c r="S304">
        <v>430</v>
      </c>
      <c r="T304">
        <v>13.193887</v>
      </c>
      <c r="U304">
        <v>-59.543197999999997</v>
      </c>
    </row>
    <row r="305" spans="1:21">
      <c r="A305" t="s">
        <v>35</v>
      </c>
      <c r="B305">
        <v>2009</v>
      </c>
      <c r="C305">
        <v>27941.865000000002</v>
      </c>
      <c r="D305">
        <v>4619.9998859999996</v>
      </c>
      <c r="E305">
        <v>1.02</v>
      </c>
      <c r="F305">
        <v>0</v>
      </c>
      <c r="G305">
        <v>0</v>
      </c>
      <c r="H305">
        <v>0</v>
      </c>
      <c r="I305">
        <v>2.85</v>
      </c>
      <c r="J305">
        <v>9.4</v>
      </c>
      <c r="K305">
        <v>668</v>
      </c>
      <c r="L305">
        <v>100</v>
      </c>
      <c r="M305">
        <v>100</v>
      </c>
      <c r="P305">
        <v>-5.0778050779999999</v>
      </c>
      <c r="Q305">
        <v>15885.410180000001</v>
      </c>
      <c r="R305">
        <v>4.8099999999999996</v>
      </c>
      <c r="S305">
        <v>430</v>
      </c>
      <c r="T305">
        <v>13.193887</v>
      </c>
      <c r="U305">
        <v>-59.543197999999997</v>
      </c>
    </row>
    <row r="306" spans="1:21">
      <c r="A306" t="s">
        <v>35</v>
      </c>
      <c r="B306">
        <v>2010</v>
      </c>
      <c r="C306">
        <v>26839.543000000001</v>
      </c>
      <c r="D306">
        <v>1549.9999519999999</v>
      </c>
      <c r="E306">
        <v>0.97</v>
      </c>
      <c r="F306">
        <v>0</v>
      </c>
      <c r="G306">
        <v>0</v>
      </c>
      <c r="H306">
        <v>0</v>
      </c>
      <c r="I306">
        <v>3.54</v>
      </c>
      <c r="J306">
        <v>9.08</v>
      </c>
      <c r="K306">
        <v>668</v>
      </c>
      <c r="L306">
        <v>100</v>
      </c>
      <c r="M306">
        <v>100</v>
      </c>
      <c r="P306">
        <v>-2.2864538400000001</v>
      </c>
      <c r="Q306">
        <v>16056.37098</v>
      </c>
      <c r="R306">
        <v>4.57</v>
      </c>
      <c r="S306">
        <v>430</v>
      </c>
      <c r="T306">
        <v>13.193887</v>
      </c>
      <c r="U306">
        <v>-59.543197999999997</v>
      </c>
    </row>
    <row r="307" spans="1:21">
      <c r="A307" t="s">
        <v>35</v>
      </c>
      <c r="B307">
        <v>2011</v>
      </c>
      <c r="C307">
        <v>28088.296999999999</v>
      </c>
      <c r="D307">
        <v>1759.99999</v>
      </c>
      <c r="E307">
        <v>0.99</v>
      </c>
      <c r="F307">
        <v>0</v>
      </c>
      <c r="G307">
        <v>0</v>
      </c>
      <c r="H307">
        <v>0</v>
      </c>
      <c r="I307">
        <v>4.42</v>
      </c>
      <c r="J307">
        <v>4.66</v>
      </c>
      <c r="K307">
        <v>668</v>
      </c>
      <c r="L307">
        <v>100</v>
      </c>
      <c r="M307">
        <v>100</v>
      </c>
      <c r="P307">
        <v>-0.67328918299999996</v>
      </c>
      <c r="Q307">
        <v>16458.353210000001</v>
      </c>
      <c r="R307">
        <v>4.6100000000000003</v>
      </c>
      <c r="S307">
        <v>430</v>
      </c>
      <c r="T307">
        <v>13.193887</v>
      </c>
      <c r="U307">
        <v>-59.543197999999997</v>
      </c>
    </row>
    <row r="308" spans="1:21">
      <c r="A308" t="s">
        <v>35</v>
      </c>
      <c r="B308">
        <v>2012</v>
      </c>
      <c r="C308">
        <v>26331.782999999999</v>
      </c>
      <c r="D308">
        <v>2119.9998860000001</v>
      </c>
      <c r="E308">
        <v>1.06</v>
      </c>
      <c r="F308">
        <v>0</v>
      </c>
      <c r="G308">
        <v>0</v>
      </c>
      <c r="H308">
        <v>0</v>
      </c>
      <c r="I308">
        <v>5.29</v>
      </c>
      <c r="J308">
        <v>4.21</v>
      </c>
      <c r="K308">
        <v>668</v>
      </c>
      <c r="L308">
        <v>100</v>
      </c>
      <c r="M308">
        <v>100</v>
      </c>
      <c r="P308">
        <v>-0.45560617799999997</v>
      </c>
      <c r="Q308">
        <v>16249.67395</v>
      </c>
      <c r="R308">
        <v>4.53</v>
      </c>
      <c r="S308">
        <v>430</v>
      </c>
      <c r="T308">
        <v>13.193887</v>
      </c>
      <c r="U308">
        <v>-59.543197999999997</v>
      </c>
    </row>
    <row r="309" spans="1:21">
      <c r="A309" t="s">
        <v>35</v>
      </c>
      <c r="B309">
        <v>2013</v>
      </c>
      <c r="C309">
        <v>26676.488000000001</v>
      </c>
      <c r="D309">
        <v>1440.000057</v>
      </c>
      <c r="E309">
        <v>0.95</v>
      </c>
      <c r="F309">
        <v>0</v>
      </c>
      <c r="G309">
        <v>0</v>
      </c>
      <c r="H309">
        <v>0</v>
      </c>
      <c r="I309">
        <v>5.98</v>
      </c>
      <c r="J309">
        <v>3.51</v>
      </c>
      <c r="K309">
        <v>668</v>
      </c>
      <c r="L309">
        <v>100</v>
      </c>
      <c r="M309">
        <v>100</v>
      </c>
      <c r="P309">
        <v>-1.4065639649999999</v>
      </c>
      <c r="Q309">
        <v>16451.279310000002</v>
      </c>
      <c r="R309">
        <v>4.51</v>
      </c>
      <c r="S309">
        <v>430</v>
      </c>
      <c r="T309">
        <v>13.193887</v>
      </c>
      <c r="U309">
        <v>-59.543197999999997</v>
      </c>
    </row>
    <row r="310" spans="1:21">
      <c r="A310" t="s">
        <v>35</v>
      </c>
      <c r="B310">
        <v>2014</v>
      </c>
      <c r="C310">
        <v>23147.074000000001</v>
      </c>
      <c r="D310">
        <v>1269.9999809999999</v>
      </c>
      <c r="E310">
        <v>0.96</v>
      </c>
      <c r="F310">
        <v>0</v>
      </c>
      <c r="G310">
        <v>0.01</v>
      </c>
      <c r="H310">
        <v>1.0309277999999999</v>
      </c>
      <c r="I310">
        <v>22.82</v>
      </c>
      <c r="J310">
        <v>3.44</v>
      </c>
      <c r="K310">
        <v>668</v>
      </c>
      <c r="L310">
        <v>100</v>
      </c>
      <c r="M310">
        <v>100</v>
      </c>
      <c r="P310">
        <v>-0.12454710099999999</v>
      </c>
      <c r="Q310">
        <v>16489.072240000001</v>
      </c>
      <c r="R310">
        <v>3.98</v>
      </c>
      <c r="S310">
        <v>430</v>
      </c>
      <c r="T310">
        <v>13.193887</v>
      </c>
      <c r="U310">
        <v>-59.543197999999997</v>
      </c>
    </row>
    <row r="311" spans="1:21">
      <c r="A311" t="s">
        <v>35</v>
      </c>
      <c r="B311">
        <v>2015</v>
      </c>
      <c r="C311">
        <v>24569.877</v>
      </c>
      <c r="D311">
        <v>1269.9999809999999</v>
      </c>
      <c r="E311">
        <v>0.97</v>
      </c>
      <c r="F311">
        <v>0</v>
      </c>
      <c r="G311">
        <v>0.01</v>
      </c>
      <c r="H311">
        <v>1.0204082000000001</v>
      </c>
      <c r="I311">
        <v>31.54</v>
      </c>
      <c r="J311">
        <v>3.16</v>
      </c>
      <c r="K311">
        <v>668</v>
      </c>
      <c r="L311">
        <v>100</v>
      </c>
      <c r="M311">
        <v>100</v>
      </c>
      <c r="O311">
        <v>80000</v>
      </c>
      <c r="P311">
        <v>2.4487019609999998</v>
      </c>
      <c r="Q311">
        <v>16524.8995</v>
      </c>
      <c r="R311">
        <v>3.87</v>
      </c>
      <c r="S311">
        <v>430</v>
      </c>
      <c r="T311">
        <v>13.193887</v>
      </c>
      <c r="U311">
        <v>-59.543197999999997</v>
      </c>
    </row>
    <row r="312" spans="1:21">
      <c r="A312" t="s">
        <v>35</v>
      </c>
      <c r="B312">
        <v>2016</v>
      </c>
      <c r="C312">
        <v>25016.706999999999</v>
      </c>
      <c r="D312">
        <v>1289.9999620000001</v>
      </c>
      <c r="E312">
        <v>0.98</v>
      </c>
      <c r="F312">
        <v>0</v>
      </c>
      <c r="G312">
        <v>0.02</v>
      </c>
      <c r="H312">
        <v>2</v>
      </c>
      <c r="I312">
        <v>70.05</v>
      </c>
      <c r="J312">
        <v>3.49</v>
      </c>
      <c r="K312">
        <v>668</v>
      </c>
      <c r="L312">
        <v>100</v>
      </c>
      <c r="M312">
        <v>100</v>
      </c>
      <c r="O312">
        <v>8860000</v>
      </c>
      <c r="P312">
        <v>2.4786986830000002</v>
      </c>
      <c r="Q312">
        <v>16900.048289999999</v>
      </c>
      <c r="R312">
        <v>3.86</v>
      </c>
      <c r="S312">
        <v>430</v>
      </c>
      <c r="T312">
        <v>13.193887</v>
      </c>
      <c r="U312">
        <v>-59.543197999999997</v>
      </c>
    </row>
    <row r="313" spans="1:21">
      <c r="A313" t="s">
        <v>35</v>
      </c>
      <c r="B313">
        <v>2017</v>
      </c>
      <c r="C313">
        <v>23670.776999999998</v>
      </c>
      <c r="D313">
        <v>1179.9999479999999</v>
      </c>
      <c r="E313">
        <v>0.98</v>
      </c>
      <c r="F313">
        <v>0</v>
      </c>
      <c r="G313">
        <v>0.03</v>
      </c>
      <c r="H313">
        <v>2.970297</v>
      </c>
      <c r="I313">
        <v>73.44</v>
      </c>
      <c r="J313">
        <v>5.13</v>
      </c>
      <c r="K313">
        <v>668</v>
      </c>
      <c r="L313">
        <v>100</v>
      </c>
      <c r="M313">
        <v>100</v>
      </c>
      <c r="P313">
        <v>0.47511067899999998</v>
      </c>
      <c r="Q313">
        <v>17391.66891</v>
      </c>
      <c r="R313">
        <v>3.55</v>
      </c>
      <c r="S313">
        <v>430</v>
      </c>
      <c r="T313">
        <v>13.193887</v>
      </c>
      <c r="U313">
        <v>-59.543197999999997</v>
      </c>
    </row>
    <row r="314" spans="1:21">
      <c r="A314" t="s">
        <v>35</v>
      </c>
      <c r="B314">
        <v>2018</v>
      </c>
      <c r="C314">
        <v>25095.537</v>
      </c>
      <c r="D314">
        <v>1240.00001</v>
      </c>
      <c r="E314">
        <v>0.97</v>
      </c>
      <c r="F314">
        <v>0</v>
      </c>
      <c r="G314">
        <v>0.03</v>
      </c>
      <c r="H314">
        <v>3</v>
      </c>
      <c r="I314">
        <v>76.819999999999993</v>
      </c>
      <c r="J314">
        <v>5.79</v>
      </c>
      <c r="K314">
        <v>668</v>
      </c>
      <c r="L314">
        <v>100</v>
      </c>
      <c r="M314">
        <v>100</v>
      </c>
      <c r="O314">
        <v>50000</v>
      </c>
      <c r="P314">
        <v>-0.58033315399999996</v>
      </c>
      <c r="Q314">
        <v>17745.255369999999</v>
      </c>
      <c r="R314">
        <v>3.87</v>
      </c>
      <c r="S314">
        <v>430</v>
      </c>
      <c r="T314">
        <v>13.193887</v>
      </c>
      <c r="U314">
        <v>-59.543197999999997</v>
      </c>
    </row>
    <row r="315" spans="1:21">
      <c r="A315" t="s">
        <v>35</v>
      </c>
      <c r="B315">
        <v>2019</v>
      </c>
      <c r="C315">
        <v>25172.026999999998</v>
      </c>
      <c r="D315">
        <v>1250</v>
      </c>
      <c r="E315">
        <v>0.98</v>
      </c>
      <c r="F315">
        <v>0</v>
      </c>
      <c r="G315">
        <v>0.04</v>
      </c>
      <c r="H315">
        <v>3.9215686000000001</v>
      </c>
      <c r="I315">
        <v>122.01</v>
      </c>
      <c r="J315">
        <v>4.3099999999999996</v>
      </c>
      <c r="K315">
        <v>668</v>
      </c>
      <c r="L315">
        <v>100</v>
      </c>
      <c r="M315">
        <v>100</v>
      </c>
      <c r="O315">
        <v>34100000</v>
      </c>
      <c r="P315">
        <v>-9.6135552999999999E-2</v>
      </c>
      <c r="Q315">
        <v>18148.49785</v>
      </c>
      <c r="R315">
        <v>3.54</v>
      </c>
      <c r="S315">
        <v>430</v>
      </c>
      <c r="T315">
        <v>13.193887</v>
      </c>
      <c r="U315">
        <v>-59.543197999999997</v>
      </c>
    </row>
    <row r="316" spans="1:21">
      <c r="A316" t="s">
        <v>35</v>
      </c>
      <c r="B316">
        <v>2020</v>
      </c>
      <c r="C316">
        <v>21577.828000000001</v>
      </c>
      <c r="E316">
        <v>0.93</v>
      </c>
      <c r="F316">
        <v>0</v>
      </c>
      <c r="G316">
        <v>7.0000000000000007E-2</v>
      </c>
      <c r="H316">
        <v>7</v>
      </c>
      <c r="I316">
        <v>174.06</v>
      </c>
      <c r="K316">
        <v>668</v>
      </c>
      <c r="L316">
        <v>100</v>
      </c>
      <c r="M316">
        <v>100</v>
      </c>
      <c r="P316">
        <v>-18.979509700000001</v>
      </c>
      <c r="Q316">
        <v>15373.8547</v>
      </c>
      <c r="S316">
        <v>430</v>
      </c>
      <c r="T316">
        <v>13.193887</v>
      </c>
      <c r="U316">
        <v>-59.543197999999997</v>
      </c>
    </row>
    <row r="317" spans="1:21">
      <c r="A317" t="s">
        <v>36</v>
      </c>
      <c r="B317">
        <v>2000</v>
      </c>
      <c r="C317">
        <v>24868.184000000001</v>
      </c>
      <c r="D317">
        <v>52940</v>
      </c>
      <c r="E317">
        <v>24.51</v>
      </c>
      <c r="F317">
        <v>0</v>
      </c>
      <c r="G317">
        <v>0.03</v>
      </c>
      <c r="H317">
        <v>0.12224939</v>
      </c>
      <c r="J317">
        <v>5.65</v>
      </c>
      <c r="K317">
        <v>47</v>
      </c>
      <c r="L317">
        <v>100</v>
      </c>
      <c r="M317">
        <v>94.7</v>
      </c>
      <c r="N317">
        <v>3.1301862999999999E-2</v>
      </c>
      <c r="P317">
        <v>5.8000034400000002</v>
      </c>
      <c r="Q317">
        <v>1276.4939850000001</v>
      </c>
      <c r="R317">
        <v>12.85</v>
      </c>
      <c r="S317">
        <v>207600</v>
      </c>
      <c r="T317">
        <v>53.709806999999998</v>
      </c>
      <c r="U317">
        <v>27.953389000000001</v>
      </c>
    </row>
    <row r="318" spans="1:21">
      <c r="A318" t="s">
        <v>36</v>
      </c>
      <c r="B318">
        <v>2001</v>
      </c>
      <c r="C318">
        <v>24306.925999999999</v>
      </c>
      <c r="D318">
        <v>51880</v>
      </c>
      <c r="E318">
        <v>23.53</v>
      </c>
      <c r="F318">
        <v>0</v>
      </c>
      <c r="G318">
        <v>0.03</v>
      </c>
      <c r="H318">
        <v>0.12733448</v>
      </c>
      <c r="J318">
        <v>6.26</v>
      </c>
      <c r="K318">
        <v>47</v>
      </c>
      <c r="L318">
        <v>100</v>
      </c>
      <c r="M318">
        <v>95.2</v>
      </c>
      <c r="N318">
        <v>3.5543463999999997E-2</v>
      </c>
      <c r="P318">
        <v>4.7253059940000002</v>
      </c>
      <c r="Q318">
        <v>1244.3731849999999</v>
      </c>
      <c r="R318">
        <v>12.33</v>
      </c>
      <c r="S318">
        <v>207600</v>
      </c>
      <c r="T318">
        <v>53.709806999999998</v>
      </c>
      <c r="U318">
        <v>27.953389000000001</v>
      </c>
    </row>
    <row r="319" spans="1:21">
      <c r="A319" t="s">
        <v>36</v>
      </c>
      <c r="B319">
        <v>2002</v>
      </c>
      <c r="C319">
        <v>25309.940999999999</v>
      </c>
      <c r="D319">
        <v>51840.00015</v>
      </c>
      <c r="E319">
        <v>24.84</v>
      </c>
      <c r="F319">
        <v>0</v>
      </c>
      <c r="G319">
        <v>0.03</v>
      </c>
      <c r="H319">
        <v>0.120627254</v>
      </c>
      <c r="J319">
        <v>6.52</v>
      </c>
      <c r="K319">
        <v>47</v>
      </c>
      <c r="L319">
        <v>100</v>
      </c>
      <c r="M319">
        <v>95.8</v>
      </c>
      <c r="N319">
        <v>3.2997067999999997E-2</v>
      </c>
      <c r="P319">
        <v>5.0452674799999997</v>
      </c>
      <c r="Q319">
        <v>1479.3145830000001</v>
      </c>
      <c r="R319">
        <v>11.96</v>
      </c>
      <c r="S319">
        <v>207600</v>
      </c>
      <c r="T319">
        <v>53.709806999999998</v>
      </c>
      <c r="U319">
        <v>27.953389000000001</v>
      </c>
    </row>
    <row r="320" spans="1:21">
      <c r="A320" t="s">
        <v>36</v>
      </c>
      <c r="B320">
        <v>2003</v>
      </c>
      <c r="C320">
        <v>25292.013999999999</v>
      </c>
      <c r="D320">
        <v>52700.000760000003</v>
      </c>
      <c r="E320">
        <v>25</v>
      </c>
      <c r="F320">
        <v>0</v>
      </c>
      <c r="G320">
        <v>0.03</v>
      </c>
      <c r="H320">
        <v>0.11985617</v>
      </c>
      <c r="J320">
        <v>6.25</v>
      </c>
      <c r="K320">
        <v>47</v>
      </c>
      <c r="L320">
        <v>100</v>
      </c>
      <c r="M320">
        <v>96.4</v>
      </c>
      <c r="N320">
        <v>3.1896286000000003E-2</v>
      </c>
      <c r="P320">
        <v>7.0431925590000004</v>
      </c>
      <c r="Q320">
        <v>1819.766059</v>
      </c>
      <c r="R320">
        <v>11.5</v>
      </c>
      <c r="S320">
        <v>207600</v>
      </c>
      <c r="T320">
        <v>53.709806999999998</v>
      </c>
      <c r="U320">
        <v>27.953389000000001</v>
      </c>
    </row>
    <row r="321" spans="1:21">
      <c r="A321" t="s">
        <v>36</v>
      </c>
      <c r="B321">
        <v>2004</v>
      </c>
      <c r="C321">
        <v>28508.880000000001</v>
      </c>
      <c r="D321">
        <v>56040.000919999999</v>
      </c>
      <c r="E321">
        <v>29.31</v>
      </c>
      <c r="F321">
        <v>0</v>
      </c>
      <c r="G321">
        <v>0.03</v>
      </c>
      <c r="H321">
        <v>0.10224949</v>
      </c>
      <c r="J321">
        <v>6.27</v>
      </c>
      <c r="K321">
        <v>47</v>
      </c>
      <c r="L321">
        <v>100</v>
      </c>
      <c r="M321">
        <v>96.9</v>
      </c>
      <c r="N321">
        <v>3.4380137999999998E-2</v>
      </c>
      <c r="P321">
        <v>11.44974311</v>
      </c>
      <c r="Q321">
        <v>2378.623286</v>
      </c>
      <c r="R321">
        <v>10.66</v>
      </c>
      <c r="S321">
        <v>207600</v>
      </c>
      <c r="T321">
        <v>53.709806999999998</v>
      </c>
      <c r="U321">
        <v>27.953389000000001</v>
      </c>
    </row>
    <row r="322" spans="1:21">
      <c r="A322" t="s">
        <v>36</v>
      </c>
      <c r="B322">
        <v>2005</v>
      </c>
      <c r="C322">
        <v>28600.458999999999</v>
      </c>
      <c r="D322">
        <v>56779.998780000002</v>
      </c>
      <c r="E322">
        <v>29.07</v>
      </c>
      <c r="F322">
        <v>0</v>
      </c>
      <c r="G322">
        <v>0.04</v>
      </c>
      <c r="H322">
        <v>0.13740981999999999</v>
      </c>
      <c r="J322">
        <v>6.83</v>
      </c>
      <c r="K322">
        <v>47</v>
      </c>
      <c r="L322">
        <v>100</v>
      </c>
      <c r="M322">
        <v>97.1</v>
      </c>
      <c r="N322">
        <v>3.7284452000000003E-2</v>
      </c>
      <c r="P322">
        <v>9.4000015240000003</v>
      </c>
      <c r="Q322">
        <v>3125.8105350000001</v>
      </c>
      <c r="R322">
        <v>9.74</v>
      </c>
      <c r="S322">
        <v>207600</v>
      </c>
      <c r="T322">
        <v>53.709806999999998</v>
      </c>
      <c r="U322">
        <v>27.953389000000001</v>
      </c>
    </row>
    <row r="323" spans="1:21">
      <c r="A323" t="s">
        <v>36</v>
      </c>
      <c r="B323">
        <v>2006</v>
      </c>
      <c r="C323">
        <v>30598.044999999998</v>
      </c>
      <c r="D323">
        <v>59119.998930000002</v>
      </c>
      <c r="E323">
        <v>29.79</v>
      </c>
      <c r="F323">
        <v>0</v>
      </c>
      <c r="G323">
        <v>0.06</v>
      </c>
      <c r="H323">
        <v>0.20100503</v>
      </c>
      <c r="J323">
        <v>7.2</v>
      </c>
      <c r="K323">
        <v>47</v>
      </c>
      <c r="L323">
        <v>100</v>
      </c>
      <c r="M323">
        <v>97.5</v>
      </c>
      <c r="N323">
        <v>3.6012790000000003E-2</v>
      </c>
      <c r="P323">
        <v>9.9999948120000006</v>
      </c>
      <c r="Q323">
        <v>3847.4341239999999</v>
      </c>
      <c r="R323">
        <v>9.42</v>
      </c>
      <c r="S323">
        <v>207600</v>
      </c>
      <c r="T323">
        <v>53.709806999999998</v>
      </c>
      <c r="U323">
        <v>27.953389000000001</v>
      </c>
    </row>
    <row r="324" spans="1:21">
      <c r="A324" t="s">
        <v>36</v>
      </c>
      <c r="B324">
        <v>2007</v>
      </c>
      <c r="C324">
        <v>29999.405999999999</v>
      </c>
      <c r="D324">
        <v>57650.001530000001</v>
      </c>
      <c r="E324">
        <v>29.81</v>
      </c>
      <c r="F324">
        <v>0</v>
      </c>
      <c r="G324">
        <v>7.0000000000000007E-2</v>
      </c>
      <c r="H324">
        <v>0.23427042000000001</v>
      </c>
      <c r="J324">
        <v>7.28</v>
      </c>
      <c r="K324">
        <v>47</v>
      </c>
      <c r="L324">
        <v>100</v>
      </c>
      <c r="M324">
        <v>97.9</v>
      </c>
      <c r="N324">
        <v>4.9696002000000003E-2</v>
      </c>
      <c r="P324">
        <v>8.6000065360000004</v>
      </c>
      <c r="Q324">
        <v>4735.6576080000004</v>
      </c>
      <c r="R324">
        <v>8.5</v>
      </c>
      <c r="S324">
        <v>207600</v>
      </c>
      <c r="T324">
        <v>53.709806999999998</v>
      </c>
      <c r="U324">
        <v>27.953389000000001</v>
      </c>
    </row>
    <row r="325" spans="1:21">
      <c r="A325" t="s">
        <v>36</v>
      </c>
      <c r="B325">
        <v>2008</v>
      </c>
      <c r="C325">
        <v>30513.401999999998</v>
      </c>
      <c r="D325">
        <v>60529.998780000002</v>
      </c>
      <c r="E325">
        <v>32.79</v>
      </c>
      <c r="F325">
        <v>0</v>
      </c>
      <c r="G325">
        <v>0.11</v>
      </c>
      <c r="H325">
        <v>0.33434649999999999</v>
      </c>
      <c r="J325">
        <v>7.08</v>
      </c>
      <c r="K325">
        <v>47</v>
      </c>
      <c r="L325">
        <v>100</v>
      </c>
      <c r="M325">
        <v>98.15</v>
      </c>
      <c r="N325">
        <v>7.290584E-2</v>
      </c>
      <c r="P325">
        <v>10.199999439999999</v>
      </c>
      <c r="Q325">
        <v>6377.3697320000001</v>
      </c>
      <c r="R325">
        <v>7.72</v>
      </c>
      <c r="S325">
        <v>207600</v>
      </c>
      <c r="T325">
        <v>53.709806999999998</v>
      </c>
      <c r="U325">
        <v>27.953389000000001</v>
      </c>
    </row>
    <row r="326" spans="1:21">
      <c r="A326" t="s">
        <v>36</v>
      </c>
      <c r="B326">
        <v>2009</v>
      </c>
      <c r="C326">
        <v>28957.873</v>
      </c>
      <c r="D326">
        <v>57400.001530000001</v>
      </c>
      <c r="E326">
        <v>28.38</v>
      </c>
      <c r="F326">
        <v>0</v>
      </c>
      <c r="G326">
        <v>0.1</v>
      </c>
      <c r="H326">
        <v>0.35112359999999998</v>
      </c>
      <c r="J326">
        <v>7.39</v>
      </c>
      <c r="K326">
        <v>47</v>
      </c>
      <c r="L326">
        <v>100</v>
      </c>
      <c r="M326">
        <v>98.5</v>
      </c>
      <c r="N326">
        <v>0.1132527</v>
      </c>
      <c r="P326">
        <v>0.19999531000000001</v>
      </c>
      <c r="Q326">
        <v>5352.5839120000001</v>
      </c>
      <c r="R326">
        <v>7.29</v>
      </c>
      <c r="S326">
        <v>207600</v>
      </c>
      <c r="T326">
        <v>53.709806999999998</v>
      </c>
      <c r="U326">
        <v>27.953389000000001</v>
      </c>
    </row>
    <row r="327" spans="1:21">
      <c r="A327" t="s">
        <v>36</v>
      </c>
      <c r="B327">
        <v>2010</v>
      </c>
      <c r="C327">
        <v>31470.04</v>
      </c>
      <c r="D327">
        <v>61669.998169999999</v>
      </c>
      <c r="E327">
        <v>32.68</v>
      </c>
      <c r="F327">
        <v>0</v>
      </c>
      <c r="G327">
        <v>0.12</v>
      </c>
      <c r="H327">
        <v>0.36585367000000002</v>
      </c>
      <c r="J327">
        <v>7.3</v>
      </c>
      <c r="K327">
        <v>47</v>
      </c>
      <c r="L327">
        <v>100</v>
      </c>
      <c r="M327">
        <v>98.7</v>
      </c>
      <c r="N327">
        <v>0.12924849999999999</v>
      </c>
      <c r="P327">
        <v>7.7982668229999996</v>
      </c>
      <c r="Q327">
        <v>6033.6862389999997</v>
      </c>
      <c r="R327">
        <v>7.01</v>
      </c>
      <c r="S327">
        <v>207600</v>
      </c>
      <c r="T327">
        <v>53.709806999999998</v>
      </c>
      <c r="U327">
        <v>27.953389000000001</v>
      </c>
    </row>
    <row r="328" spans="1:21">
      <c r="A328" t="s">
        <v>36</v>
      </c>
      <c r="B328">
        <v>2011</v>
      </c>
      <c r="C328">
        <v>30981.085999999999</v>
      </c>
      <c r="D328">
        <v>58549.999239999997</v>
      </c>
      <c r="E328">
        <v>30.12</v>
      </c>
      <c r="F328">
        <v>0</v>
      </c>
      <c r="G328">
        <v>0.12</v>
      </c>
      <c r="H328">
        <v>0.39682539999999999</v>
      </c>
      <c r="J328">
        <v>7.52</v>
      </c>
      <c r="K328">
        <v>47</v>
      </c>
      <c r="L328">
        <v>100</v>
      </c>
      <c r="M328">
        <v>98.8</v>
      </c>
      <c r="N328">
        <v>0.14303419000000001</v>
      </c>
      <c r="P328">
        <v>5.3787074500000003</v>
      </c>
      <c r="Q328">
        <v>6527.1738690000002</v>
      </c>
      <c r="R328">
        <v>7.06</v>
      </c>
      <c r="S328">
        <v>207600</v>
      </c>
      <c r="T328">
        <v>53.709806999999998</v>
      </c>
      <c r="U328">
        <v>27.953389000000001</v>
      </c>
    </row>
    <row r="329" spans="1:21">
      <c r="A329" t="s">
        <v>36</v>
      </c>
      <c r="B329">
        <v>2012</v>
      </c>
      <c r="C329">
        <v>33557.434000000001</v>
      </c>
      <c r="D329">
        <v>59939.998630000002</v>
      </c>
      <c r="E329">
        <v>28.78</v>
      </c>
      <c r="F329">
        <v>0</v>
      </c>
      <c r="G329">
        <v>0.16</v>
      </c>
      <c r="H329">
        <v>0.55286800000000003</v>
      </c>
      <c r="J329">
        <v>7.25</v>
      </c>
      <c r="K329">
        <v>47</v>
      </c>
      <c r="L329">
        <v>100</v>
      </c>
      <c r="M329">
        <v>99</v>
      </c>
      <c r="N329">
        <v>0.15896933999999999</v>
      </c>
      <c r="P329">
        <v>1.687135536</v>
      </c>
      <c r="Q329">
        <v>6953.1325150000002</v>
      </c>
      <c r="R329">
        <v>7.24</v>
      </c>
      <c r="S329">
        <v>207600</v>
      </c>
      <c r="T329">
        <v>53.709806999999998</v>
      </c>
      <c r="U329">
        <v>27.953389000000001</v>
      </c>
    </row>
    <row r="330" spans="1:21">
      <c r="A330" t="s">
        <v>36</v>
      </c>
      <c r="B330">
        <v>2013</v>
      </c>
      <c r="C330">
        <v>30421.853999999999</v>
      </c>
      <c r="D330">
        <v>59990.001680000001</v>
      </c>
      <c r="E330">
        <v>29.31</v>
      </c>
      <c r="F330">
        <v>0</v>
      </c>
      <c r="G330">
        <v>0.28999999999999998</v>
      </c>
      <c r="H330">
        <v>0.97972970000000004</v>
      </c>
      <c r="J330">
        <v>6.97</v>
      </c>
      <c r="K330">
        <v>47</v>
      </c>
      <c r="L330">
        <v>100</v>
      </c>
      <c r="M330">
        <v>99.1</v>
      </c>
      <c r="N330">
        <v>0.22412229</v>
      </c>
      <c r="P330">
        <v>1.0034708409999999</v>
      </c>
      <c r="Q330">
        <v>7998.125239</v>
      </c>
      <c r="R330">
        <v>6.39</v>
      </c>
      <c r="S330">
        <v>207600</v>
      </c>
      <c r="T330">
        <v>53.709806999999998</v>
      </c>
      <c r="U330">
        <v>27.953389000000001</v>
      </c>
    </row>
    <row r="331" spans="1:21">
      <c r="A331" t="s">
        <v>36</v>
      </c>
      <c r="B331">
        <v>2014</v>
      </c>
      <c r="C331">
        <v>30426.228999999999</v>
      </c>
      <c r="D331">
        <v>59500</v>
      </c>
      <c r="E331">
        <v>32.36</v>
      </c>
      <c r="F331">
        <v>0</v>
      </c>
      <c r="G331">
        <v>0.27</v>
      </c>
      <c r="H331">
        <v>0.82745939999999996</v>
      </c>
      <c r="J331">
        <v>6.69</v>
      </c>
      <c r="K331">
        <v>47</v>
      </c>
      <c r="L331">
        <v>100</v>
      </c>
      <c r="M331">
        <v>99.2</v>
      </c>
      <c r="N331">
        <v>0.20674793</v>
      </c>
      <c r="P331">
        <v>1.726384854</v>
      </c>
      <c r="Q331">
        <v>8341.3996790000001</v>
      </c>
      <c r="R331">
        <v>6.4</v>
      </c>
      <c r="S331">
        <v>207600</v>
      </c>
      <c r="T331">
        <v>53.709806999999998</v>
      </c>
      <c r="U331">
        <v>27.953389000000001</v>
      </c>
    </row>
    <row r="332" spans="1:21">
      <c r="A332" t="s">
        <v>36</v>
      </c>
      <c r="B332">
        <v>2015</v>
      </c>
      <c r="C332">
        <v>27527.16</v>
      </c>
      <c r="D332">
        <v>54819.999689999997</v>
      </c>
      <c r="E332">
        <v>31.73</v>
      </c>
      <c r="F332">
        <v>0</v>
      </c>
      <c r="G332">
        <v>0.28999999999999998</v>
      </c>
      <c r="H332">
        <v>0.90568393000000003</v>
      </c>
      <c r="J332">
        <v>6.83</v>
      </c>
      <c r="K332">
        <v>47</v>
      </c>
      <c r="L332">
        <v>100</v>
      </c>
      <c r="M332">
        <v>99.3</v>
      </c>
      <c r="N332">
        <v>0.27272682999999998</v>
      </c>
      <c r="P332">
        <v>-3.8295705579999999</v>
      </c>
      <c r="Q332">
        <v>5967.0522039999996</v>
      </c>
      <c r="R332">
        <v>6.07</v>
      </c>
      <c r="S332">
        <v>207600</v>
      </c>
      <c r="T332">
        <v>53.709806999999998</v>
      </c>
      <c r="U332">
        <v>27.953389000000001</v>
      </c>
    </row>
    <row r="333" spans="1:21">
      <c r="A333" t="s">
        <v>36</v>
      </c>
      <c r="B333">
        <v>2016</v>
      </c>
      <c r="C333">
        <v>28104.532999999999</v>
      </c>
      <c r="D333">
        <v>55139.999389999997</v>
      </c>
      <c r="E333">
        <v>31.15</v>
      </c>
      <c r="F333">
        <v>0</v>
      </c>
      <c r="G333">
        <v>0.4</v>
      </c>
      <c r="H333">
        <v>1.2678288</v>
      </c>
      <c r="J333">
        <v>6.74</v>
      </c>
      <c r="K333">
        <v>47</v>
      </c>
      <c r="L333">
        <v>100</v>
      </c>
      <c r="M333">
        <v>99.4</v>
      </c>
      <c r="N333">
        <v>0.34643993000000001</v>
      </c>
      <c r="P333">
        <v>-2.5264464360000001</v>
      </c>
      <c r="Q333">
        <v>5039.6818860000003</v>
      </c>
      <c r="R333">
        <v>6.18</v>
      </c>
      <c r="S333">
        <v>207600</v>
      </c>
      <c r="T333">
        <v>53.709806999999998</v>
      </c>
      <c r="U333">
        <v>27.953389000000001</v>
      </c>
    </row>
    <row r="334" spans="1:21">
      <c r="A334" t="s">
        <v>36</v>
      </c>
      <c r="B334">
        <v>2017</v>
      </c>
      <c r="C334">
        <v>28623.030999999999</v>
      </c>
      <c r="D334">
        <v>56009.998319999999</v>
      </c>
      <c r="E334">
        <v>31.71</v>
      </c>
      <c r="F334">
        <v>0</v>
      </c>
      <c r="G334">
        <v>0.75</v>
      </c>
      <c r="H334">
        <v>2.3105361000000002</v>
      </c>
      <c r="J334">
        <v>7.29</v>
      </c>
      <c r="K334">
        <v>47</v>
      </c>
      <c r="L334">
        <v>100</v>
      </c>
      <c r="M334">
        <v>99.4</v>
      </c>
      <c r="N334">
        <v>0.68876309999999996</v>
      </c>
      <c r="P334">
        <v>2.5321834999999999</v>
      </c>
      <c r="Q334">
        <v>5785.6706729999996</v>
      </c>
      <c r="R334">
        <v>6.14</v>
      </c>
      <c r="S334">
        <v>207600</v>
      </c>
      <c r="T334">
        <v>53.709806999999998</v>
      </c>
      <c r="U334">
        <v>27.953389000000001</v>
      </c>
    </row>
    <row r="335" spans="1:21">
      <c r="A335" t="s">
        <v>36</v>
      </c>
      <c r="B335">
        <v>2018</v>
      </c>
      <c r="C335">
        <v>31689.998</v>
      </c>
      <c r="D335">
        <v>58950.000760000003</v>
      </c>
      <c r="E335">
        <v>35.85</v>
      </c>
      <c r="F335">
        <v>0</v>
      </c>
      <c r="G335">
        <v>0.81</v>
      </c>
      <c r="H335">
        <v>2.2094927000000002</v>
      </c>
      <c r="J335">
        <v>7.22</v>
      </c>
      <c r="K335">
        <v>47</v>
      </c>
      <c r="L335">
        <v>100</v>
      </c>
      <c r="M335">
        <v>99.5</v>
      </c>
      <c r="N335">
        <v>0.57909613999999998</v>
      </c>
      <c r="P335">
        <v>3.1491975939999999</v>
      </c>
      <c r="Q335">
        <v>6360.062473</v>
      </c>
      <c r="R335">
        <v>6.29</v>
      </c>
      <c r="S335">
        <v>207600</v>
      </c>
      <c r="T335">
        <v>53.709806999999998</v>
      </c>
      <c r="U335">
        <v>27.953389000000001</v>
      </c>
    </row>
    <row r="336" spans="1:21">
      <c r="A336" t="s">
        <v>36</v>
      </c>
      <c r="B336">
        <v>2019</v>
      </c>
      <c r="C336">
        <v>31923.436000000002</v>
      </c>
      <c r="D336">
        <v>57669.998169999999</v>
      </c>
      <c r="E336">
        <v>36.74</v>
      </c>
      <c r="F336">
        <v>0</v>
      </c>
      <c r="G336">
        <v>0.94</v>
      </c>
      <c r="H336">
        <v>2.4946920000000001</v>
      </c>
      <c r="J336">
        <v>7.83</v>
      </c>
      <c r="K336">
        <v>47</v>
      </c>
      <c r="L336">
        <v>100</v>
      </c>
      <c r="M336">
        <v>99.5</v>
      </c>
      <c r="N336">
        <v>0.70776963000000004</v>
      </c>
      <c r="P336">
        <v>1.4</v>
      </c>
      <c r="Q336">
        <v>6837.7178260000001</v>
      </c>
      <c r="R336">
        <v>5.97</v>
      </c>
      <c r="S336">
        <v>207600</v>
      </c>
      <c r="T336">
        <v>53.709806999999998</v>
      </c>
      <c r="U336">
        <v>27.953389000000001</v>
      </c>
    </row>
    <row r="337" spans="1:21">
      <c r="A337" t="s">
        <v>36</v>
      </c>
      <c r="B337">
        <v>2020</v>
      </c>
      <c r="C337">
        <v>29768.562000000002</v>
      </c>
      <c r="E337">
        <v>34.590000000000003</v>
      </c>
      <c r="F337">
        <v>0.34</v>
      </c>
      <c r="G337">
        <v>1.27</v>
      </c>
      <c r="H337">
        <v>4.4475135999999997</v>
      </c>
      <c r="K337">
        <v>47</v>
      </c>
      <c r="L337">
        <v>100</v>
      </c>
      <c r="M337">
        <v>99.6</v>
      </c>
      <c r="N337">
        <v>0.98972450000000001</v>
      </c>
      <c r="P337">
        <v>-0.9</v>
      </c>
      <c r="Q337">
        <v>6424.1521759999996</v>
      </c>
      <c r="S337">
        <v>207600</v>
      </c>
      <c r="T337">
        <v>53.709806999999998</v>
      </c>
      <c r="U337">
        <v>27.953389000000001</v>
      </c>
    </row>
    <row r="338" spans="1:21">
      <c r="A338" t="s">
        <v>37</v>
      </c>
      <c r="B338">
        <v>2000</v>
      </c>
      <c r="C338">
        <v>72420.41</v>
      </c>
      <c r="D338">
        <v>117270</v>
      </c>
      <c r="E338">
        <v>33.58</v>
      </c>
      <c r="F338">
        <v>48.16</v>
      </c>
      <c r="G338">
        <v>1.05</v>
      </c>
      <c r="H338">
        <v>59.439545000000003</v>
      </c>
      <c r="J338">
        <v>1.44</v>
      </c>
      <c r="K338">
        <v>383</v>
      </c>
      <c r="L338">
        <v>100</v>
      </c>
      <c r="M338">
        <v>100</v>
      </c>
      <c r="N338">
        <v>0.43326904999999999</v>
      </c>
      <c r="P338">
        <v>3.7166793839999999</v>
      </c>
      <c r="Q338">
        <v>23041.534729999999</v>
      </c>
      <c r="R338">
        <v>5.51</v>
      </c>
      <c r="S338">
        <v>30528</v>
      </c>
      <c r="T338">
        <v>50.503886999999999</v>
      </c>
      <c r="U338">
        <v>4.4699359999999997</v>
      </c>
    </row>
    <row r="339" spans="1:21">
      <c r="A339" t="s">
        <v>37</v>
      </c>
      <c r="B339">
        <v>2001</v>
      </c>
      <c r="C339">
        <v>71475.5</v>
      </c>
      <c r="D339">
        <v>118340</v>
      </c>
      <c r="E339">
        <v>31.2</v>
      </c>
      <c r="F339">
        <v>46.35</v>
      </c>
      <c r="G339">
        <v>1.08</v>
      </c>
      <c r="H339">
        <v>60.320489999999999</v>
      </c>
      <c r="J339">
        <v>1.58</v>
      </c>
      <c r="K339">
        <v>383</v>
      </c>
      <c r="L339">
        <v>100</v>
      </c>
      <c r="M339">
        <v>100</v>
      </c>
      <c r="N339">
        <v>0.44920527999999998</v>
      </c>
      <c r="P339">
        <v>1.099618888</v>
      </c>
      <c r="Q339">
        <v>22995.157520000001</v>
      </c>
      <c r="R339">
        <v>5.41</v>
      </c>
      <c r="S339">
        <v>30528</v>
      </c>
      <c r="T339">
        <v>50.503886999999999</v>
      </c>
      <c r="U339">
        <v>4.4699359999999997</v>
      </c>
    </row>
    <row r="340" spans="1:21">
      <c r="A340" t="s">
        <v>37</v>
      </c>
      <c r="B340">
        <v>2002</v>
      </c>
      <c r="C340">
        <v>70828.990000000005</v>
      </c>
      <c r="D340">
        <v>110849.9985</v>
      </c>
      <c r="E340">
        <v>32.44</v>
      </c>
      <c r="F340">
        <v>47.36</v>
      </c>
      <c r="G340">
        <v>1.1399999999999999</v>
      </c>
      <c r="H340">
        <v>59.920929999999998</v>
      </c>
      <c r="J340">
        <v>1.68</v>
      </c>
      <c r="K340">
        <v>383</v>
      </c>
      <c r="L340">
        <v>100</v>
      </c>
      <c r="M340">
        <v>100</v>
      </c>
      <c r="N340">
        <v>0.47973493</v>
      </c>
      <c r="P340">
        <v>1.7068845850000001</v>
      </c>
      <c r="Q340">
        <v>24887.56133</v>
      </c>
      <c r="R340">
        <v>5.15</v>
      </c>
      <c r="S340">
        <v>30528</v>
      </c>
      <c r="T340">
        <v>50.503886999999999</v>
      </c>
      <c r="U340">
        <v>4.4699359999999997</v>
      </c>
    </row>
    <row r="341" spans="1:21">
      <c r="A341" t="s">
        <v>37</v>
      </c>
      <c r="B341">
        <v>2003</v>
      </c>
      <c r="C341">
        <v>73221.56</v>
      </c>
      <c r="D341">
        <v>115500</v>
      </c>
      <c r="E341">
        <v>34.99</v>
      </c>
      <c r="F341">
        <v>47.38</v>
      </c>
      <c r="G341">
        <v>1.2</v>
      </c>
      <c r="H341">
        <v>58.13091</v>
      </c>
      <c r="J341">
        <v>1.89</v>
      </c>
      <c r="K341">
        <v>383</v>
      </c>
      <c r="L341">
        <v>100</v>
      </c>
      <c r="M341">
        <v>100</v>
      </c>
      <c r="N341">
        <v>0.48671453999999997</v>
      </c>
      <c r="P341">
        <v>1.0379825490000001</v>
      </c>
      <c r="Q341">
        <v>30587.668409999998</v>
      </c>
      <c r="R341">
        <v>5.32</v>
      </c>
      <c r="S341">
        <v>30528</v>
      </c>
      <c r="T341">
        <v>50.503886999999999</v>
      </c>
      <c r="U341">
        <v>4.4699359999999997</v>
      </c>
    </row>
    <row r="342" spans="1:21">
      <c r="A342" t="s">
        <v>37</v>
      </c>
      <c r="B342">
        <v>2004</v>
      </c>
      <c r="C342">
        <v>73126.233999999997</v>
      </c>
      <c r="D342">
        <v>114019.9966</v>
      </c>
      <c r="E342">
        <v>34.11</v>
      </c>
      <c r="F342">
        <v>47.31</v>
      </c>
      <c r="G342">
        <v>1.5</v>
      </c>
      <c r="H342">
        <v>58.863968</v>
      </c>
      <c r="J342">
        <v>2.02</v>
      </c>
      <c r="K342">
        <v>383</v>
      </c>
      <c r="L342">
        <v>100</v>
      </c>
      <c r="M342">
        <v>100</v>
      </c>
      <c r="N342">
        <v>0.60629889999999997</v>
      </c>
      <c r="P342">
        <v>3.5712043429999998</v>
      </c>
      <c r="Q342">
        <v>35364.375330000003</v>
      </c>
      <c r="R342">
        <v>5.15</v>
      </c>
      <c r="S342">
        <v>30528</v>
      </c>
      <c r="T342">
        <v>50.503886999999999</v>
      </c>
      <c r="U342">
        <v>4.4699359999999997</v>
      </c>
    </row>
    <row r="343" spans="1:21">
      <c r="A343" t="s">
        <v>37</v>
      </c>
      <c r="B343">
        <v>2005</v>
      </c>
      <c r="C343">
        <v>71894.960000000006</v>
      </c>
      <c r="D343">
        <v>110610.0006</v>
      </c>
      <c r="E343">
        <v>34.39</v>
      </c>
      <c r="F343">
        <v>47.6</v>
      </c>
      <c r="G343">
        <v>2.11</v>
      </c>
      <c r="H343">
        <v>59.108204000000001</v>
      </c>
      <c r="J343">
        <v>2.46</v>
      </c>
      <c r="K343">
        <v>383</v>
      </c>
      <c r="L343">
        <v>100</v>
      </c>
      <c r="M343">
        <v>100</v>
      </c>
      <c r="N343">
        <v>0.86668020000000001</v>
      </c>
      <c r="P343">
        <v>2.3217370540000002</v>
      </c>
      <c r="Q343">
        <v>36795.976880000002</v>
      </c>
      <c r="R343">
        <v>5.01</v>
      </c>
      <c r="S343">
        <v>30528</v>
      </c>
      <c r="T343">
        <v>50.503886999999999</v>
      </c>
      <c r="U343">
        <v>4.4699359999999997</v>
      </c>
    </row>
    <row r="344" spans="1:21">
      <c r="A344" t="s">
        <v>37</v>
      </c>
      <c r="B344">
        <v>2006</v>
      </c>
      <c r="C344">
        <v>71647.289999999994</v>
      </c>
      <c r="D344">
        <v>108650.0015</v>
      </c>
      <c r="E344">
        <v>33.46</v>
      </c>
      <c r="F344">
        <v>46.65</v>
      </c>
      <c r="G344">
        <v>2.96</v>
      </c>
      <c r="H344">
        <v>59.72072</v>
      </c>
      <c r="J344">
        <v>2.82</v>
      </c>
      <c r="K344">
        <v>383</v>
      </c>
      <c r="L344">
        <v>100</v>
      </c>
      <c r="M344">
        <v>100</v>
      </c>
      <c r="N344">
        <v>1.2095450000000001</v>
      </c>
      <c r="P344">
        <v>2.5523499439999999</v>
      </c>
      <c r="Q344">
        <v>38672.70594</v>
      </c>
      <c r="R344">
        <v>4.82</v>
      </c>
      <c r="S344">
        <v>30528</v>
      </c>
      <c r="T344">
        <v>50.503886999999999</v>
      </c>
      <c r="U344">
        <v>4.4699359999999997</v>
      </c>
    </row>
    <row r="345" spans="1:21">
      <c r="A345" t="s">
        <v>37</v>
      </c>
      <c r="B345">
        <v>2007</v>
      </c>
      <c r="C345">
        <v>71662.34</v>
      </c>
      <c r="D345">
        <v>104589.9963</v>
      </c>
      <c r="E345">
        <v>34.840000000000003</v>
      </c>
      <c r="F345">
        <v>48.23</v>
      </c>
      <c r="G345">
        <v>3.49</v>
      </c>
      <c r="H345">
        <v>59.750464999999998</v>
      </c>
      <c r="J345">
        <v>3.34</v>
      </c>
      <c r="K345">
        <v>383</v>
      </c>
      <c r="L345">
        <v>100</v>
      </c>
      <c r="M345">
        <v>100</v>
      </c>
      <c r="N345">
        <v>1.415252</v>
      </c>
      <c r="P345">
        <v>3.676881136</v>
      </c>
      <c r="Q345">
        <v>44262.896000000001</v>
      </c>
      <c r="R345">
        <v>4.5599999999999996</v>
      </c>
      <c r="S345">
        <v>30528</v>
      </c>
      <c r="T345">
        <v>50.503886999999999</v>
      </c>
      <c r="U345">
        <v>4.4699359999999997</v>
      </c>
    </row>
    <row r="346" spans="1:21">
      <c r="A346" t="s">
        <v>37</v>
      </c>
      <c r="B346">
        <v>2008</v>
      </c>
      <c r="C346">
        <v>72317.91</v>
      </c>
      <c r="D346">
        <v>106930.0003</v>
      </c>
      <c r="E346">
        <v>32.82</v>
      </c>
      <c r="F346">
        <v>45.57</v>
      </c>
      <c r="G346">
        <v>4.42</v>
      </c>
      <c r="H346">
        <v>60.367106999999997</v>
      </c>
      <c r="J346">
        <v>3.91</v>
      </c>
      <c r="K346">
        <v>383</v>
      </c>
      <c r="L346">
        <v>100</v>
      </c>
      <c r="M346">
        <v>100</v>
      </c>
      <c r="N346">
        <v>1.7643936</v>
      </c>
      <c r="P346">
        <v>0.44692873500000002</v>
      </c>
      <c r="Q346">
        <v>48106.892919999998</v>
      </c>
      <c r="R346">
        <v>4.68</v>
      </c>
      <c r="S346">
        <v>30528</v>
      </c>
      <c r="T346">
        <v>50.503886999999999</v>
      </c>
      <c r="U346">
        <v>4.4699359999999997</v>
      </c>
    </row>
    <row r="347" spans="1:21">
      <c r="A347" t="s">
        <v>37</v>
      </c>
      <c r="B347">
        <v>2009</v>
      </c>
      <c r="C347">
        <v>66274</v>
      </c>
      <c r="D347">
        <v>99669.998170000006</v>
      </c>
      <c r="E347">
        <v>37</v>
      </c>
      <c r="F347">
        <v>47.22</v>
      </c>
      <c r="G347">
        <v>5.45</v>
      </c>
      <c r="H347">
        <v>58.737594999999999</v>
      </c>
      <c r="J347">
        <v>4.83</v>
      </c>
      <c r="K347">
        <v>383</v>
      </c>
      <c r="L347">
        <v>100</v>
      </c>
      <c r="M347">
        <v>100</v>
      </c>
      <c r="N347">
        <v>2.5214348000000002</v>
      </c>
      <c r="P347">
        <v>-2.0207430620000002</v>
      </c>
      <c r="Q347">
        <v>44583.544809999999</v>
      </c>
      <c r="R347">
        <v>4.58</v>
      </c>
      <c r="S347">
        <v>30528</v>
      </c>
      <c r="T347">
        <v>50.503886999999999</v>
      </c>
      <c r="U347">
        <v>4.4699359999999997</v>
      </c>
    </row>
    <row r="348" spans="1:21">
      <c r="A348" t="s">
        <v>37</v>
      </c>
      <c r="B348">
        <v>2010</v>
      </c>
      <c r="C348">
        <v>70300.14</v>
      </c>
      <c r="D348">
        <v>106720.0012</v>
      </c>
      <c r="E348">
        <v>38.39</v>
      </c>
      <c r="F348">
        <v>47.94</v>
      </c>
      <c r="G348">
        <v>6.54</v>
      </c>
      <c r="H348">
        <v>58.662643000000003</v>
      </c>
      <c r="J348">
        <v>6.22</v>
      </c>
      <c r="K348">
        <v>383</v>
      </c>
      <c r="L348">
        <v>100</v>
      </c>
      <c r="M348">
        <v>100</v>
      </c>
      <c r="N348">
        <v>3.0995507</v>
      </c>
      <c r="P348">
        <v>2.8642927079999998</v>
      </c>
      <c r="Q348">
        <v>44141.878140000001</v>
      </c>
      <c r="R348">
        <v>4.8099999999999996</v>
      </c>
      <c r="S348">
        <v>30528</v>
      </c>
      <c r="T348">
        <v>50.503886999999999</v>
      </c>
      <c r="U348">
        <v>4.4699359999999997</v>
      </c>
    </row>
    <row r="349" spans="1:21">
      <c r="A349" t="s">
        <v>37</v>
      </c>
      <c r="B349">
        <v>2011</v>
      </c>
      <c r="C349">
        <v>65134.080000000002</v>
      </c>
      <c r="D349">
        <v>96480.003360000002</v>
      </c>
      <c r="E349">
        <v>32.51</v>
      </c>
      <c r="F349">
        <v>48.23</v>
      </c>
      <c r="G349">
        <v>8.31</v>
      </c>
      <c r="H349">
        <v>63.492415999999999</v>
      </c>
      <c r="J349">
        <v>6.66</v>
      </c>
      <c r="K349">
        <v>383</v>
      </c>
      <c r="L349">
        <v>100</v>
      </c>
      <c r="M349">
        <v>100</v>
      </c>
      <c r="N349">
        <v>4.0459914000000001</v>
      </c>
      <c r="P349">
        <v>1.6945138989999999</v>
      </c>
      <c r="Q349">
        <v>47348.525020000001</v>
      </c>
      <c r="R349">
        <v>4.4000000000000004</v>
      </c>
      <c r="S349">
        <v>30528</v>
      </c>
      <c r="T349">
        <v>50.503886999999999</v>
      </c>
      <c r="U349">
        <v>4.4699359999999997</v>
      </c>
    </row>
    <row r="350" spans="1:21">
      <c r="A350" t="s">
        <v>37</v>
      </c>
      <c r="B350">
        <v>2012</v>
      </c>
      <c r="C350">
        <v>62090.016000000003</v>
      </c>
      <c r="D350">
        <v>95269.996639999998</v>
      </c>
      <c r="E350">
        <v>30.62</v>
      </c>
      <c r="F350">
        <v>40.29</v>
      </c>
      <c r="G350">
        <v>10.51</v>
      </c>
      <c r="H350">
        <v>62.392532000000003</v>
      </c>
      <c r="J350">
        <v>7.67</v>
      </c>
      <c r="K350">
        <v>383</v>
      </c>
      <c r="L350">
        <v>100</v>
      </c>
      <c r="M350">
        <v>100</v>
      </c>
      <c r="N350">
        <v>5.0600750000000003</v>
      </c>
      <c r="P350">
        <v>0.739217283</v>
      </c>
      <c r="Q350">
        <v>44673.115879999998</v>
      </c>
      <c r="R350">
        <v>4.1900000000000004</v>
      </c>
      <c r="S350">
        <v>30528</v>
      </c>
      <c r="T350">
        <v>50.503886999999999</v>
      </c>
      <c r="U350">
        <v>4.4699359999999997</v>
      </c>
    </row>
    <row r="351" spans="1:21">
      <c r="A351" t="s">
        <v>37</v>
      </c>
      <c r="B351">
        <v>2013</v>
      </c>
      <c r="C351">
        <v>63218.38</v>
      </c>
      <c r="D351">
        <v>96589.996339999998</v>
      </c>
      <c r="E351">
        <v>27.37</v>
      </c>
      <c r="F351">
        <v>42.64</v>
      </c>
      <c r="G351">
        <v>11.71</v>
      </c>
      <c r="H351">
        <v>66.507580000000004</v>
      </c>
      <c r="J351">
        <v>8.2200000000000006</v>
      </c>
      <c r="K351">
        <v>383</v>
      </c>
      <c r="L351">
        <v>100</v>
      </c>
      <c r="M351">
        <v>100</v>
      </c>
      <c r="N351">
        <v>5.3826203000000001</v>
      </c>
      <c r="P351">
        <v>0.45924219300000002</v>
      </c>
      <c r="Q351">
        <v>46744.662539999998</v>
      </c>
      <c r="R351">
        <v>4.34</v>
      </c>
      <c r="S351">
        <v>30528</v>
      </c>
      <c r="T351">
        <v>50.503886999999999</v>
      </c>
      <c r="U351">
        <v>4.4699359999999997</v>
      </c>
    </row>
    <row r="352" spans="1:21">
      <c r="A352" t="s">
        <v>37</v>
      </c>
      <c r="B352">
        <v>2014</v>
      </c>
      <c r="C352">
        <v>58234.559999999998</v>
      </c>
      <c r="D352">
        <v>90139.999389999997</v>
      </c>
      <c r="E352">
        <v>25.03</v>
      </c>
      <c r="F352">
        <v>33.700000000000003</v>
      </c>
      <c r="G352">
        <v>12.21</v>
      </c>
      <c r="H352">
        <v>64.716660000000005</v>
      </c>
      <c r="J352">
        <v>9.1300000000000008</v>
      </c>
      <c r="K352">
        <v>383</v>
      </c>
      <c r="L352">
        <v>100</v>
      </c>
      <c r="M352">
        <v>100</v>
      </c>
      <c r="N352">
        <v>6.0511730000000004</v>
      </c>
      <c r="P352">
        <v>1.578533143</v>
      </c>
      <c r="Q352">
        <v>47700.540359999999</v>
      </c>
      <c r="R352">
        <v>4.03</v>
      </c>
      <c r="S352">
        <v>30528</v>
      </c>
      <c r="T352">
        <v>50.503886999999999</v>
      </c>
      <c r="U352">
        <v>4.4699359999999997</v>
      </c>
    </row>
    <row r="353" spans="1:21">
      <c r="A353" t="s">
        <v>37</v>
      </c>
      <c r="B353">
        <v>2015</v>
      </c>
      <c r="C353">
        <v>58448.152000000002</v>
      </c>
      <c r="D353">
        <v>95129.99725</v>
      </c>
      <c r="E353">
        <v>27.57</v>
      </c>
      <c r="F353">
        <v>26.1</v>
      </c>
      <c r="G353">
        <v>14.45</v>
      </c>
      <c r="H353">
        <v>59.527299999999997</v>
      </c>
      <c r="J353">
        <v>9.3699999999999992</v>
      </c>
      <c r="K353">
        <v>383</v>
      </c>
      <c r="L353">
        <v>100</v>
      </c>
      <c r="M353">
        <v>100</v>
      </c>
      <c r="N353">
        <v>6.6614164999999996</v>
      </c>
      <c r="P353">
        <v>2.041459009</v>
      </c>
      <c r="Q353">
        <v>40991.808140000001</v>
      </c>
      <c r="R353">
        <v>3.94</v>
      </c>
      <c r="S353">
        <v>30528</v>
      </c>
      <c r="T353">
        <v>50.503886999999999</v>
      </c>
      <c r="U353">
        <v>4.4699359999999997</v>
      </c>
    </row>
    <row r="354" spans="1:21">
      <c r="A354" t="s">
        <v>37</v>
      </c>
      <c r="B354">
        <v>2016</v>
      </c>
      <c r="C354">
        <v>62694.065999999999</v>
      </c>
      <c r="D354">
        <v>94220.001220000006</v>
      </c>
      <c r="E354">
        <v>26.19</v>
      </c>
      <c r="F354">
        <v>43.52</v>
      </c>
      <c r="G354">
        <v>14.25</v>
      </c>
      <c r="H354">
        <v>68.806569999999994</v>
      </c>
      <c r="J354">
        <v>9.1999999999999993</v>
      </c>
      <c r="K354">
        <v>383</v>
      </c>
      <c r="L354">
        <v>100</v>
      </c>
      <c r="M354">
        <v>100</v>
      </c>
      <c r="N354">
        <v>6.3574539999999997</v>
      </c>
      <c r="P354">
        <v>1.2666864090000001</v>
      </c>
      <c r="Q354">
        <v>41984.103029999998</v>
      </c>
      <c r="R354">
        <v>4.12</v>
      </c>
      <c r="S354">
        <v>30528</v>
      </c>
      <c r="T354">
        <v>50.503886999999999</v>
      </c>
      <c r="U354">
        <v>4.4699359999999997</v>
      </c>
    </row>
    <row r="355" spans="1:21">
      <c r="A355" t="s">
        <v>37</v>
      </c>
      <c r="B355">
        <v>2017</v>
      </c>
      <c r="C355">
        <v>62897.13</v>
      </c>
      <c r="D355">
        <v>92720.001220000006</v>
      </c>
      <c r="E355">
        <v>26.9</v>
      </c>
      <c r="F355">
        <v>42.23</v>
      </c>
      <c r="G355">
        <v>15.8</v>
      </c>
      <c r="H355">
        <v>68.326859999999996</v>
      </c>
      <c r="J355">
        <v>9.64</v>
      </c>
      <c r="K355">
        <v>383</v>
      </c>
      <c r="L355">
        <v>100</v>
      </c>
      <c r="M355">
        <v>100</v>
      </c>
      <c r="N355">
        <v>6.9106160000000001</v>
      </c>
      <c r="P355">
        <v>1.6195802779999999</v>
      </c>
      <c r="Q355">
        <v>44089.310089999999</v>
      </c>
      <c r="R355">
        <v>4.04</v>
      </c>
      <c r="S355">
        <v>30528</v>
      </c>
      <c r="T355">
        <v>50.503886999999999</v>
      </c>
      <c r="U355">
        <v>4.4699359999999997</v>
      </c>
    </row>
    <row r="356" spans="1:21">
      <c r="A356" t="s">
        <v>37</v>
      </c>
      <c r="B356">
        <v>2018</v>
      </c>
      <c r="C356">
        <v>62384.855000000003</v>
      </c>
      <c r="D356">
        <v>93660.003660000002</v>
      </c>
      <c r="E356">
        <v>27.75</v>
      </c>
      <c r="F356">
        <v>28.6</v>
      </c>
      <c r="G356">
        <v>17.170000000000002</v>
      </c>
      <c r="H356">
        <v>62.255172999999999</v>
      </c>
      <c r="J356">
        <v>10.66</v>
      </c>
      <c r="K356">
        <v>383</v>
      </c>
      <c r="L356">
        <v>100</v>
      </c>
      <c r="M356">
        <v>100</v>
      </c>
      <c r="N356">
        <v>7.4151899999999999</v>
      </c>
      <c r="P356">
        <v>1.819203664</v>
      </c>
      <c r="Q356">
        <v>47519.553099999997</v>
      </c>
      <c r="R356">
        <v>3.82</v>
      </c>
      <c r="S356">
        <v>30528</v>
      </c>
      <c r="T356">
        <v>50.503886999999999</v>
      </c>
      <c r="U356">
        <v>4.4699359999999997</v>
      </c>
    </row>
    <row r="357" spans="1:21">
      <c r="A357" t="s">
        <v>37</v>
      </c>
      <c r="B357">
        <v>2019</v>
      </c>
      <c r="C357">
        <v>64152.26</v>
      </c>
      <c r="D357">
        <v>93010.002139999997</v>
      </c>
      <c r="E357">
        <v>29.32</v>
      </c>
      <c r="F357">
        <v>43.52</v>
      </c>
      <c r="G357">
        <v>19.47</v>
      </c>
      <c r="H357">
        <v>68.237465</v>
      </c>
      <c r="J357">
        <v>10.210000000000001</v>
      </c>
      <c r="K357">
        <v>383</v>
      </c>
      <c r="L357">
        <v>100</v>
      </c>
      <c r="M357">
        <v>100</v>
      </c>
      <c r="N357">
        <v>7.9593819999999997</v>
      </c>
      <c r="P357">
        <v>2.1495596809999999</v>
      </c>
      <c r="Q357">
        <v>46591.491609999997</v>
      </c>
      <c r="R357">
        <v>3.87</v>
      </c>
      <c r="S357">
        <v>30528</v>
      </c>
      <c r="T357">
        <v>50.503886999999999</v>
      </c>
      <c r="U357">
        <v>4.4699359999999997</v>
      </c>
    </row>
    <row r="358" spans="1:21">
      <c r="A358" t="s">
        <v>37</v>
      </c>
      <c r="B358">
        <v>2020</v>
      </c>
      <c r="C358">
        <v>57433.73</v>
      </c>
      <c r="E358">
        <v>30</v>
      </c>
      <c r="F358">
        <v>34.43</v>
      </c>
      <c r="G358">
        <v>23.46</v>
      </c>
      <c r="H358">
        <v>65.866425000000007</v>
      </c>
      <c r="K358">
        <v>383</v>
      </c>
      <c r="L358">
        <v>100</v>
      </c>
      <c r="M358">
        <v>100</v>
      </c>
      <c r="N358">
        <v>10.637791</v>
      </c>
      <c r="P358">
        <v>-5.6596598699999996</v>
      </c>
      <c r="Q358">
        <v>45159.34822</v>
      </c>
      <c r="S358">
        <v>30528</v>
      </c>
      <c r="T358">
        <v>50.503886999999999</v>
      </c>
      <c r="U358">
        <v>4.4699359999999997</v>
      </c>
    </row>
    <row r="359" spans="1:21">
      <c r="A359" t="s">
        <v>38</v>
      </c>
      <c r="B359">
        <v>2000</v>
      </c>
      <c r="C359">
        <v>10038.552</v>
      </c>
      <c r="D359">
        <v>450</v>
      </c>
      <c r="E359">
        <v>0.09</v>
      </c>
      <c r="F359">
        <v>0</v>
      </c>
      <c r="G359">
        <v>0.09</v>
      </c>
      <c r="H359">
        <v>49.999996000000003</v>
      </c>
      <c r="I359">
        <v>125.47</v>
      </c>
      <c r="J359">
        <v>34.549999999999997</v>
      </c>
      <c r="K359">
        <v>17</v>
      </c>
      <c r="L359">
        <v>79</v>
      </c>
      <c r="M359">
        <v>79.900000000000006</v>
      </c>
      <c r="P359">
        <v>13.01957737</v>
      </c>
      <c r="Q359">
        <v>3364.4917310000001</v>
      </c>
      <c r="R359">
        <v>6.7</v>
      </c>
      <c r="S359">
        <v>22966</v>
      </c>
      <c r="T359">
        <v>17.189876999999999</v>
      </c>
      <c r="U359">
        <v>-88.497649999999993</v>
      </c>
    </row>
    <row r="360" spans="1:21">
      <c r="A360" t="s">
        <v>38</v>
      </c>
      <c r="B360">
        <v>2001</v>
      </c>
      <c r="C360">
        <v>10707.64</v>
      </c>
      <c r="D360">
        <v>530</v>
      </c>
      <c r="E360">
        <v>0.06</v>
      </c>
      <c r="F360">
        <v>0</v>
      </c>
      <c r="G360">
        <v>0.09</v>
      </c>
      <c r="H360">
        <v>59.999996000000003</v>
      </c>
      <c r="I360">
        <v>121.81</v>
      </c>
      <c r="J360">
        <v>29.61</v>
      </c>
      <c r="K360">
        <v>17</v>
      </c>
      <c r="L360">
        <v>80.196960000000004</v>
      </c>
      <c r="M360">
        <v>80.599999999999994</v>
      </c>
      <c r="P360">
        <v>4.6816355959999996</v>
      </c>
      <c r="Q360">
        <v>3404.4205860000002</v>
      </c>
      <c r="R360">
        <v>6.75</v>
      </c>
      <c r="S360">
        <v>22966</v>
      </c>
      <c r="T360">
        <v>17.189876999999999</v>
      </c>
      <c r="U360">
        <v>-88.497649999999993</v>
      </c>
    </row>
    <row r="361" spans="1:21">
      <c r="A361" t="s">
        <v>38</v>
      </c>
      <c r="B361">
        <v>2002</v>
      </c>
      <c r="C361">
        <v>10042.477000000001</v>
      </c>
      <c r="D361">
        <v>519.99998089999997</v>
      </c>
      <c r="E361">
        <v>0.06</v>
      </c>
      <c r="F361">
        <v>0</v>
      </c>
      <c r="G361">
        <v>0.09</v>
      </c>
      <c r="H361">
        <v>59.999996000000003</v>
      </c>
      <c r="I361">
        <v>118.55</v>
      </c>
      <c r="J361">
        <v>31.19</v>
      </c>
      <c r="K361">
        <v>17</v>
      </c>
      <c r="L361">
        <v>81.029420000000002</v>
      </c>
      <c r="M361">
        <v>81.5</v>
      </c>
      <c r="P361">
        <v>4.7324075639999998</v>
      </c>
      <c r="Q361">
        <v>3526.0815130000001</v>
      </c>
      <c r="R361">
        <v>6.33</v>
      </c>
      <c r="S361">
        <v>22966</v>
      </c>
      <c r="T361">
        <v>17.189876999999999</v>
      </c>
      <c r="U361">
        <v>-88.497649999999993</v>
      </c>
    </row>
    <row r="362" spans="1:21">
      <c r="A362" t="s">
        <v>38</v>
      </c>
      <c r="B362">
        <v>2003</v>
      </c>
      <c r="C362">
        <v>9553.4750000000004</v>
      </c>
      <c r="D362">
        <v>509.99999050000002</v>
      </c>
      <c r="E362">
        <v>0.11</v>
      </c>
      <c r="F362">
        <v>0</v>
      </c>
      <c r="G362">
        <v>0.06</v>
      </c>
      <c r="H362">
        <v>35.294117</v>
      </c>
      <c r="I362">
        <v>115.65</v>
      </c>
      <c r="J362">
        <v>30.18</v>
      </c>
      <c r="K362">
        <v>17</v>
      </c>
      <c r="L362">
        <v>81.856635999999995</v>
      </c>
      <c r="M362">
        <v>81.900000000000006</v>
      </c>
      <c r="P362">
        <v>9.3336118399999997</v>
      </c>
      <c r="Q362">
        <v>3650.6064700000002</v>
      </c>
      <c r="R362">
        <v>5.66</v>
      </c>
      <c r="S362">
        <v>22966</v>
      </c>
      <c r="T362">
        <v>17.189876999999999</v>
      </c>
      <c r="U362">
        <v>-88.497649999999993</v>
      </c>
    </row>
    <row r="363" spans="1:21">
      <c r="A363" t="s">
        <v>38</v>
      </c>
      <c r="B363">
        <v>2004</v>
      </c>
      <c r="C363">
        <v>8929.1455000000005</v>
      </c>
      <c r="D363">
        <v>439.99999759999997</v>
      </c>
      <c r="E363">
        <v>0.1</v>
      </c>
      <c r="F363">
        <v>0</v>
      </c>
      <c r="G363">
        <v>0.06</v>
      </c>
      <c r="H363">
        <v>37.5</v>
      </c>
      <c r="I363">
        <v>112.81</v>
      </c>
      <c r="J363">
        <v>32.020000000000003</v>
      </c>
      <c r="K363">
        <v>17</v>
      </c>
      <c r="L363">
        <v>82.680980000000005</v>
      </c>
      <c r="M363">
        <v>82.6</v>
      </c>
      <c r="P363">
        <v>4.7899411790000004</v>
      </c>
      <c r="Q363">
        <v>3802.26316</v>
      </c>
      <c r="R363">
        <v>5.39</v>
      </c>
      <c r="S363">
        <v>22966</v>
      </c>
      <c r="T363">
        <v>17.189876999999999</v>
      </c>
      <c r="U363">
        <v>-88.497649999999993</v>
      </c>
    </row>
    <row r="364" spans="1:21">
      <c r="A364" t="s">
        <v>38</v>
      </c>
      <c r="B364">
        <v>2005</v>
      </c>
      <c r="C364">
        <v>9279.9449999999997</v>
      </c>
      <c r="D364">
        <v>469.99999880000001</v>
      </c>
      <c r="E364">
        <v>0.1</v>
      </c>
      <c r="F364">
        <v>0</v>
      </c>
      <c r="G364">
        <v>7.0000000000000007E-2</v>
      </c>
      <c r="H364">
        <v>41.176470000000002</v>
      </c>
      <c r="I364">
        <v>134.99</v>
      </c>
      <c r="J364">
        <v>31.01</v>
      </c>
      <c r="K364">
        <v>17</v>
      </c>
      <c r="L364">
        <v>83.504776000000007</v>
      </c>
      <c r="M364">
        <v>82.9</v>
      </c>
      <c r="P364">
        <v>1.940903652</v>
      </c>
      <c r="Q364">
        <v>3885.0340740000001</v>
      </c>
      <c r="R364">
        <v>5.21</v>
      </c>
      <c r="S364">
        <v>22966</v>
      </c>
      <c r="T364">
        <v>17.189876999999999</v>
      </c>
      <c r="U364">
        <v>-88.497649999999993</v>
      </c>
    </row>
    <row r="365" spans="1:21">
      <c r="A365" t="s">
        <v>38</v>
      </c>
      <c r="B365">
        <v>2006</v>
      </c>
      <c r="C365">
        <v>10366.804</v>
      </c>
      <c r="D365">
        <v>509.99999050000002</v>
      </c>
      <c r="E365">
        <v>0.05</v>
      </c>
      <c r="F365">
        <v>0</v>
      </c>
      <c r="G365">
        <v>0.18</v>
      </c>
      <c r="H365">
        <v>78.260869999999997</v>
      </c>
      <c r="I365">
        <v>142.84</v>
      </c>
      <c r="J365">
        <v>36.799999999999997</v>
      </c>
      <c r="K365">
        <v>17</v>
      </c>
      <c r="L365">
        <v>90.988529999999997</v>
      </c>
      <c r="M365">
        <v>83.2</v>
      </c>
      <c r="P365">
        <v>4.8254804169999996</v>
      </c>
      <c r="Q365">
        <v>4155.3238849999998</v>
      </c>
      <c r="R365">
        <v>5.45</v>
      </c>
      <c r="S365">
        <v>22966</v>
      </c>
      <c r="T365">
        <v>17.189876999999999</v>
      </c>
      <c r="U365">
        <v>-88.497649999999993</v>
      </c>
    </row>
    <row r="366" spans="1:21">
      <c r="A366" t="s">
        <v>38</v>
      </c>
      <c r="B366">
        <v>2007</v>
      </c>
      <c r="C366">
        <v>9503.8040000000001</v>
      </c>
      <c r="D366">
        <v>529.99997140000005</v>
      </c>
      <c r="E366">
        <v>0.06</v>
      </c>
      <c r="F366">
        <v>0</v>
      </c>
      <c r="G366">
        <v>0.18</v>
      </c>
      <c r="H366">
        <v>75</v>
      </c>
      <c r="I366">
        <v>139.4</v>
      </c>
      <c r="J366">
        <v>32.31</v>
      </c>
      <c r="K366">
        <v>17</v>
      </c>
      <c r="L366">
        <v>85.160640000000001</v>
      </c>
      <c r="M366">
        <v>83.3</v>
      </c>
      <c r="P366">
        <v>0.511014407</v>
      </c>
      <c r="Q366">
        <v>4252.3954039999999</v>
      </c>
      <c r="R366">
        <v>5.4</v>
      </c>
      <c r="S366">
        <v>22966</v>
      </c>
      <c r="T366">
        <v>17.189876999999999</v>
      </c>
      <c r="U366">
        <v>-88.497649999999993</v>
      </c>
    </row>
    <row r="367" spans="1:21">
      <c r="A367" t="s">
        <v>38</v>
      </c>
      <c r="B367">
        <v>2008</v>
      </c>
      <c r="C367">
        <v>8935.5450000000001</v>
      </c>
      <c r="D367">
        <v>500</v>
      </c>
      <c r="E367">
        <v>0.03</v>
      </c>
      <c r="F367">
        <v>0</v>
      </c>
      <c r="G367">
        <v>0.2</v>
      </c>
      <c r="H367">
        <v>86.956519999999998</v>
      </c>
      <c r="I367">
        <v>136.30000000000001</v>
      </c>
      <c r="J367">
        <v>34.06</v>
      </c>
      <c r="K367">
        <v>17</v>
      </c>
      <c r="L367">
        <v>85.998059999999995</v>
      </c>
      <c r="M367">
        <v>83.5</v>
      </c>
      <c r="P367">
        <v>3.4898052609999999</v>
      </c>
      <c r="Q367">
        <v>4404.3081979999997</v>
      </c>
      <c r="R367">
        <v>4.9000000000000004</v>
      </c>
      <c r="S367">
        <v>22966</v>
      </c>
      <c r="T367">
        <v>17.189876999999999</v>
      </c>
      <c r="U367">
        <v>-88.497649999999993</v>
      </c>
    </row>
    <row r="368" spans="1:21">
      <c r="A368" t="s">
        <v>38</v>
      </c>
      <c r="B368">
        <v>2009</v>
      </c>
      <c r="C368">
        <v>9060.7569999999996</v>
      </c>
      <c r="D368">
        <v>1460.0000379999999</v>
      </c>
      <c r="E368">
        <v>0.05</v>
      </c>
      <c r="F368">
        <v>0</v>
      </c>
      <c r="G368">
        <v>0.2</v>
      </c>
      <c r="H368">
        <v>80</v>
      </c>
      <c r="I368">
        <v>201.51</v>
      </c>
      <c r="J368">
        <v>29.18</v>
      </c>
      <c r="K368">
        <v>17</v>
      </c>
      <c r="L368">
        <v>86.845429999999993</v>
      </c>
      <c r="M368">
        <v>83.4</v>
      </c>
      <c r="O368">
        <v>4660000</v>
      </c>
      <c r="P368">
        <v>0.217460774</v>
      </c>
      <c r="Q368">
        <v>4186.5199979999998</v>
      </c>
      <c r="R368">
        <v>5.32</v>
      </c>
      <c r="S368">
        <v>22966</v>
      </c>
      <c r="T368">
        <v>17.189876999999999</v>
      </c>
      <c r="U368">
        <v>-88.497649999999993</v>
      </c>
    </row>
    <row r="369" spans="1:21">
      <c r="A369" t="s">
        <v>38</v>
      </c>
      <c r="B369">
        <v>2010</v>
      </c>
      <c r="C369">
        <v>10492.445</v>
      </c>
      <c r="D369">
        <v>560.00000239999997</v>
      </c>
      <c r="E369">
        <v>0.18</v>
      </c>
      <c r="F369">
        <v>0</v>
      </c>
      <c r="G369">
        <v>0.31</v>
      </c>
      <c r="H369">
        <v>63.265304999999998</v>
      </c>
      <c r="I369">
        <v>196.87</v>
      </c>
      <c r="J369">
        <v>32.93</v>
      </c>
      <c r="K369">
        <v>17</v>
      </c>
      <c r="L369">
        <v>89.91722</v>
      </c>
      <c r="M369">
        <v>83.6</v>
      </c>
      <c r="P369">
        <v>3.0035272559999999</v>
      </c>
      <c r="Q369">
        <v>4270.7800850000003</v>
      </c>
      <c r="R369">
        <v>5.44</v>
      </c>
      <c r="S369">
        <v>22966</v>
      </c>
      <c r="T369">
        <v>17.189876999999999</v>
      </c>
      <c r="U369">
        <v>-88.497649999999993</v>
      </c>
    </row>
    <row r="370" spans="1:21">
      <c r="A370" t="s">
        <v>38</v>
      </c>
      <c r="B370">
        <v>2011</v>
      </c>
      <c r="C370">
        <v>8946.3799999999992</v>
      </c>
      <c r="D370">
        <v>670.00001669999995</v>
      </c>
      <c r="E370">
        <v>0.14000000000000001</v>
      </c>
      <c r="F370">
        <v>0</v>
      </c>
      <c r="G370">
        <v>0.28999999999999998</v>
      </c>
      <c r="H370">
        <v>67.441860000000005</v>
      </c>
      <c r="I370">
        <v>252.34</v>
      </c>
      <c r="J370">
        <v>44.36</v>
      </c>
      <c r="K370">
        <v>17</v>
      </c>
      <c r="L370">
        <v>91.681730000000002</v>
      </c>
      <c r="M370">
        <v>83.4</v>
      </c>
      <c r="P370">
        <v>1.9182520139999999</v>
      </c>
      <c r="Q370">
        <v>4423.4968419999996</v>
      </c>
      <c r="R370">
        <v>6.31</v>
      </c>
      <c r="S370">
        <v>22966</v>
      </c>
      <c r="T370">
        <v>17.189876999999999</v>
      </c>
      <c r="U370">
        <v>-88.497649999999993</v>
      </c>
    </row>
    <row r="371" spans="1:21">
      <c r="A371" t="s">
        <v>38</v>
      </c>
      <c r="B371">
        <v>2012</v>
      </c>
      <c r="C371">
        <v>9087.1319999999996</v>
      </c>
      <c r="D371">
        <v>670.00001669999995</v>
      </c>
      <c r="E371">
        <v>0.2</v>
      </c>
      <c r="F371">
        <v>0</v>
      </c>
      <c r="G371">
        <v>0.27</v>
      </c>
      <c r="H371">
        <v>57.446809999999999</v>
      </c>
      <c r="I371">
        <v>249.69</v>
      </c>
      <c r="J371">
        <v>50.07</v>
      </c>
      <c r="K371">
        <v>17</v>
      </c>
      <c r="L371">
        <v>90.995919999999998</v>
      </c>
      <c r="M371">
        <v>83.3</v>
      </c>
      <c r="P371">
        <v>2.4217631420000001</v>
      </c>
      <c r="Q371">
        <v>4505.6005930000001</v>
      </c>
      <c r="R371">
        <v>5.45</v>
      </c>
      <c r="S371">
        <v>22966</v>
      </c>
      <c r="T371">
        <v>17.189876999999999</v>
      </c>
      <c r="U371">
        <v>-88.497649999999993</v>
      </c>
    </row>
    <row r="372" spans="1:21">
      <c r="A372" t="s">
        <v>38</v>
      </c>
      <c r="B372">
        <v>2013</v>
      </c>
      <c r="C372">
        <v>9683.3040000000001</v>
      </c>
      <c r="D372">
        <v>460.00000829999999</v>
      </c>
      <c r="E372">
        <v>0.15</v>
      </c>
      <c r="F372">
        <v>0</v>
      </c>
      <c r="G372">
        <v>0.3</v>
      </c>
      <c r="H372">
        <v>66.666669999999996</v>
      </c>
      <c r="I372">
        <v>244.22</v>
      </c>
      <c r="J372">
        <v>40.99</v>
      </c>
      <c r="K372">
        <v>17</v>
      </c>
      <c r="L372">
        <v>91.186104</v>
      </c>
      <c r="M372">
        <v>83.3</v>
      </c>
      <c r="P372">
        <v>1.2940847550000001</v>
      </c>
      <c r="Q372">
        <v>4568.6412280000004</v>
      </c>
      <c r="R372">
        <v>5.03</v>
      </c>
      <c r="S372">
        <v>22966</v>
      </c>
      <c r="T372">
        <v>17.189876999999999</v>
      </c>
      <c r="U372">
        <v>-88.497649999999993</v>
      </c>
    </row>
    <row r="373" spans="1:21">
      <c r="A373" t="s">
        <v>38</v>
      </c>
      <c r="B373">
        <v>2014</v>
      </c>
      <c r="C373">
        <v>9421.4599999999991</v>
      </c>
      <c r="D373">
        <v>479.99998929999998</v>
      </c>
      <c r="E373">
        <v>0.19</v>
      </c>
      <c r="F373">
        <v>0</v>
      </c>
      <c r="G373">
        <v>0.32</v>
      </c>
      <c r="H373">
        <v>62.745100000000001</v>
      </c>
      <c r="I373">
        <v>240.8</v>
      </c>
      <c r="J373">
        <v>37.47</v>
      </c>
      <c r="K373">
        <v>17</v>
      </c>
      <c r="L373">
        <v>91.364260000000002</v>
      </c>
      <c r="M373">
        <v>83</v>
      </c>
      <c r="P373">
        <v>4.0376956740000001</v>
      </c>
      <c r="Q373">
        <v>4718.4365809999999</v>
      </c>
      <c r="R373">
        <v>4.9000000000000004</v>
      </c>
      <c r="S373">
        <v>22966</v>
      </c>
      <c r="T373">
        <v>17.189876999999999</v>
      </c>
      <c r="U373">
        <v>-88.497649999999993</v>
      </c>
    </row>
    <row r="374" spans="1:21">
      <c r="A374" t="s">
        <v>38</v>
      </c>
      <c r="B374">
        <v>2015</v>
      </c>
      <c r="C374">
        <v>10197.744000000001</v>
      </c>
      <c r="D374">
        <v>680.00000720000003</v>
      </c>
      <c r="E374">
        <v>0.23</v>
      </c>
      <c r="F374">
        <v>0</v>
      </c>
      <c r="G374">
        <v>0.31</v>
      </c>
      <c r="H374">
        <v>57.407406000000002</v>
      </c>
      <c r="I374">
        <v>239.36</v>
      </c>
      <c r="J374">
        <v>30.34</v>
      </c>
      <c r="K374">
        <v>17</v>
      </c>
      <c r="L374">
        <v>91.8</v>
      </c>
      <c r="M374">
        <v>82.9</v>
      </c>
      <c r="O374">
        <v>20000</v>
      </c>
      <c r="P374">
        <v>2.637862422</v>
      </c>
      <c r="Q374">
        <v>4770.2326560000001</v>
      </c>
      <c r="R374">
        <v>5.84</v>
      </c>
      <c r="S374">
        <v>22966</v>
      </c>
      <c r="T374">
        <v>17.189876999999999</v>
      </c>
      <c r="U374">
        <v>-88.497649999999993</v>
      </c>
    </row>
    <row r="375" spans="1:21">
      <c r="A375" t="s">
        <v>38</v>
      </c>
      <c r="B375">
        <v>2016</v>
      </c>
      <c r="C375">
        <v>10002.819</v>
      </c>
      <c r="D375">
        <v>649.99997619999999</v>
      </c>
      <c r="E375">
        <v>0.21</v>
      </c>
      <c r="F375">
        <v>0</v>
      </c>
      <c r="G375">
        <v>0.32</v>
      </c>
      <c r="H375">
        <v>60.377360000000003</v>
      </c>
      <c r="I375">
        <v>277.93</v>
      </c>
      <c r="J375">
        <v>33.380000000000003</v>
      </c>
      <c r="K375">
        <v>17</v>
      </c>
      <c r="L375">
        <v>93.222309999999993</v>
      </c>
      <c r="M375">
        <v>82.8</v>
      </c>
      <c r="O375">
        <v>1690000</v>
      </c>
      <c r="P375">
        <v>-3.3233631999999999E-2</v>
      </c>
      <c r="Q375">
        <v>4856.9732489999997</v>
      </c>
      <c r="R375">
        <v>5.75</v>
      </c>
      <c r="S375">
        <v>22966</v>
      </c>
      <c r="T375">
        <v>17.189876999999999</v>
      </c>
      <c r="U375">
        <v>-88.497649999999993</v>
      </c>
    </row>
    <row r="376" spans="1:21">
      <c r="A376" t="s">
        <v>38</v>
      </c>
      <c r="B376">
        <v>2017</v>
      </c>
      <c r="C376">
        <v>10896.960999999999</v>
      </c>
      <c r="D376">
        <v>639.99998570000002</v>
      </c>
      <c r="E376">
        <v>0.35</v>
      </c>
      <c r="F376">
        <v>0</v>
      </c>
      <c r="G376">
        <v>0.41</v>
      </c>
      <c r="H376">
        <v>53.947369999999999</v>
      </c>
      <c r="I376">
        <v>293.77</v>
      </c>
      <c r="J376">
        <v>36.25</v>
      </c>
      <c r="K376">
        <v>17</v>
      </c>
      <c r="L376">
        <v>94.189009999999996</v>
      </c>
      <c r="M376">
        <v>82.6</v>
      </c>
      <c r="O376">
        <v>10000</v>
      </c>
      <c r="P376">
        <v>1.8136820330000001</v>
      </c>
      <c r="Q376">
        <v>4945.8576990000001</v>
      </c>
      <c r="R376">
        <v>5.92</v>
      </c>
      <c r="S376">
        <v>22966</v>
      </c>
      <c r="T376">
        <v>17.189876999999999</v>
      </c>
      <c r="U376">
        <v>-88.497649999999993</v>
      </c>
    </row>
    <row r="377" spans="1:21">
      <c r="A377" t="s">
        <v>38</v>
      </c>
      <c r="B377">
        <v>2018</v>
      </c>
      <c r="C377">
        <v>9546.0480000000007</v>
      </c>
      <c r="D377">
        <v>629.99999519999994</v>
      </c>
      <c r="E377">
        <v>0.39</v>
      </c>
      <c r="F377">
        <v>0</v>
      </c>
      <c r="G377">
        <v>0.4</v>
      </c>
      <c r="H377">
        <v>50.632910000000003</v>
      </c>
      <c r="I377">
        <v>288.91000000000003</v>
      </c>
      <c r="J377">
        <v>34.64</v>
      </c>
      <c r="K377">
        <v>17</v>
      </c>
      <c r="L377">
        <v>91.72</v>
      </c>
      <c r="M377">
        <v>82.4</v>
      </c>
      <c r="O377">
        <v>15950000</v>
      </c>
      <c r="P377">
        <v>2.9060697310000001</v>
      </c>
      <c r="Q377">
        <v>5001.422157</v>
      </c>
      <c r="R377">
        <v>5.69</v>
      </c>
      <c r="S377">
        <v>22966</v>
      </c>
      <c r="T377">
        <v>17.189876999999999</v>
      </c>
      <c r="U377">
        <v>-88.497649999999993</v>
      </c>
    </row>
    <row r="378" spans="1:21">
      <c r="A378" t="s">
        <v>38</v>
      </c>
      <c r="B378">
        <v>2019</v>
      </c>
      <c r="C378">
        <v>9883.7369999999992</v>
      </c>
      <c r="D378">
        <v>639.99998570000002</v>
      </c>
      <c r="E378">
        <v>0.41</v>
      </c>
      <c r="F378">
        <v>0</v>
      </c>
      <c r="G378">
        <v>0.47</v>
      </c>
      <c r="H378">
        <v>53.409092000000001</v>
      </c>
      <c r="I378">
        <v>263.39999999999998</v>
      </c>
      <c r="J378">
        <v>29.09</v>
      </c>
      <c r="K378">
        <v>17</v>
      </c>
      <c r="L378">
        <v>92.72</v>
      </c>
      <c r="M378">
        <v>82.1</v>
      </c>
      <c r="O378">
        <v>260000</v>
      </c>
      <c r="P378">
        <v>1.762797913</v>
      </c>
      <c r="Q378">
        <v>5078.8099439999996</v>
      </c>
      <c r="R378">
        <v>6.12</v>
      </c>
      <c r="S378">
        <v>22966</v>
      </c>
      <c r="T378">
        <v>17.189876999999999</v>
      </c>
      <c r="U378">
        <v>-88.497649999999993</v>
      </c>
    </row>
    <row r="379" spans="1:21">
      <c r="A379" t="s">
        <v>38</v>
      </c>
      <c r="B379">
        <v>2020</v>
      </c>
      <c r="C379">
        <v>7226.4336000000003</v>
      </c>
      <c r="E379">
        <v>0.38</v>
      </c>
      <c r="F379">
        <v>0</v>
      </c>
      <c r="G379">
        <v>0.24</v>
      </c>
      <c r="H379">
        <v>38.709679999999999</v>
      </c>
      <c r="I379">
        <v>258.70999999999998</v>
      </c>
      <c r="K379">
        <v>17</v>
      </c>
      <c r="L379">
        <v>97.113335000000006</v>
      </c>
      <c r="M379">
        <v>82.1</v>
      </c>
      <c r="P379">
        <v>-14.01053215</v>
      </c>
      <c r="Q379">
        <v>4115.1770079999997</v>
      </c>
      <c r="S379">
        <v>22966</v>
      </c>
      <c r="T379">
        <v>17.189876999999999</v>
      </c>
      <c r="U379">
        <v>-88.497649999999993</v>
      </c>
    </row>
    <row r="380" spans="1:21">
      <c r="A380" t="s">
        <v>39</v>
      </c>
      <c r="B380">
        <v>2000</v>
      </c>
      <c r="C380">
        <v>980.96387000000004</v>
      </c>
      <c r="D380">
        <v>1420</v>
      </c>
      <c r="E380">
        <v>0.08</v>
      </c>
      <c r="F380">
        <v>0</v>
      </c>
      <c r="G380">
        <v>0</v>
      </c>
      <c r="H380">
        <v>0</v>
      </c>
      <c r="I380">
        <v>7.0000000000000007E-2</v>
      </c>
      <c r="J380">
        <v>70.290000000000006</v>
      </c>
      <c r="K380">
        <v>108</v>
      </c>
      <c r="L380">
        <v>21.531084</v>
      </c>
      <c r="M380">
        <v>0.6</v>
      </c>
      <c r="P380">
        <v>5.8577142049999997</v>
      </c>
      <c r="Q380">
        <v>512.673902</v>
      </c>
      <c r="R380">
        <v>4.88</v>
      </c>
      <c r="S380">
        <v>112622</v>
      </c>
      <c r="T380">
        <v>9.3076899999999991</v>
      </c>
      <c r="U380">
        <v>2.3158340000000002</v>
      </c>
    </row>
    <row r="381" spans="1:21">
      <c r="A381" t="s">
        <v>39</v>
      </c>
      <c r="B381">
        <v>2001</v>
      </c>
      <c r="C381">
        <v>1083.3461</v>
      </c>
      <c r="D381">
        <v>1740</v>
      </c>
      <c r="E381">
        <v>0.06</v>
      </c>
      <c r="F381">
        <v>0</v>
      </c>
      <c r="G381">
        <v>0</v>
      </c>
      <c r="H381">
        <v>0</v>
      </c>
      <c r="I381">
        <v>7.0000000000000007E-2</v>
      </c>
      <c r="J381">
        <v>66.86</v>
      </c>
      <c r="K381">
        <v>108</v>
      </c>
      <c r="L381">
        <v>21.9</v>
      </c>
      <c r="M381">
        <v>0.8</v>
      </c>
      <c r="P381">
        <v>5.3331357060000002</v>
      </c>
      <c r="Q381">
        <v>518.06747410000003</v>
      </c>
      <c r="R381">
        <v>4.93</v>
      </c>
      <c r="S381">
        <v>112622</v>
      </c>
      <c r="T381">
        <v>9.3076899999999991</v>
      </c>
      <c r="U381">
        <v>2.3158340000000002</v>
      </c>
    </row>
    <row r="382" spans="1:21">
      <c r="A382" t="s">
        <v>39</v>
      </c>
      <c r="B382">
        <v>2002</v>
      </c>
      <c r="C382">
        <v>1204.5461</v>
      </c>
      <c r="D382">
        <v>2180.0000669999999</v>
      </c>
      <c r="E382">
        <v>0.06</v>
      </c>
      <c r="F382">
        <v>0</v>
      </c>
      <c r="G382">
        <v>0</v>
      </c>
      <c r="H382">
        <v>0</v>
      </c>
      <c r="I382">
        <v>7.0000000000000007E-2</v>
      </c>
      <c r="J382">
        <v>64.040000000000006</v>
      </c>
      <c r="K382">
        <v>108</v>
      </c>
      <c r="L382">
        <v>23.415928000000001</v>
      </c>
      <c r="M382">
        <v>1</v>
      </c>
      <c r="O382">
        <v>90000</v>
      </c>
      <c r="P382">
        <v>4.6430308709999997</v>
      </c>
      <c r="Q382">
        <v>574.92979820000005</v>
      </c>
      <c r="R382">
        <v>5.05</v>
      </c>
      <c r="S382">
        <v>112622</v>
      </c>
      <c r="T382">
        <v>9.3076899999999991</v>
      </c>
      <c r="U382">
        <v>2.3158340000000002</v>
      </c>
    </row>
    <row r="383" spans="1:21">
      <c r="A383" t="s">
        <v>39</v>
      </c>
      <c r="B383">
        <v>2003</v>
      </c>
      <c r="C383">
        <v>1357.0038999999999</v>
      </c>
      <c r="D383">
        <v>2440.0000570000002</v>
      </c>
      <c r="E383">
        <v>7.0000000000000007E-2</v>
      </c>
      <c r="F383">
        <v>0</v>
      </c>
      <c r="G383">
        <v>0</v>
      </c>
      <c r="H383">
        <v>0</v>
      </c>
      <c r="I383">
        <v>7.0000000000000007E-2</v>
      </c>
      <c r="J383">
        <v>61.73</v>
      </c>
      <c r="K383">
        <v>108</v>
      </c>
      <c r="L383">
        <v>24.349322999999998</v>
      </c>
      <c r="M383">
        <v>1.3</v>
      </c>
      <c r="P383">
        <v>3.443576776</v>
      </c>
      <c r="Q383">
        <v>711.28495480000004</v>
      </c>
      <c r="R383">
        <v>5.15</v>
      </c>
      <c r="S383">
        <v>112622</v>
      </c>
      <c r="T383">
        <v>9.3076899999999991</v>
      </c>
      <c r="U383">
        <v>2.3158340000000002</v>
      </c>
    </row>
    <row r="384" spans="1:21">
      <c r="A384" t="s">
        <v>39</v>
      </c>
      <c r="B384">
        <v>2004</v>
      </c>
      <c r="C384">
        <v>1388.154</v>
      </c>
      <c r="D384">
        <v>2650.0000949999999</v>
      </c>
      <c r="E384">
        <v>0.08</v>
      </c>
      <c r="F384">
        <v>0</v>
      </c>
      <c r="G384">
        <v>0</v>
      </c>
      <c r="H384">
        <v>0</v>
      </c>
      <c r="I384">
        <v>0.06</v>
      </c>
      <c r="J384">
        <v>60.69</v>
      </c>
      <c r="K384">
        <v>108</v>
      </c>
      <c r="L384">
        <v>25.279833</v>
      </c>
      <c r="M384">
        <v>1.7</v>
      </c>
      <c r="O384">
        <v>0</v>
      </c>
      <c r="P384">
        <v>4.4296845539999996</v>
      </c>
      <c r="Q384">
        <v>798.7443045</v>
      </c>
      <c r="R384">
        <v>5.15</v>
      </c>
      <c r="S384">
        <v>112622</v>
      </c>
      <c r="T384">
        <v>9.3076899999999991</v>
      </c>
      <c r="U384">
        <v>2.3158340000000002</v>
      </c>
    </row>
    <row r="385" spans="1:21">
      <c r="A385" t="s">
        <v>39</v>
      </c>
      <c r="B385">
        <v>2005</v>
      </c>
      <c r="C385">
        <v>1262.3933999999999</v>
      </c>
      <c r="D385">
        <v>2900.0000949999999</v>
      </c>
      <c r="E385">
        <v>0.1</v>
      </c>
      <c r="F385">
        <v>0</v>
      </c>
      <c r="G385">
        <v>0</v>
      </c>
      <c r="H385">
        <v>0</v>
      </c>
      <c r="I385">
        <v>0.06</v>
      </c>
      <c r="J385">
        <v>59.2</v>
      </c>
      <c r="K385">
        <v>108</v>
      </c>
      <c r="L385">
        <v>26.209804999999999</v>
      </c>
      <c r="M385">
        <v>2.1</v>
      </c>
      <c r="P385">
        <v>1.7131645639999999</v>
      </c>
      <c r="Q385">
        <v>822.78514310000003</v>
      </c>
      <c r="R385">
        <v>5.08</v>
      </c>
      <c r="S385">
        <v>112622</v>
      </c>
      <c r="T385">
        <v>9.3076899999999991</v>
      </c>
      <c r="U385">
        <v>2.3158340000000002</v>
      </c>
    </row>
    <row r="386" spans="1:21">
      <c r="A386" t="s">
        <v>39</v>
      </c>
      <c r="B386">
        <v>2006</v>
      </c>
      <c r="C386">
        <v>1672.0192</v>
      </c>
      <c r="D386">
        <v>3470.0000289999998</v>
      </c>
      <c r="E386">
        <v>0.14000000000000001</v>
      </c>
      <c r="F386">
        <v>0</v>
      </c>
      <c r="G386">
        <v>0</v>
      </c>
      <c r="H386">
        <v>0</v>
      </c>
      <c r="I386">
        <v>0.06</v>
      </c>
      <c r="J386">
        <v>57.31</v>
      </c>
      <c r="K386">
        <v>108</v>
      </c>
      <c r="L386">
        <v>27.9</v>
      </c>
      <c r="M386">
        <v>2.5</v>
      </c>
      <c r="O386">
        <v>8540000</v>
      </c>
      <c r="P386">
        <v>3.9437388279999999</v>
      </c>
      <c r="Q386">
        <v>856.05491659999996</v>
      </c>
      <c r="R386">
        <v>5.76</v>
      </c>
      <c r="S386">
        <v>112622</v>
      </c>
      <c r="T386">
        <v>9.3076899999999991</v>
      </c>
      <c r="U386">
        <v>2.3158340000000002</v>
      </c>
    </row>
    <row r="387" spans="1:21">
      <c r="A387" t="s">
        <v>39</v>
      </c>
      <c r="B387">
        <v>2007</v>
      </c>
      <c r="C387">
        <v>1918.3821</v>
      </c>
      <c r="D387">
        <v>4000</v>
      </c>
      <c r="E387">
        <v>0.2</v>
      </c>
      <c r="F387">
        <v>0</v>
      </c>
      <c r="G387">
        <v>0</v>
      </c>
      <c r="H387">
        <v>0</v>
      </c>
      <c r="I387">
        <v>0.06</v>
      </c>
      <c r="J387">
        <v>54.49</v>
      </c>
      <c r="K387">
        <v>108</v>
      </c>
      <c r="L387">
        <v>28.078016000000002</v>
      </c>
      <c r="M387">
        <v>2.9</v>
      </c>
      <c r="P387">
        <v>5.9863493219999997</v>
      </c>
      <c r="Q387">
        <v>966.20361830000002</v>
      </c>
      <c r="R387">
        <v>5.91</v>
      </c>
      <c r="S387">
        <v>112622</v>
      </c>
      <c r="T387">
        <v>9.3076899999999991</v>
      </c>
      <c r="U387">
        <v>2.3158340000000002</v>
      </c>
    </row>
    <row r="388" spans="1:21">
      <c r="A388" t="s">
        <v>39</v>
      </c>
      <c r="B388">
        <v>2008</v>
      </c>
      <c r="C388">
        <v>1904.8895</v>
      </c>
      <c r="D388">
        <v>4019.9999809999999</v>
      </c>
      <c r="E388">
        <v>0.21</v>
      </c>
      <c r="F388">
        <v>0</v>
      </c>
      <c r="G388">
        <v>0</v>
      </c>
      <c r="H388">
        <v>0</v>
      </c>
      <c r="I388">
        <v>0.06</v>
      </c>
      <c r="J388">
        <v>54.76</v>
      </c>
      <c r="K388">
        <v>108</v>
      </c>
      <c r="L388">
        <v>29.021614</v>
      </c>
      <c r="M388">
        <v>3.4</v>
      </c>
      <c r="O388">
        <v>570000</v>
      </c>
      <c r="P388">
        <v>4.8965770839999996</v>
      </c>
      <c r="Q388">
        <v>1125.426134</v>
      </c>
      <c r="R388">
        <v>5.76</v>
      </c>
      <c r="S388">
        <v>112622</v>
      </c>
      <c r="T388">
        <v>9.3076899999999991</v>
      </c>
      <c r="U388">
        <v>2.3158340000000002</v>
      </c>
    </row>
    <row r="389" spans="1:21">
      <c r="A389" t="s">
        <v>39</v>
      </c>
      <c r="B389">
        <v>2009</v>
      </c>
      <c r="C389">
        <v>2054.2150000000001</v>
      </c>
      <c r="D389">
        <v>4420.0000760000003</v>
      </c>
      <c r="E389">
        <v>0.12</v>
      </c>
      <c r="F389">
        <v>0</v>
      </c>
      <c r="G389">
        <v>0</v>
      </c>
      <c r="H389">
        <v>0</v>
      </c>
      <c r="I389">
        <v>0.06</v>
      </c>
      <c r="J389">
        <v>52.83</v>
      </c>
      <c r="K389">
        <v>108</v>
      </c>
      <c r="L389">
        <v>29.975151</v>
      </c>
      <c r="M389">
        <v>3.7</v>
      </c>
      <c r="O389">
        <v>8850000</v>
      </c>
      <c r="P389">
        <v>2.3192921389999999</v>
      </c>
      <c r="Q389">
        <v>1088.757906</v>
      </c>
      <c r="R389">
        <v>5.91</v>
      </c>
      <c r="S389">
        <v>112622</v>
      </c>
      <c r="T389">
        <v>9.3076899999999991</v>
      </c>
      <c r="U389">
        <v>2.3158340000000002</v>
      </c>
    </row>
    <row r="390" spans="1:21">
      <c r="A390" t="s">
        <v>39</v>
      </c>
      <c r="B390">
        <v>2010</v>
      </c>
      <c r="C390">
        <v>2287.7692999999999</v>
      </c>
      <c r="D390">
        <v>4829.9999239999997</v>
      </c>
      <c r="E390">
        <v>0.11</v>
      </c>
      <c r="F390">
        <v>0</v>
      </c>
      <c r="G390">
        <v>0</v>
      </c>
      <c r="H390">
        <v>0</v>
      </c>
      <c r="I390">
        <v>0.05</v>
      </c>
      <c r="J390">
        <v>47.19</v>
      </c>
      <c r="K390">
        <v>108</v>
      </c>
      <c r="L390">
        <v>34.200000000000003</v>
      </c>
      <c r="M390">
        <v>4</v>
      </c>
      <c r="O390">
        <v>170000</v>
      </c>
      <c r="P390">
        <v>2.1140647260000001</v>
      </c>
      <c r="Q390">
        <v>1036.5345150000001</v>
      </c>
      <c r="R390">
        <v>6</v>
      </c>
      <c r="S390">
        <v>112622</v>
      </c>
      <c r="T390">
        <v>9.3076899999999991</v>
      </c>
      <c r="U390">
        <v>2.3158340000000002</v>
      </c>
    </row>
    <row r="391" spans="1:21">
      <c r="A391" t="s">
        <v>39</v>
      </c>
      <c r="B391">
        <v>2011</v>
      </c>
      <c r="C391">
        <v>2071.1876999999999</v>
      </c>
      <c r="D391">
        <v>4650.0000950000003</v>
      </c>
      <c r="E391">
        <v>0.09</v>
      </c>
      <c r="F391">
        <v>0</v>
      </c>
      <c r="G391">
        <v>0</v>
      </c>
      <c r="H391">
        <v>0</v>
      </c>
      <c r="I391">
        <v>0.05</v>
      </c>
      <c r="J391">
        <v>48.7</v>
      </c>
      <c r="K391">
        <v>108</v>
      </c>
      <c r="L391">
        <v>36.9</v>
      </c>
      <c r="M391">
        <v>4.0999999999999996</v>
      </c>
      <c r="O391">
        <v>370000</v>
      </c>
      <c r="P391">
        <v>2.963752919</v>
      </c>
      <c r="Q391">
        <v>1130.2732510000001</v>
      </c>
      <c r="R391">
        <v>5.82</v>
      </c>
      <c r="S391">
        <v>112622</v>
      </c>
      <c r="T391">
        <v>9.3076899999999991</v>
      </c>
      <c r="U391">
        <v>2.3158340000000002</v>
      </c>
    </row>
    <row r="392" spans="1:21">
      <c r="A392" t="s">
        <v>39</v>
      </c>
      <c r="B392">
        <v>2012</v>
      </c>
      <c r="C392">
        <v>1909.2642000000001</v>
      </c>
      <c r="D392">
        <v>4440.0000570000002</v>
      </c>
      <c r="E392">
        <v>0.05</v>
      </c>
      <c r="F392">
        <v>0</v>
      </c>
      <c r="G392">
        <v>0</v>
      </c>
      <c r="H392">
        <v>0</v>
      </c>
      <c r="I392">
        <v>0.05</v>
      </c>
      <c r="J392">
        <v>50.33</v>
      </c>
      <c r="K392">
        <v>108</v>
      </c>
      <c r="L392">
        <v>38.4</v>
      </c>
      <c r="M392">
        <v>4.3</v>
      </c>
      <c r="O392">
        <v>70000</v>
      </c>
      <c r="P392">
        <v>4.8112233160000004</v>
      </c>
      <c r="Q392">
        <v>1145.1401049999999</v>
      </c>
      <c r="R392">
        <v>5.61</v>
      </c>
      <c r="S392">
        <v>112622</v>
      </c>
      <c r="T392">
        <v>9.3076899999999991</v>
      </c>
      <c r="U392">
        <v>2.3158340000000002</v>
      </c>
    </row>
    <row r="393" spans="1:21">
      <c r="A393" t="s">
        <v>39</v>
      </c>
      <c r="B393">
        <v>2013</v>
      </c>
      <c r="C393">
        <v>1889.7343000000001</v>
      </c>
      <c r="D393">
        <v>4679.999828</v>
      </c>
      <c r="E393">
        <v>0.09</v>
      </c>
      <c r="F393">
        <v>0</v>
      </c>
      <c r="G393">
        <v>0</v>
      </c>
      <c r="H393">
        <v>0</v>
      </c>
      <c r="I393">
        <v>0.05</v>
      </c>
      <c r="J393">
        <v>51.97</v>
      </c>
      <c r="K393">
        <v>108</v>
      </c>
      <c r="L393">
        <v>34.691220000000001</v>
      </c>
      <c r="M393">
        <v>4.3</v>
      </c>
      <c r="P393">
        <v>7.1914337210000001</v>
      </c>
      <c r="Q393">
        <v>1251.2097670000001</v>
      </c>
      <c r="R393">
        <v>5.71</v>
      </c>
      <c r="S393">
        <v>112622</v>
      </c>
      <c r="T393">
        <v>9.3076899999999991</v>
      </c>
      <c r="U393">
        <v>2.3158340000000002</v>
      </c>
    </row>
    <row r="394" spans="1:21">
      <c r="A394" t="s">
        <v>39</v>
      </c>
      <c r="B394">
        <v>2014</v>
      </c>
      <c r="C394">
        <v>1940.2653</v>
      </c>
      <c r="D394">
        <v>5190.0000570000002</v>
      </c>
      <c r="E394">
        <v>0.22</v>
      </c>
      <c r="F394">
        <v>0</v>
      </c>
      <c r="G394">
        <v>0</v>
      </c>
      <c r="H394">
        <v>0</v>
      </c>
      <c r="I394">
        <v>7.0000000000000007E-2</v>
      </c>
      <c r="J394">
        <v>51.05</v>
      </c>
      <c r="K394">
        <v>108</v>
      </c>
      <c r="L394">
        <v>34.1</v>
      </c>
      <c r="M394">
        <v>4.3</v>
      </c>
      <c r="O394">
        <v>12880000</v>
      </c>
      <c r="P394">
        <v>6.3576790980000002</v>
      </c>
      <c r="Q394">
        <v>1291.410185</v>
      </c>
      <c r="R394">
        <v>5.54</v>
      </c>
      <c r="S394">
        <v>112622</v>
      </c>
      <c r="T394">
        <v>9.3076899999999991</v>
      </c>
      <c r="U394">
        <v>2.3158340000000002</v>
      </c>
    </row>
    <row r="395" spans="1:21">
      <c r="A395" t="s">
        <v>39</v>
      </c>
      <c r="B395">
        <v>2015</v>
      </c>
      <c r="C395">
        <v>2083.4992999999999</v>
      </c>
      <c r="D395">
        <v>5510.0002290000002</v>
      </c>
      <c r="E395">
        <v>0.3</v>
      </c>
      <c r="F395">
        <v>0</v>
      </c>
      <c r="G395">
        <v>0</v>
      </c>
      <c r="H395">
        <v>0</v>
      </c>
      <c r="I395">
        <v>0.16</v>
      </c>
      <c r="J395">
        <v>49.94</v>
      </c>
      <c r="K395">
        <v>108</v>
      </c>
      <c r="L395">
        <v>29.62</v>
      </c>
      <c r="M395">
        <v>4.3</v>
      </c>
      <c r="O395">
        <v>571900000</v>
      </c>
      <c r="P395">
        <v>1.7781510599999999</v>
      </c>
      <c r="Q395">
        <v>1076.7966980000001</v>
      </c>
      <c r="R395">
        <v>5.79</v>
      </c>
      <c r="S395">
        <v>112622</v>
      </c>
      <c r="T395">
        <v>9.3076899999999991</v>
      </c>
      <c r="U395">
        <v>2.3158340000000002</v>
      </c>
    </row>
    <row r="396" spans="1:21">
      <c r="A396" t="s">
        <v>39</v>
      </c>
      <c r="B396">
        <v>2016</v>
      </c>
      <c r="C396">
        <v>2467.0088000000001</v>
      </c>
      <c r="D396">
        <v>6739.9997709999998</v>
      </c>
      <c r="E396">
        <v>0.25</v>
      </c>
      <c r="F396">
        <v>0</v>
      </c>
      <c r="G396">
        <v>0</v>
      </c>
      <c r="H396">
        <v>0</v>
      </c>
      <c r="I396">
        <v>0.31</v>
      </c>
      <c r="J396">
        <v>45.42</v>
      </c>
      <c r="K396">
        <v>108</v>
      </c>
      <c r="L396">
        <v>37.095244999999998</v>
      </c>
      <c r="M396">
        <v>4.3</v>
      </c>
      <c r="O396">
        <v>1280000</v>
      </c>
      <c r="P396">
        <v>3.3396734260000001</v>
      </c>
      <c r="Q396">
        <v>1087.287331</v>
      </c>
      <c r="R396">
        <v>6.22</v>
      </c>
      <c r="S396">
        <v>112622</v>
      </c>
      <c r="T396">
        <v>9.3076899999999991</v>
      </c>
      <c r="U396">
        <v>2.3158340000000002</v>
      </c>
    </row>
    <row r="397" spans="1:21">
      <c r="A397" t="s">
        <v>39</v>
      </c>
      <c r="B397">
        <v>2017</v>
      </c>
      <c r="C397">
        <v>2540.2249999999999</v>
      </c>
      <c r="D397">
        <v>6869.9998859999996</v>
      </c>
      <c r="E397">
        <v>0.31</v>
      </c>
      <c r="F397">
        <v>0</v>
      </c>
      <c r="G397">
        <v>0</v>
      </c>
      <c r="H397">
        <v>0</v>
      </c>
      <c r="I397">
        <v>0.3</v>
      </c>
      <c r="J397">
        <v>45.38</v>
      </c>
      <c r="K397">
        <v>108</v>
      </c>
      <c r="L397">
        <v>34.5</v>
      </c>
      <c r="M397">
        <v>4.2</v>
      </c>
      <c r="O397">
        <v>257820000</v>
      </c>
      <c r="P397">
        <v>5.6715554690000003</v>
      </c>
      <c r="Q397">
        <v>1136.5938719999999</v>
      </c>
      <c r="R397">
        <v>6.11</v>
      </c>
      <c r="S397">
        <v>112622</v>
      </c>
      <c r="T397">
        <v>9.3076899999999991</v>
      </c>
      <c r="U397">
        <v>2.3158340000000002</v>
      </c>
    </row>
    <row r="398" spans="1:21">
      <c r="A398" t="s">
        <v>39</v>
      </c>
      <c r="B398">
        <v>2018</v>
      </c>
      <c r="C398">
        <v>2736.8002999999999</v>
      </c>
      <c r="D398">
        <v>7420.0000760000003</v>
      </c>
      <c r="E398">
        <v>0.19</v>
      </c>
      <c r="F398">
        <v>0</v>
      </c>
      <c r="G398">
        <v>0</v>
      </c>
      <c r="H398">
        <v>0</v>
      </c>
      <c r="I398">
        <v>0.3</v>
      </c>
      <c r="J398">
        <v>43.97</v>
      </c>
      <c r="K398">
        <v>108</v>
      </c>
      <c r="L398">
        <v>39.246918000000001</v>
      </c>
      <c r="M398">
        <v>4.2</v>
      </c>
      <c r="O398">
        <v>1940000</v>
      </c>
      <c r="P398">
        <v>6.6972594609999998</v>
      </c>
      <c r="Q398">
        <v>1241.825298</v>
      </c>
      <c r="R398">
        <v>6.05</v>
      </c>
      <c r="S398">
        <v>112622</v>
      </c>
      <c r="T398">
        <v>9.3076899999999991</v>
      </c>
      <c r="U398">
        <v>2.3158340000000002</v>
      </c>
    </row>
    <row r="399" spans="1:21">
      <c r="A399" t="s">
        <v>39</v>
      </c>
      <c r="B399">
        <v>2019</v>
      </c>
      <c r="C399">
        <v>2416.1619999999998</v>
      </c>
      <c r="D399">
        <v>7300.0001910000001</v>
      </c>
      <c r="E399">
        <v>0.19</v>
      </c>
      <c r="F399">
        <v>0</v>
      </c>
      <c r="G399">
        <v>0.01</v>
      </c>
      <c r="H399">
        <v>5</v>
      </c>
      <c r="I399">
        <v>0.28999999999999998</v>
      </c>
      <c r="J399">
        <v>46.47</v>
      </c>
      <c r="K399">
        <v>108</v>
      </c>
      <c r="L399">
        <v>40.328690000000002</v>
      </c>
      <c r="M399">
        <v>4</v>
      </c>
      <c r="O399">
        <v>40000</v>
      </c>
      <c r="P399">
        <v>6.8656873359999997</v>
      </c>
      <c r="Q399">
        <v>1219.515506</v>
      </c>
      <c r="R399">
        <v>5.69</v>
      </c>
      <c r="S399">
        <v>112622</v>
      </c>
      <c r="T399">
        <v>9.3076899999999991</v>
      </c>
      <c r="U399">
        <v>2.3158340000000002</v>
      </c>
    </row>
    <row r="400" spans="1:21">
      <c r="A400" t="s">
        <v>39</v>
      </c>
      <c r="B400">
        <v>2020</v>
      </c>
      <c r="C400">
        <v>2518.6210000000001</v>
      </c>
      <c r="E400">
        <v>0.22</v>
      </c>
      <c r="F400">
        <v>0</v>
      </c>
      <c r="G400">
        <v>0.01</v>
      </c>
      <c r="H400">
        <v>4.3478260000000004</v>
      </c>
      <c r="I400">
        <v>0.28000000000000003</v>
      </c>
      <c r="K400">
        <v>108</v>
      </c>
      <c r="L400">
        <v>41.410957000000003</v>
      </c>
      <c r="M400">
        <v>4</v>
      </c>
      <c r="P400">
        <v>3.8487923999999998</v>
      </c>
      <c r="Q400">
        <v>1291.040972</v>
      </c>
      <c r="S400">
        <v>112622</v>
      </c>
      <c r="T400">
        <v>9.3076899999999991</v>
      </c>
      <c r="U400">
        <v>2.3158340000000002</v>
      </c>
    </row>
    <row r="401" spans="1:21">
      <c r="A401" t="s">
        <v>40</v>
      </c>
      <c r="B401">
        <v>2000</v>
      </c>
      <c r="C401">
        <v>39297.879999999997</v>
      </c>
      <c r="D401">
        <v>517.04700000000003</v>
      </c>
      <c r="E401">
        <v>0</v>
      </c>
      <c r="F401">
        <v>0</v>
      </c>
      <c r="G401">
        <v>0</v>
      </c>
      <c r="J401">
        <v>0.46</v>
      </c>
      <c r="K401">
        <v>1281</v>
      </c>
      <c r="L401">
        <v>100</v>
      </c>
      <c r="P401">
        <v>9.3171564109999991</v>
      </c>
      <c r="Q401">
        <v>56284.16865</v>
      </c>
      <c r="R401">
        <v>1.52</v>
      </c>
      <c r="S401">
        <v>54</v>
      </c>
      <c r="T401">
        <v>32.299506999999998</v>
      </c>
      <c r="U401">
        <v>-64.790336999999994</v>
      </c>
    </row>
    <row r="402" spans="1:21">
      <c r="A402" t="s">
        <v>40</v>
      </c>
      <c r="B402">
        <v>2001</v>
      </c>
      <c r="C402">
        <v>39604.938000000002</v>
      </c>
      <c r="D402">
        <v>528.048</v>
      </c>
      <c r="E402">
        <v>0</v>
      </c>
      <c r="F402">
        <v>0</v>
      </c>
      <c r="G402">
        <v>0</v>
      </c>
      <c r="J402">
        <v>0.54</v>
      </c>
      <c r="K402">
        <v>1281</v>
      </c>
      <c r="L402">
        <v>100</v>
      </c>
      <c r="P402">
        <v>7.222435538</v>
      </c>
      <c r="Q402">
        <v>58883.959430000003</v>
      </c>
      <c r="R402">
        <v>1.45</v>
      </c>
      <c r="S402">
        <v>54</v>
      </c>
      <c r="T402">
        <v>32.299506999999998</v>
      </c>
      <c r="U402">
        <v>-64.790336999999994</v>
      </c>
    </row>
    <row r="403" spans="1:21">
      <c r="A403" t="s">
        <v>40</v>
      </c>
      <c r="B403">
        <v>2002</v>
      </c>
      <c r="C403">
        <v>41429.879999999997</v>
      </c>
      <c r="D403">
        <v>557.38400000000001</v>
      </c>
      <c r="E403">
        <v>0</v>
      </c>
      <c r="F403">
        <v>0</v>
      </c>
      <c r="G403">
        <v>0</v>
      </c>
      <c r="J403">
        <v>0.51</v>
      </c>
      <c r="K403">
        <v>1281</v>
      </c>
      <c r="L403">
        <v>100</v>
      </c>
      <c r="P403">
        <v>-1.4777905979999999</v>
      </c>
      <c r="Q403">
        <v>62583.100200000001</v>
      </c>
      <c r="R403">
        <v>1.54</v>
      </c>
      <c r="S403">
        <v>54</v>
      </c>
      <c r="T403">
        <v>32.299506999999998</v>
      </c>
      <c r="U403">
        <v>-64.790336999999994</v>
      </c>
    </row>
    <row r="404" spans="1:21">
      <c r="A404" t="s">
        <v>40</v>
      </c>
      <c r="B404">
        <v>2003</v>
      </c>
      <c r="C404">
        <v>41114.773000000001</v>
      </c>
      <c r="D404">
        <v>561.05100000000004</v>
      </c>
      <c r="E404">
        <v>0</v>
      </c>
      <c r="F404">
        <v>0</v>
      </c>
      <c r="G404">
        <v>0</v>
      </c>
      <c r="J404">
        <v>0.51</v>
      </c>
      <c r="K404">
        <v>1281</v>
      </c>
      <c r="L404">
        <v>100</v>
      </c>
      <c r="P404">
        <v>3.4107066769999999</v>
      </c>
      <c r="Q404">
        <v>66111.725229999996</v>
      </c>
      <c r="R404">
        <v>1.5</v>
      </c>
      <c r="S404">
        <v>54</v>
      </c>
      <c r="T404">
        <v>32.299506999999998</v>
      </c>
      <c r="U404">
        <v>-64.790336999999994</v>
      </c>
    </row>
    <row r="405" spans="1:21">
      <c r="A405" t="s">
        <v>40</v>
      </c>
      <c r="B405">
        <v>2004</v>
      </c>
      <c r="C405">
        <v>42390.04</v>
      </c>
      <c r="D405">
        <v>583.053</v>
      </c>
      <c r="E405">
        <v>0</v>
      </c>
      <c r="F405">
        <v>0</v>
      </c>
      <c r="G405">
        <v>0</v>
      </c>
      <c r="J405">
        <v>0.52</v>
      </c>
      <c r="K405">
        <v>1281</v>
      </c>
      <c r="L405">
        <v>100</v>
      </c>
      <c r="P405">
        <v>2.321267223</v>
      </c>
      <c r="Q405">
        <v>70359.319109999997</v>
      </c>
      <c r="R405">
        <v>1.51</v>
      </c>
      <c r="S405">
        <v>54</v>
      </c>
      <c r="T405">
        <v>32.299506999999998</v>
      </c>
      <c r="U405">
        <v>-64.790336999999994</v>
      </c>
    </row>
    <row r="406" spans="1:21">
      <c r="A406" t="s">
        <v>40</v>
      </c>
      <c r="B406">
        <v>2005</v>
      </c>
      <c r="C406">
        <v>44480.98</v>
      </c>
      <c r="D406">
        <v>583.053</v>
      </c>
      <c r="E406">
        <v>0</v>
      </c>
      <c r="F406">
        <v>0</v>
      </c>
      <c r="G406">
        <v>0</v>
      </c>
      <c r="J406">
        <v>0.49</v>
      </c>
      <c r="K406">
        <v>1281</v>
      </c>
      <c r="L406">
        <v>100</v>
      </c>
      <c r="P406">
        <v>1.674206114</v>
      </c>
      <c r="Q406">
        <v>75882.033859999996</v>
      </c>
      <c r="R406">
        <v>1.48</v>
      </c>
      <c r="S406">
        <v>54</v>
      </c>
      <c r="T406">
        <v>32.299506999999998</v>
      </c>
      <c r="U406">
        <v>-64.790336999999994</v>
      </c>
    </row>
    <row r="407" spans="1:21">
      <c r="A407" t="s">
        <v>40</v>
      </c>
      <c r="B407">
        <v>2006</v>
      </c>
      <c r="C407">
        <v>50145.137000000002</v>
      </c>
      <c r="D407">
        <v>652.726</v>
      </c>
      <c r="E407">
        <v>0</v>
      </c>
      <c r="F407">
        <v>0</v>
      </c>
      <c r="G407">
        <v>0</v>
      </c>
      <c r="J407">
        <v>0.44</v>
      </c>
      <c r="K407">
        <v>1281</v>
      </c>
      <c r="L407">
        <v>100</v>
      </c>
      <c r="P407">
        <v>5.5438663799999999</v>
      </c>
      <c r="Q407">
        <v>95221.858869999996</v>
      </c>
      <c r="R407">
        <v>1.56</v>
      </c>
      <c r="S407">
        <v>54</v>
      </c>
      <c r="T407">
        <v>32.299506999999998</v>
      </c>
      <c r="U407">
        <v>-64.790336999999994</v>
      </c>
    </row>
    <row r="408" spans="1:21">
      <c r="A408" t="s">
        <v>40</v>
      </c>
      <c r="B408">
        <v>2007</v>
      </c>
      <c r="C408">
        <v>58163.745999999999</v>
      </c>
      <c r="D408">
        <v>729.73299999999995</v>
      </c>
      <c r="E408">
        <v>0</v>
      </c>
      <c r="F408">
        <v>0</v>
      </c>
      <c r="G408">
        <v>0</v>
      </c>
      <c r="J408">
        <v>0.5</v>
      </c>
      <c r="K408">
        <v>1281</v>
      </c>
      <c r="L408">
        <v>100</v>
      </c>
      <c r="P408">
        <v>3.3451397090000001</v>
      </c>
      <c r="Q408">
        <v>104287.3875</v>
      </c>
      <c r="R408">
        <v>1.67</v>
      </c>
      <c r="S408">
        <v>54</v>
      </c>
      <c r="T408">
        <v>32.299506999999998</v>
      </c>
      <c r="U408">
        <v>-64.790336999999994</v>
      </c>
    </row>
    <row r="409" spans="1:21">
      <c r="A409" t="s">
        <v>40</v>
      </c>
      <c r="B409">
        <v>2008</v>
      </c>
      <c r="C409">
        <v>55556.035000000003</v>
      </c>
      <c r="D409">
        <v>649.05899999999997</v>
      </c>
      <c r="E409">
        <v>0</v>
      </c>
      <c r="F409">
        <v>0</v>
      </c>
      <c r="G409">
        <v>0</v>
      </c>
      <c r="J409">
        <v>0.46</v>
      </c>
      <c r="K409">
        <v>1281</v>
      </c>
      <c r="L409">
        <v>100</v>
      </c>
      <c r="P409">
        <v>-1.865955826</v>
      </c>
      <c r="Q409">
        <v>106935.4863</v>
      </c>
      <c r="R409">
        <v>1.51</v>
      </c>
      <c r="S409">
        <v>54</v>
      </c>
      <c r="T409">
        <v>32.299506999999998</v>
      </c>
      <c r="U409">
        <v>-64.790336999999994</v>
      </c>
    </row>
    <row r="410" spans="1:21">
      <c r="A410" t="s">
        <v>40</v>
      </c>
      <c r="B410">
        <v>2009</v>
      </c>
      <c r="C410">
        <v>43647.02</v>
      </c>
      <c r="D410">
        <v>476.71</v>
      </c>
      <c r="E410">
        <v>0</v>
      </c>
      <c r="F410">
        <v>0</v>
      </c>
      <c r="G410">
        <v>0</v>
      </c>
      <c r="J410">
        <v>0.43</v>
      </c>
      <c r="K410">
        <v>1281</v>
      </c>
      <c r="L410">
        <v>100</v>
      </c>
      <c r="P410">
        <v>-5.6266977110000003</v>
      </c>
      <c r="Q410">
        <v>101407.764</v>
      </c>
      <c r="R410">
        <v>1.21</v>
      </c>
      <c r="S410">
        <v>54</v>
      </c>
      <c r="T410">
        <v>32.299506999999998</v>
      </c>
      <c r="U410">
        <v>-64.790336999999994</v>
      </c>
    </row>
    <row r="411" spans="1:21">
      <c r="A411" t="s">
        <v>40</v>
      </c>
      <c r="B411">
        <v>2010</v>
      </c>
      <c r="C411">
        <v>51318.156000000003</v>
      </c>
      <c r="D411">
        <v>608.72199999999998</v>
      </c>
      <c r="E411">
        <v>0</v>
      </c>
      <c r="F411">
        <v>0</v>
      </c>
      <c r="G411">
        <v>0</v>
      </c>
      <c r="J411">
        <v>0.43</v>
      </c>
      <c r="K411">
        <v>1281</v>
      </c>
      <c r="L411">
        <v>100</v>
      </c>
      <c r="P411">
        <v>-2.5028782889999999</v>
      </c>
      <c r="Q411">
        <v>101875.2841</v>
      </c>
      <c r="R411">
        <v>1.54</v>
      </c>
      <c r="S411">
        <v>54</v>
      </c>
      <c r="T411">
        <v>32.299506999999998</v>
      </c>
      <c r="U411">
        <v>-64.790336999999994</v>
      </c>
    </row>
    <row r="412" spans="1:21">
      <c r="A412" t="s">
        <v>40</v>
      </c>
      <c r="B412">
        <v>2011</v>
      </c>
      <c r="C412">
        <v>33119.836000000003</v>
      </c>
      <c r="D412">
        <v>443.70699999999999</v>
      </c>
      <c r="E412">
        <v>0</v>
      </c>
      <c r="F412">
        <v>0</v>
      </c>
      <c r="G412">
        <v>0</v>
      </c>
      <c r="J412">
        <v>0.42</v>
      </c>
      <c r="K412">
        <v>1281</v>
      </c>
      <c r="L412">
        <v>100</v>
      </c>
      <c r="P412">
        <v>-3.7427443170000001</v>
      </c>
      <c r="Q412">
        <v>97774.162070000006</v>
      </c>
      <c r="R412">
        <v>1.2</v>
      </c>
      <c r="S412">
        <v>54</v>
      </c>
      <c r="T412">
        <v>32.299506999999998</v>
      </c>
      <c r="U412">
        <v>-64.790336999999994</v>
      </c>
    </row>
    <row r="413" spans="1:21">
      <c r="A413" t="s">
        <v>40</v>
      </c>
      <c r="B413">
        <v>2012</v>
      </c>
      <c r="C413">
        <v>35803.332000000002</v>
      </c>
      <c r="D413">
        <v>366.7</v>
      </c>
      <c r="E413">
        <v>0</v>
      </c>
      <c r="F413">
        <v>0</v>
      </c>
      <c r="G413">
        <v>0</v>
      </c>
      <c r="J413">
        <v>0.44</v>
      </c>
      <c r="K413">
        <v>1281</v>
      </c>
      <c r="L413">
        <v>100</v>
      </c>
      <c r="P413">
        <v>-5.3052991069999997</v>
      </c>
      <c r="Q413">
        <v>98431.865179999993</v>
      </c>
      <c r="R413">
        <v>1.08</v>
      </c>
      <c r="S413">
        <v>54</v>
      </c>
      <c r="T413">
        <v>32.299506999999998</v>
      </c>
      <c r="U413">
        <v>-64.790336999999994</v>
      </c>
    </row>
    <row r="414" spans="1:21">
      <c r="A414" t="s">
        <v>40</v>
      </c>
      <c r="B414">
        <v>2013</v>
      </c>
      <c r="C414">
        <v>35994.32</v>
      </c>
      <c r="D414">
        <v>509.71300000000002</v>
      </c>
      <c r="E414">
        <v>0</v>
      </c>
      <c r="F414">
        <v>0</v>
      </c>
      <c r="G414">
        <v>0</v>
      </c>
      <c r="J414">
        <v>1.47</v>
      </c>
      <c r="K414">
        <v>1281</v>
      </c>
      <c r="L414">
        <v>100</v>
      </c>
      <c r="P414">
        <v>-0.27970854499999998</v>
      </c>
      <c r="Q414">
        <v>99471.638900000005</v>
      </c>
      <c r="R414">
        <v>1.52</v>
      </c>
      <c r="S414">
        <v>54</v>
      </c>
      <c r="T414">
        <v>32.299506999999998</v>
      </c>
      <c r="U414">
        <v>-64.790336999999994</v>
      </c>
    </row>
    <row r="415" spans="1:21">
      <c r="A415" t="s">
        <v>40</v>
      </c>
      <c r="B415">
        <v>2014</v>
      </c>
      <c r="C415">
        <v>46727.741999999998</v>
      </c>
      <c r="D415">
        <v>649.05899999999997</v>
      </c>
      <c r="E415">
        <v>0</v>
      </c>
      <c r="F415">
        <v>0</v>
      </c>
      <c r="G415">
        <v>0</v>
      </c>
      <c r="J415">
        <v>0.43</v>
      </c>
      <c r="K415">
        <v>1281</v>
      </c>
      <c r="L415">
        <v>100</v>
      </c>
      <c r="P415">
        <v>-3.701067594</v>
      </c>
      <c r="Q415">
        <v>98467.683990000005</v>
      </c>
      <c r="R415">
        <v>1.95</v>
      </c>
      <c r="S415">
        <v>54</v>
      </c>
      <c r="T415">
        <v>32.299506999999998</v>
      </c>
      <c r="U415">
        <v>-64.790336999999994</v>
      </c>
    </row>
    <row r="416" spans="1:21">
      <c r="A416" t="s">
        <v>40</v>
      </c>
      <c r="B416">
        <v>2015</v>
      </c>
      <c r="C416">
        <v>39425.17</v>
      </c>
      <c r="D416">
        <v>557.38400000000001</v>
      </c>
      <c r="E416">
        <v>0</v>
      </c>
      <c r="F416">
        <v>0</v>
      </c>
      <c r="G416">
        <v>0</v>
      </c>
      <c r="J416">
        <v>0.55000000000000004</v>
      </c>
      <c r="K416">
        <v>1281</v>
      </c>
      <c r="L416">
        <v>100</v>
      </c>
      <c r="P416">
        <v>0.77552969999999999</v>
      </c>
      <c r="Q416">
        <v>102005.6256</v>
      </c>
      <c r="R416">
        <v>1.59</v>
      </c>
      <c r="S416">
        <v>54</v>
      </c>
      <c r="T416">
        <v>32.299506999999998</v>
      </c>
      <c r="U416">
        <v>-64.790336999999994</v>
      </c>
    </row>
    <row r="417" spans="1:21">
      <c r="A417" t="s">
        <v>40</v>
      </c>
      <c r="B417">
        <v>2016</v>
      </c>
      <c r="C417">
        <v>50238.902000000002</v>
      </c>
      <c r="D417">
        <v>612.38900000000001</v>
      </c>
      <c r="E417">
        <v>0</v>
      </c>
      <c r="F417">
        <v>0</v>
      </c>
      <c r="G417">
        <v>0</v>
      </c>
      <c r="J417">
        <v>1.0900000000000001</v>
      </c>
      <c r="K417">
        <v>1281</v>
      </c>
      <c r="L417">
        <v>100</v>
      </c>
      <c r="P417">
        <v>-0.65720630400000002</v>
      </c>
      <c r="Q417">
        <v>106885.87850000001</v>
      </c>
      <c r="R417">
        <v>1.83</v>
      </c>
      <c r="S417">
        <v>54</v>
      </c>
      <c r="T417">
        <v>32.299506999999998</v>
      </c>
      <c r="U417">
        <v>-64.790336999999994</v>
      </c>
    </row>
    <row r="418" spans="1:21">
      <c r="A418" t="s">
        <v>40</v>
      </c>
      <c r="B418">
        <v>2017</v>
      </c>
      <c r="C418">
        <v>49395.46</v>
      </c>
      <c r="E418">
        <v>0</v>
      </c>
      <c r="F418">
        <v>0</v>
      </c>
      <c r="G418">
        <v>0</v>
      </c>
      <c r="J418">
        <v>0.64</v>
      </c>
      <c r="K418">
        <v>1281</v>
      </c>
      <c r="L418">
        <v>100</v>
      </c>
      <c r="P418">
        <v>3.6114198370000001</v>
      </c>
      <c r="Q418">
        <v>111820.5815</v>
      </c>
      <c r="R418">
        <v>1.77</v>
      </c>
      <c r="S418">
        <v>54</v>
      </c>
      <c r="T418">
        <v>32.299506999999998</v>
      </c>
      <c r="U418">
        <v>-64.790336999999994</v>
      </c>
    </row>
    <row r="419" spans="1:21">
      <c r="A419" t="s">
        <v>40</v>
      </c>
      <c r="B419">
        <v>2018</v>
      </c>
      <c r="C419">
        <v>50863.38</v>
      </c>
      <c r="E419">
        <v>0</v>
      </c>
      <c r="F419">
        <v>0</v>
      </c>
      <c r="G419">
        <v>0</v>
      </c>
      <c r="J419">
        <v>0.67</v>
      </c>
      <c r="K419">
        <v>1281</v>
      </c>
      <c r="L419">
        <v>100</v>
      </c>
      <c r="P419">
        <v>-0.4328013</v>
      </c>
      <c r="Q419">
        <v>113023.1856</v>
      </c>
      <c r="R419">
        <v>1.97</v>
      </c>
      <c r="S419">
        <v>54</v>
      </c>
      <c r="T419">
        <v>32.299506999999998</v>
      </c>
      <c r="U419">
        <v>-64.790336999999994</v>
      </c>
    </row>
    <row r="420" spans="1:21">
      <c r="A420" t="s">
        <v>40</v>
      </c>
      <c r="B420">
        <v>2019</v>
      </c>
      <c r="C420">
        <v>50639.292999999998</v>
      </c>
      <c r="E420">
        <v>0</v>
      </c>
      <c r="F420">
        <v>0</v>
      </c>
      <c r="G420">
        <v>0</v>
      </c>
      <c r="J420">
        <v>0.84</v>
      </c>
      <c r="K420">
        <v>1281</v>
      </c>
      <c r="L420">
        <v>100</v>
      </c>
      <c r="P420">
        <v>0.45988994300000002</v>
      </c>
      <c r="Q420">
        <v>117098.4463</v>
      </c>
      <c r="R420">
        <v>1.65</v>
      </c>
      <c r="S420">
        <v>54</v>
      </c>
      <c r="T420">
        <v>32.299506999999998</v>
      </c>
      <c r="U420">
        <v>-64.790336999999994</v>
      </c>
    </row>
    <row r="421" spans="1:21">
      <c r="A421" t="s">
        <v>40</v>
      </c>
      <c r="B421">
        <v>2020</v>
      </c>
      <c r="C421">
        <v>46161.586000000003</v>
      </c>
      <c r="E421">
        <v>0</v>
      </c>
      <c r="F421">
        <v>0</v>
      </c>
      <c r="G421">
        <v>0</v>
      </c>
      <c r="K421">
        <v>1281</v>
      </c>
      <c r="L421">
        <v>100</v>
      </c>
      <c r="P421">
        <v>-6.3440802459999999</v>
      </c>
      <c r="Q421">
        <v>107079.4798</v>
      </c>
      <c r="S421">
        <v>54</v>
      </c>
      <c r="T421">
        <v>32.299506999999998</v>
      </c>
      <c r="U421">
        <v>-64.790336999999994</v>
      </c>
    </row>
    <row r="422" spans="1:21">
      <c r="A422" t="s">
        <v>41</v>
      </c>
      <c r="B422">
        <v>2000</v>
      </c>
      <c r="C422">
        <v>8469.0519999999997</v>
      </c>
      <c r="D422">
        <v>210</v>
      </c>
      <c r="E422">
        <v>0</v>
      </c>
      <c r="F422">
        <v>0</v>
      </c>
      <c r="G422">
        <v>1.79</v>
      </c>
      <c r="H422">
        <v>100</v>
      </c>
      <c r="I422">
        <v>582.64</v>
      </c>
      <c r="J422">
        <v>91.4</v>
      </c>
      <c r="K422">
        <v>20</v>
      </c>
      <c r="L422">
        <v>31.15</v>
      </c>
      <c r="M422">
        <v>27.8</v>
      </c>
      <c r="O422">
        <v>4890000</v>
      </c>
      <c r="P422">
        <v>3.3550682850000002</v>
      </c>
      <c r="Q422">
        <v>718.19633699999997</v>
      </c>
      <c r="R422">
        <v>18.420000000000002</v>
      </c>
      <c r="S422">
        <v>38394</v>
      </c>
      <c r="T422">
        <v>27.514161999999999</v>
      </c>
      <c r="U422">
        <v>90.433600999999996</v>
      </c>
    </row>
    <row r="423" spans="1:21">
      <c r="A423" t="s">
        <v>41</v>
      </c>
      <c r="B423">
        <v>2001</v>
      </c>
      <c r="C423">
        <v>9100.7510000000002</v>
      </c>
      <c r="D423">
        <v>230</v>
      </c>
      <c r="E423">
        <v>0</v>
      </c>
      <c r="F423">
        <v>0</v>
      </c>
      <c r="G423">
        <v>1.92</v>
      </c>
      <c r="H423">
        <v>100</v>
      </c>
      <c r="I423">
        <v>595.48</v>
      </c>
      <c r="J423">
        <v>91.75</v>
      </c>
      <c r="K423">
        <v>20</v>
      </c>
      <c r="L423">
        <v>40.04513</v>
      </c>
      <c r="M423">
        <v>30.9</v>
      </c>
      <c r="O423">
        <v>2490000</v>
      </c>
      <c r="P423">
        <v>8.348954483</v>
      </c>
      <c r="Q423">
        <v>764.43280819999995</v>
      </c>
      <c r="R423">
        <v>17.29</v>
      </c>
      <c r="S423">
        <v>38394</v>
      </c>
      <c r="T423">
        <v>27.514161999999999</v>
      </c>
      <c r="U423">
        <v>90.433600999999996</v>
      </c>
    </row>
    <row r="424" spans="1:21">
      <c r="A424" t="s">
        <v>41</v>
      </c>
      <c r="B424">
        <v>2002</v>
      </c>
      <c r="C424">
        <v>9810.1029999999992</v>
      </c>
      <c r="D424">
        <v>239.99999460000001</v>
      </c>
      <c r="E424">
        <v>0</v>
      </c>
      <c r="F424">
        <v>0</v>
      </c>
      <c r="G424">
        <v>2.1800000000000002</v>
      </c>
      <c r="H424">
        <v>100</v>
      </c>
      <c r="I424">
        <v>671.45</v>
      </c>
      <c r="J424">
        <v>91.2</v>
      </c>
      <c r="K424">
        <v>20</v>
      </c>
      <c r="L424">
        <v>43.978878000000002</v>
      </c>
      <c r="M424">
        <v>34.799999999999997</v>
      </c>
      <c r="O424">
        <v>25880000</v>
      </c>
      <c r="P424">
        <v>10.99228184</v>
      </c>
      <c r="Q424">
        <v>845.50067209999997</v>
      </c>
      <c r="R424">
        <v>15.99</v>
      </c>
      <c r="S424">
        <v>38394</v>
      </c>
      <c r="T424">
        <v>27.514161999999999</v>
      </c>
      <c r="U424">
        <v>90.433600999999996</v>
      </c>
    </row>
    <row r="425" spans="1:21">
      <c r="A425" t="s">
        <v>41</v>
      </c>
      <c r="B425">
        <v>2003</v>
      </c>
      <c r="C425">
        <v>10658.221</v>
      </c>
      <c r="D425">
        <v>259.99999050000002</v>
      </c>
      <c r="E425">
        <v>0</v>
      </c>
      <c r="F425">
        <v>0</v>
      </c>
      <c r="G425">
        <v>2.5</v>
      </c>
      <c r="H425">
        <v>100</v>
      </c>
      <c r="I425">
        <v>682.71</v>
      </c>
      <c r="J425">
        <v>91.92</v>
      </c>
      <c r="K425">
        <v>20</v>
      </c>
      <c r="L425">
        <v>41.1</v>
      </c>
      <c r="M425">
        <v>38.799999999999997</v>
      </c>
      <c r="P425">
        <v>7.8233023609999996</v>
      </c>
      <c r="Q425">
        <v>962.09537130000001</v>
      </c>
      <c r="R425">
        <v>14.96</v>
      </c>
      <c r="S425">
        <v>38394</v>
      </c>
      <c r="T425">
        <v>27.514161999999999</v>
      </c>
      <c r="U425">
        <v>90.433600999999996</v>
      </c>
    </row>
    <row r="426" spans="1:21">
      <c r="A426" t="s">
        <v>41</v>
      </c>
      <c r="B426">
        <v>2004</v>
      </c>
      <c r="C426">
        <v>10014.694</v>
      </c>
      <c r="D426">
        <v>289.99999170000001</v>
      </c>
      <c r="E426">
        <v>0</v>
      </c>
      <c r="F426">
        <v>0</v>
      </c>
      <c r="G426">
        <v>2.33</v>
      </c>
      <c r="H426">
        <v>100</v>
      </c>
      <c r="I426">
        <v>670.98</v>
      </c>
      <c r="J426">
        <v>93.46</v>
      </c>
      <c r="K426">
        <v>20</v>
      </c>
      <c r="L426">
        <v>51.833010000000002</v>
      </c>
      <c r="M426">
        <v>42.7</v>
      </c>
      <c r="P426">
        <v>6.0087422359999998</v>
      </c>
      <c r="Q426">
        <v>1068.4318109999999</v>
      </c>
      <c r="R426">
        <v>14.15</v>
      </c>
      <c r="S426">
        <v>38394</v>
      </c>
      <c r="T426">
        <v>27.514161999999999</v>
      </c>
      <c r="U426">
        <v>90.433600999999996</v>
      </c>
    </row>
    <row r="427" spans="1:21">
      <c r="A427" t="s">
        <v>41</v>
      </c>
      <c r="B427">
        <v>2005</v>
      </c>
      <c r="C427">
        <v>11119.834000000001</v>
      </c>
      <c r="D427">
        <v>319.99999279999997</v>
      </c>
      <c r="E427">
        <v>0</v>
      </c>
      <c r="F427">
        <v>0</v>
      </c>
      <c r="G427">
        <v>2.62</v>
      </c>
      <c r="H427">
        <v>100.00001</v>
      </c>
      <c r="I427">
        <v>722.57</v>
      </c>
      <c r="J427">
        <v>91.67</v>
      </c>
      <c r="K427">
        <v>20</v>
      </c>
      <c r="L427">
        <v>59.808112999999999</v>
      </c>
      <c r="M427">
        <v>47.3</v>
      </c>
      <c r="O427">
        <v>1320000</v>
      </c>
      <c r="P427">
        <v>7.2872493519999999</v>
      </c>
      <c r="Q427">
        <v>1228.432356</v>
      </c>
      <c r="R427">
        <v>13.61</v>
      </c>
      <c r="S427">
        <v>38394</v>
      </c>
      <c r="T427">
        <v>27.514161999999999</v>
      </c>
      <c r="U427">
        <v>90.433600999999996</v>
      </c>
    </row>
    <row r="428" spans="1:21">
      <c r="A428" t="s">
        <v>41</v>
      </c>
      <c r="B428">
        <v>2006</v>
      </c>
      <c r="C428">
        <v>17746.78</v>
      </c>
      <c r="D428">
        <v>319.99999279999997</v>
      </c>
      <c r="E428">
        <v>0</v>
      </c>
      <c r="F428">
        <v>0</v>
      </c>
      <c r="G428">
        <v>4.47</v>
      </c>
      <c r="H428">
        <v>100</v>
      </c>
      <c r="I428">
        <v>712.42</v>
      </c>
      <c r="J428">
        <v>91.92</v>
      </c>
      <c r="K428">
        <v>20</v>
      </c>
      <c r="L428">
        <v>59.685054999999998</v>
      </c>
      <c r="M428">
        <v>51.1</v>
      </c>
      <c r="O428">
        <v>120000</v>
      </c>
      <c r="P428">
        <v>6.9997380949999997</v>
      </c>
      <c r="Q428">
        <v>1330.9774440000001</v>
      </c>
      <c r="R428">
        <v>12.99</v>
      </c>
      <c r="S428">
        <v>38394</v>
      </c>
      <c r="T428">
        <v>27.514161999999999</v>
      </c>
      <c r="U428">
        <v>90.433600999999996</v>
      </c>
    </row>
    <row r="429" spans="1:21">
      <c r="A429" t="s">
        <v>41</v>
      </c>
      <c r="B429">
        <v>2007</v>
      </c>
      <c r="C429">
        <v>21903.543000000001</v>
      </c>
      <c r="D429">
        <v>319.99999279999997</v>
      </c>
      <c r="E429">
        <v>0</v>
      </c>
      <c r="F429">
        <v>0</v>
      </c>
      <c r="G429">
        <v>6.49</v>
      </c>
      <c r="H429">
        <v>100</v>
      </c>
      <c r="I429">
        <v>2238.69</v>
      </c>
      <c r="J429">
        <v>92.07</v>
      </c>
      <c r="K429">
        <v>20</v>
      </c>
      <c r="L429">
        <v>71.8</v>
      </c>
      <c r="M429">
        <v>54.65</v>
      </c>
      <c r="O429">
        <v>840000</v>
      </c>
      <c r="P429">
        <v>18.360854060000001</v>
      </c>
      <c r="Q429">
        <v>1757.1904959999999</v>
      </c>
      <c r="R429">
        <v>11.3</v>
      </c>
      <c r="S429">
        <v>38394</v>
      </c>
      <c r="T429">
        <v>27.514161999999999</v>
      </c>
      <c r="U429">
        <v>90.433600999999996</v>
      </c>
    </row>
    <row r="430" spans="1:21">
      <c r="A430" t="s">
        <v>41</v>
      </c>
      <c r="B430">
        <v>2008</v>
      </c>
      <c r="C430">
        <v>22370.271000000001</v>
      </c>
      <c r="D430">
        <v>300.0000119</v>
      </c>
      <c r="E430">
        <v>0</v>
      </c>
      <c r="F430">
        <v>0</v>
      </c>
      <c r="G430">
        <v>6.89</v>
      </c>
      <c r="H430">
        <v>100</v>
      </c>
      <c r="I430">
        <v>2216.23</v>
      </c>
      <c r="J430">
        <v>91.81</v>
      </c>
      <c r="K430">
        <v>20</v>
      </c>
      <c r="L430">
        <v>67.555250000000001</v>
      </c>
      <c r="M430">
        <v>57.8</v>
      </c>
      <c r="O430">
        <v>4250000</v>
      </c>
      <c r="P430">
        <v>4.7994606119999998</v>
      </c>
      <c r="Q430">
        <v>1828.154677</v>
      </c>
      <c r="R430">
        <v>11.12</v>
      </c>
      <c r="S430">
        <v>38394</v>
      </c>
      <c r="T430">
        <v>27.514161999999999</v>
      </c>
      <c r="U430">
        <v>90.433600999999996</v>
      </c>
    </row>
    <row r="431" spans="1:21">
      <c r="A431" t="s">
        <v>41</v>
      </c>
      <c r="B431">
        <v>2009</v>
      </c>
      <c r="C431">
        <v>22935.088</v>
      </c>
      <c r="D431">
        <v>319.99999279999997</v>
      </c>
      <c r="E431">
        <v>0</v>
      </c>
      <c r="F431">
        <v>0</v>
      </c>
      <c r="G431">
        <v>6.93</v>
      </c>
      <c r="H431">
        <v>100</v>
      </c>
      <c r="I431">
        <v>2194.1799999999998</v>
      </c>
      <c r="J431">
        <v>92.38</v>
      </c>
      <c r="K431">
        <v>20</v>
      </c>
      <c r="L431">
        <v>71.503900000000002</v>
      </c>
      <c r="M431">
        <v>61.2</v>
      </c>
      <c r="O431">
        <v>82980000</v>
      </c>
      <c r="P431">
        <v>6.7483337480000003</v>
      </c>
      <c r="Q431">
        <v>1819.19731</v>
      </c>
      <c r="R431">
        <v>10.69</v>
      </c>
      <c r="S431">
        <v>38394</v>
      </c>
      <c r="T431">
        <v>27.514161999999999</v>
      </c>
      <c r="U431">
        <v>90.433600999999996</v>
      </c>
    </row>
    <row r="432" spans="1:21">
      <c r="A432" t="s">
        <v>41</v>
      </c>
      <c r="B432">
        <v>2010</v>
      </c>
      <c r="C432">
        <v>24284.153999999999</v>
      </c>
      <c r="D432">
        <v>400.00000599999998</v>
      </c>
      <c r="E432">
        <v>0</v>
      </c>
      <c r="F432">
        <v>0</v>
      </c>
      <c r="G432">
        <v>7.26</v>
      </c>
      <c r="H432">
        <v>100</v>
      </c>
      <c r="I432">
        <v>2171.2199999999998</v>
      </c>
      <c r="J432">
        <v>90.8</v>
      </c>
      <c r="K432">
        <v>20</v>
      </c>
      <c r="L432">
        <v>73.282910000000001</v>
      </c>
      <c r="M432">
        <v>63.9</v>
      </c>
      <c r="O432">
        <v>22890000</v>
      </c>
      <c r="P432">
        <v>11.945895999999999</v>
      </c>
      <c r="Q432">
        <v>2258.1864350000001</v>
      </c>
      <c r="R432">
        <v>10.11</v>
      </c>
      <c r="S432">
        <v>38394</v>
      </c>
      <c r="T432">
        <v>27.514161999999999</v>
      </c>
      <c r="U432">
        <v>90.433600999999996</v>
      </c>
    </row>
    <row r="433" spans="1:21">
      <c r="A433" t="s">
        <v>41</v>
      </c>
      <c r="B433">
        <v>2011</v>
      </c>
      <c r="C433">
        <v>23369.613000000001</v>
      </c>
      <c r="D433">
        <v>589.99997380000002</v>
      </c>
      <c r="E433">
        <v>0</v>
      </c>
      <c r="F433">
        <v>0</v>
      </c>
      <c r="G433">
        <v>6.97</v>
      </c>
      <c r="H433">
        <v>100</v>
      </c>
      <c r="I433">
        <v>2146.8000000000002</v>
      </c>
      <c r="J433">
        <v>89.01</v>
      </c>
      <c r="K433">
        <v>20</v>
      </c>
      <c r="L433">
        <v>81.767089999999996</v>
      </c>
      <c r="M433">
        <v>66.7</v>
      </c>
      <c r="O433">
        <v>90000</v>
      </c>
      <c r="P433">
        <v>7.9826170410000001</v>
      </c>
      <c r="Q433">
        <v>2563.2612239999999</v>
      </c>
      <c r="R433">
        <v>9.4700000000000006</v>
      </c>
      <c r="S433">
        <v>38394</v>
      </c>
      <c r="T433">
        <v>27.514161999999999</v>
      </c>
      <c r="U433">
        <v>90.433600999999996</v>
      </c>
    </row>
    <row r="434" spans="1:21">
      <c r="A434" t="s">
        <v>41</v>
      </c>
      <c r="B434">
        <v>2012</v>
      </c>
      <c r="C434">
        <v>22460.116999999998</v>
      </c>
      <c r="D434">
        <v>639.99998570000002</v>
      </c>
      <c r="E434">
        <v>0</v>
      </c>
      <c r="F434">
        <v>0</v>
      </c>
      <c r="G434">
        <v>6.74</v>
      </c>
      <c r="H434">
        <v>100</v>
      </c>
      <c r="I434">
        <v>2121.4499999999998</v>
      </c>
      <c r="J434">
        <v>87.32</v>
      </c>
      <c r="K434">
        <v>20</v>
      </c>
      <c r="L434">
        <v>91.5</v>
      </c>
      <c r="M434">
        <v>68.900000000000006</v>
      </c>
      <c r="O434">
        <v>3510000</v>
      </c>
      <c r="P434">
        <v>5.1184008580000002</v>
      </c>
      <c r="Q434">
        <v>2538.9495189999998</v>
      </c>
      <c r="R434">
        <v>9.51</v>
      </c>
      <c r="S434">
        <v>38394</v>
      </c>
      <c r="T434">
        <v>27.514161999999999</v>
      </c>
      <c r="U434">
        <v>90.433600999999996</v>
      </c>
    </row>
    <row r="435" spans="1:21">
      <c r="A435" t="s">
        <v>41</v>
      </c>
      <c r="B435">
        <v>2013</v>
      </c>
      <c r="C435">
        <v>24615.076000000001</v>
      </c>
      <c r="D435">
        <v>670.00001669999995</v>
      </c>
      <c r="E435">
        <v>0</v>
      </c>
      <c r="F435">
        <v>0</v>
      </c>
      <c r="G435">
        <v>7.53</v>
      </c>
      <c r="H435">
        <v>100</v>
      </c>
      <c r="I435">
        <v>2095.61</v>
      </c>
      <c r="J435">
        <v>86.7</v>
      </c>
      <c r="K435">
        <v>20</v>
      </c>
      <c r="L435">
        <v>87.451139999999995</v>
      </c>
      <c r="M435">
        <v>71.2</v>
      </c>
      <c r="O435">
        <v>36930000</v>
      </c>
      <c r="P435">
        <v>2.1199726330000002</v>
      </c>
      <c r="Q435">
        <v>2472.724753</v>
      </c>
      <c r="R435">
        <v>9.41</v>
      </c>
      <c r="S435">
        <v>38394</v>
      </c>
      <c r="T435">
        <v>27.514161999999999</v>
      </c>
      <c r="U435">
        <v>90.433600999999996</v>
      </c>
    </row>
    <row r="436" spans="1:21">
      <c r="A436" t="s">
        <v>41</v>
      </c>
      <c r="B436">
        <v>2014</v>
      </c>
      <c r="C436">
        <v>23328.47</v>
      </c>
      <c r="D436">
        <v>699.9999881</v>
      </c>
      <c r="E436">
        <v>0</v>
      </c>
      <c r="F436">
        <v>0</v>
      </c>
      <c r="G436">
        <v>7.15</v>
      </c>
      <c r="H436">
        <v>100</v>
      </c>
      <c r="I436">
        <v>2069.91</v>
      </c>
      <c r="J436">
        <v>86.54</v>
      </c>
      <c r="K436">
        <v>20</v>
      </c>
      <c r="L436">
        <v>91.483509999999995</v>
      </c>
      <c r="M436">
        <v>72.900000000000006</v>
      </c>
      <c r="O436">
        <v>1990000</v>
      </c>
      <c r="P436">
        <v>5.77649568</v>
      </c>
      <c r="Q436">
        <v>2652.2256539999998</v>
      </c>
      <c r="R436">
        <v>9.32</v>
      </c>
      <c r="S436">
        <v>38394</v>
      </c>
      <c r="T436">
        <v>27.514161999999999</v>
      </c>
      <c r="U436">
        <v>90.433600999999996</v>
      </c>
    </row>
    <row r="437" spans="1:21">
      <c r="A437" t="s">
        <v>41</v>
      </c>
      <c r="B437">
        <v>2015</v>
      </c>
      <c r="C437">
        <v>24203.82</v>
      </c>
      <c r="D437">
        <v>769.99998089999997</v>
      </c>
      <c r="E437">
        <v>0</v>
      </c>
      <c r="F437">
        <v>0</v>
      </c>
      <c r="G437">
        <v>7.73</v>
      </c>
      <c r="H437">
        <v>100</v>
      </c>
      <c r="I437">
        <v>2218.7199999999998</v>
      </c>
      <c r="J437">
        <v>86.68</v>
      </c>
      <c r="K437">
        <v>20</v>
      </c>
      <c r="L437">
        <v>95.530715999999998</v>
      </c>
      <c r="M437">
        <v>75</v>
      </c>
      <c r="O437">
        <v>126110000</v>
      </c>
      <c r="P437">
        <v>6.6422321049999997</v>
      </c>
      <c r="Q437">
        <v>2752.6301720000001</v>
      </c>
      <c r="R437">
        <v>8.6999999999999993</v>
      </c>
      <c r="S437">
        <v>38394</v>
      </c>
      <c r="T437">
        <v>27.514161999999999</v>
      </c>
      <c r="U437">
        <v>90.433600999999996</v>
      </c>
    </row>
    <row r="438" spans="1:21">
      <c r="A438" t="s">
        <v>41</v>
      </c>
      <c r="B438">
        <v>2016</v>
      </c>
      <c r="C438">
        <v>24692.543000000001</v>
      </c>
      <c r="D438">
        <v>930.00000720000003</v>
      </c>
      <c r="E438">
        <v>0</v>
      </c>
      <c r="F438">
        <v>0</v>
      </c>
      <c r="G438">
        <v>7.88</v>
      </c>
      <c r="H438">
        <v>100</v>
      </c>
      <c r="I438">
        <v>2192.15</v>
      </c>
      <c r="J438">
        <v>85.02</v>
      </c>
      <c r="K438">
        <v>20</v>
      </c>
      <c r="L438">
        <v>99.589789999999994</v>
      </c>
      <c r="M438">
        <v>76</v>
      </c>
      <c r="O438">
        <v>50000</v>
      </c>
      <c r="P438">
        <v>8.1270335379999992</v>
      </c>
      <c r="Q438">
        <v>2930.5749230000001</v>
      </c>
      <c r="R438">
        <v>8.3000000000000007</v>
      </c>
      <c r="S438">
        <v>38394</v>
      </c>
      <c r="T438">
        <v>27.514161999999999</v>
      </c>
      <c r="U438">
        <v>90.433600999999996</v>
      </c>
    </row>
    <row r="439" spans="1:21">
      <c r="A439" t="s">
        <v>41</v>
      </c>
      <c r="B439">
        <v>2017</v>
      </c>
      <c r="C439">
        <v>24327.346000000001</v>
      </c>
      <c r="D439">
        <v>970.00002859999995</v>
      </c>
      <c r="E439">
        <v>0</v>
      </c>
      <c r="F439">
        <v>0</v>
      </c>
      <c r="G439">
        <v>7.65</v>
      </c>
      <c r="H439">
        <v>100</v>
      </c>
      <c r="I439">
        <v>2166.11</v>
      </c>
      <c r="J439">
        <v>83.63</v>
      </c>
      <c r="K439">
        <v>20</v>
      </c>
      <c r="L439">
        <v>97.7</v>
      </c>
      <c r="M439">
        <v>77.400000000000006</v>
      </c>
      <c r="O439">
        <v>20000</v>
      </c>
      <c r="P439">
        <v>4.6518346749999999</v>
      </c>
      <c r="Q439">
        <v>3286.5967439999999</v>
      </c>
      <c r="R439">
        <v>8.06</v>
      </c>
      <c r="S439">
        <v>38394</v>
      </c>
      <c r="T439">
        <v>27.514161999999999</v>
      </c>
      <c r="U439">
        <v>90.433600999999996</v>
      </c>
    </row>
    <row r="440" spans="1:21">
      <c r="A440" t="s">
        <v>41</v>
      </c>
      <c r="B440">
        <v>2018</v>
      </c>
      <c r="C440">
        <v>23138.41</v>
      </c>
      <c r="D440">
        <v>1049.9999519999999</v>
      </c>
      <c r="E440">
        <v>0</v>
      </c>
      <c r="F440">
        <v>0</v>
      </c>
      <c r="G440">
        <v>6.89</v>
      </c>
      <c r="H440">
        <v>100</v>
      </c>
      <c r="I440">
        <v>2141.06</v>
      </c>
      <c r="J440">
        <v>82.22</v>
      </c>
      <c r="K440">
        <v>20</v>
      </c>
      <c r="L440">
        <v>99.974365000000006</v>
      </c>
      <c r="M440">
        <v>78.3</v>
      </c>
      <c r="O440">
        <v>110000</v>
      </c>
      <c r="P440">
        <v>3.055129837</v>
      </c>
      <c r="Q440">
        <v>3243.477437</v>
      </c>
      <c r="R440">
        <v>8.2200000000000006</v>
      </c>
      <c r="S440">
        <v>38394</v>
      </c>
      <c r="T440">
        <v>27.514161999999999</v>
      </c>
      <c r="U440">
        <v>90.433600999999996</v>
      </c>
    </row>
    <row r="441" spans="1:21">
      <c r="A441" t="s">
        <v>41</v>
      </c>
      <c r="B441">
        <v>2019</v>
      </c>
      <c r="C441">
        <v>27251.601999999999</v>
      </c>
      <c r="D441">
        <v>1049.9999519999999</v>
      </c>
      <c r="E441">
        <v>0</v>
      </c>
      <c r="F441">
        <v>0</v>
      </c>
      <c r="G441">
        <v>8.9499999999999993</v>
      </c>
      <c r="H441">
        <v>100</v>
      </c>
      <c r="I441">
        <v>3060.19</v>
      </c>
      <c r="J441">
        <v>82.27</v>
      </c>
      <c r="K441">
        <v>20</v>
      </c>
      <c r="L441">
        <v>100</v>
      </c>
      <c r="M441">
        <v>79.400000000000006</v>
      </c>
      <c r="O441">
        <v>700000</v>
      </c>
      <c r="P441">
        <v>5.7551699950000001</v>
      </c>
      <c r="Q441">
        <v>3322.8633289999998</v>
      </c>
      <c r="R441">
        <v>7.91</v>
      </c>
      <c r="S441">
        <v>38394</v>
      </c>
      <c r="T441">
        <v>27.514161999999999</v>
      </c>
      <c r="U441">
        <v>90.433600999999996</v>
      </c>
    </row>
    <row r="442" spans="1:21">
      <c r="A442" t="s">
        <v>41</v>
      </c>
      <c r="B442">
        <v>2020</v>
      </c>
      <c r="C442">
        <v>26593.059000000001</v>
      </c>
      <c r="E442">
        <v>0</v>
      </c>
      <c r="F442">
        <v>0</v>
      </c>
      <c r="G442">
        <v>8.9499999999999993</v>
      </c>
      <c r="H442">
        <v>100</v>
      </c>
      <c r="I442">
        <v>3026.4</v>
      </c>
      <c r="K442">
        <v>20</v>
      </c>
      <c r="L442">
        <v>100</v>
      </c>
      <c r="M442">
        <v>80.2</v>
      </c>
      <c r="P442">
        <v>-10.07634112</v>
      </c>
      <c r="Q442">
        <v>3000.7793270000002</v>
      </c>
      <c r="S442">
        <v>38394</v>
      </c>
      <c r="T442">
        <v>27.514161999999999</v>
      </c>
      <c r="U442">
        <v>90.433600999999996</v>
      </c>
    </row>
    <row r="443" spans="1:21">
      <c r="A443" t="s">
        <v>42</v>
      </c>
      <c r="B443">
        <v>2000</v>
      </c>
      <c r="C443">
        <v>15474.596</v>
      </c>
      <c r="D443">
        <v>13960</v>
      </c>
      <c r="E443">
        <v>5.01</v>
      </c>
      <c r="F443">
        <v>0</v>
      </c>
      <c r="G443">
        <v>5.04</v>
      </c>
      <c r="H443">
        <v>50.149253999999999</v>
      </c>
      <c r="J443">
        <v>19.350000000000001</v>
      </c>
      <c r="K443">
        <v>64</v>
      </c>
      <c r="L443">
        <v>100</v>
      </c>
      <c r="M443">
        <v>52.1</v>
      </c>
      <c r="P443">
        <v>12.76546946</v>
      </c>
      <c r="Q443">
        <v>1484.176056</v>
      </c>
      <c r="R443">
        <v>6.82</v>
      </c>
      <c r="S443">
        <v>51197</v>
      </c>
      <c r="T443">
        <v>43.915886</v>
      </c>
      <c r="U443">
        <v>17.679075999999998</v>
      </c>
    </row>
    <row r="444" spans="1:21">
      <c r="A444" t="s">
        <v>42</v>
      </c>
      <c r="B444">
        <v>2001</v>
      </c>
      <c r="C444">
        <v>15337.629000000001</v>
      </c>
      <c r="D444">
        <v>13760</v>
      </c>
      <c r="E444">
        <v>5.13</v>
      </c>
      <c r="F444">
        <v>0</v>
      </c>
      <c r="G444">
        <v>5.13</v>
      </c>
      <c r="H444">
        <v>50</v>
      </c>
      <c r="J444">
        <v>20.27</v>
      </c>
      <c r="K444">
        <v>64</v>
      </c>
      <c r="L444">
        <v>99.4</v>
      </c>
      <c r="M444">
        <v>51.45</v>
      </c>
      <c r="P444">
        <v>2.4233131719999998</v>
      </c>
      <c r="Q444">
        <v>1544.602075</v>
      </c>
      <c r="R444">
        <v>6.31</v>
      </c>
      <c r="S444">
        <v>51197</v>
      </c>
      <c r="T444">
        <v>43.915886</v>
      </c>
      <c r="U444">
        <v>17.679075999999998</v>
      </c>
    </row>
    <row r="445" spans="1:21">
      <c r="A445" t="s">
        <v>42</v>
      </c>
      <c r="B445">
        <v>2002</v>
      </c>
      <c r="C445">
        <v>15402.803</v>
      </c>
      <c r="D445">
        <v>14560.00042</v>
      </c>
      <c r="E445">
        <v>5.19</v>
      </c>
      <c r="F445">
        <v>0</v>
      </c>
      <c r="G445">
        <v>5.22</v>
      </c>
      <c r="H445">
        <v>50.144092999999998</v>
      </c>
      <c r="J445">
        <v>21.21</v>
      </c>
      <c r="K445">
        <v>64</v>
      </c>
      <c r="L445">
        <v>98.5</v>
      </c>
      <c r="M445">
        <v>50.9</v>
      </c>
      <c r="P445">
        <v>5.0274442070000003</v>
      </c>
      <c r="Q445">
        <v>1789.8576909999999</v>
      </c>
      <c r="R445">
        <v>6.29</v>
      </c>
      <c r="S445">
        <v>51197</v>
      </c>
      <c r="T445">
        <v>43.915886</v>
      </c>
      <c r="U445">
        <v>17.679075999999998</v>
      </c>
    </row>
    <row r="446" spans="1:21">
      <c r="A446" t="s">
        <v>42</v>
      </c>
      <c r="B446">
        <v>2003</v>
      </c>
      <c r="C446">
        <v>13485.733</v>
      </c>
      <c r="D446">
        <v>14869.999889999999</v>
      </c>
      <c r="E446">
        <v>6.36</v>
      </c>
      <c r="F446">
        <v>0</v>
      </c>
      <c r="G446">
        <v>4.46</v>
      </c>
      <c r="H446">
        <v>41.219963</v>
      </c>
      <c r="J446">
        <v>20.14</v>
      </c>
      <c r="K446">
        <v>64</v>
      </c>
      <c r="L446">
        <v>100</v>
      </c>
      <c r="M446">
        <v>50.8</v>
      </c>
      <c r="P446">
        <v>3.8671387949999998</v>
      </c>
      <c r="Q446">
        <v>2258.9464520000001</v>
      </c>
      <c r="R446">
        <v>6.04</v>
      </c>
      <c r="S446">
        <v>51197</v>
      </c>
      <c r="T446">
        <v>43.915886</v>
      </c>
      <c r="U446">
        <v>17.679075999999998</v>
      </c>
    </row>
    <row r="447" spans="1:21">
      <c r="A447" t="s">
        <v>42</v>
      </c>
      <c r="B447">
        <v>2004</v>
      </c>
      <c r="C447">
        <v>14065.254000000001</v>
      </c>
      <c r="D447">
        <v>15569.999690000001</v>
      </c>
      <c r="E447">
        <v>6.34</v>
      </c>
      <c r="F447">
        <v>0</v>
      </c>
      <c r="G447">
        <v>5.92</v>
      </c>
      <c r="H447">
        <v>48.287112999999998</v>
      </c>
      <c r="J447">
        <v>20.100000000000001</v>
      </c>
      <c r="K447">
        <v>64</v>
      </c>
      <c r="L447">
        <v>100</v>
      </c>
      <c r="M447">
        <v>49.3</v>
      </c>
      <c r="P447">
        <v>6.3252661689999998</v>
      </c>
      <c r="Q447">
        <v>2698.4671800000001</v>
      </c>
      <c r="R447">
        <v>6.22</v>
      </c>
      <c r="S447">
        <v>51197</v>
      </c>
      <c r="T447">
        <v>43.915886</v>
      </c>
      <c r="U447">
        <v>17.679075999999998</v>
      </c>
    </row>
    <row r="448" spans="1:21">
      <c r="A448" t="s">
        <v>42</v>
      </c>
      <c r="B448">
        <v>2005</v>
      </c>
      <c r="C448">
        <v>13151.445</v>
      </c>
      <c r="D448">
        <v>16229.999540000001</v>
      </c>
      <c r="E448">
        <v>6.21</v>
      </c>
      <c r="F448">
        <v>0</v>
      </c>
      <c r="G448">
        <v>5.94</v>
      </c>
      <c r="H448">
        <v>48.888890000000004</v>
      </c>
      <c r="J448">
        <v>19.73</v>
      </c>
      <c r="K448">
        <v>64</v>
      </c>
      <c r="L448">
        <v>100</v>
      </c>
      <c r="M448">
        <v>48.9</v>
      </c>
      <c r="P448">
        <v>3.8971779899999999</v>
      </c>
      <c r="Q448">
        <v>2980.6012679999999</v>
      </c>
      <c r="R448">
        <v>5.99</v>
      </c>
      <c r="S448">
        <v>51197</v>
      </c>
      <c r="T448">
        <v>43.915886</v>
      </c>
      <c r="U448">
        <v>17.679075999999998</v>
      </c>
    </row>
    <row r="449" spans="1:21">
      <c r="A449" t="s">
        <v>42</v>
      </c>
      <c r="B449">
        <v>2006</v>
      </c>
      <c r="C449">
        <v>13561.985000000001</v>
      </c>
      <c r="D449">
        <v>17909.99985</v>
      </c>
      <c r="E449">
        <v>7</v>
      </c>
      <c r="F449">
        <v>0</v>
      </c>
      <c r="G449">
        <v>5.8</v>
      </c>
      <c r="H449">
        <v>45.3125</v>
      </c>
      <c r="J449">
        <v>18.12</v>
      </c>
      <c r="K449">
        <v>64</v>
      </c>
      <c r="L449">
        <v>99.387276</v>
      </c>
      <c r="M449">
        <v>47.9</v>
      </c>
      <c r="P449">
        <v>5.4140035710000003</v>
      </c>
      <c r="Q449">
        <v>3416.5123760000001</v>
      </c>
      <c r="R449">
        <v>5.98</v>
      </c>
      <c r="S449">
        <v>51197</v>
      </c>
      <c r="T449">
        <v>43.915886</v>
      </c>
      <c r="U449">
        <v>17.679075999999998</v>
      </c>
    </row>
    <row r="450" spans="1:21">
      <c r="A450" t="s">
        <v>42</v>
      </c>
      <c r="B450">
        <v>2007</v>
      </c>
      <c r="C450">
        <v>13117.111999999999</v>
      </c>
      <c r="D450">
        <v>18889.999390000001</v>
      </c>
      <c r="E450">
        <v>7.32</v>
      </c>
      <c r="F450">
        <v>0</v>
      </c>
      <c r="G450">
        <v>3.96</v>
      </c>
      <c r="H450">
        <v>35.106383999999998</v>
      </c>
      <c r="J450">
        <v>14.84</v>
      </c>
      <c r="K450">
        <v>64</v>
      </c>
      <c r="L450">
        <v>99.7</v>
      </c>
      <c r="M450">
        <v>47.1</v>
      </c>
      <c r="P450">
        <v>5.8571263419999999</v>
      </c>
      <c r="Q450">
        <v>4193.3680109999996</v>
      </c>
      <c r="R450">
        <v>5.65</v>
      </c>
      <c r="S450">
        <v>51197</v>
      </c>
      <c r="T450">
        <v>43.915886</v>
      </c>
      <c r="U450">
        <v>17.679075999999998</v>
      </c>
    </row>
    <row r="451" spans="1:21">
      <c r="A451" t="s">
        <v>42</v>
      </c>
      <c r="B451">
        <v>2008</v>
      </c>
      <c r="C451">
        <v>15073.022000000001</v>
      </c>
      <c r="D451">
        <v>20760.000230000001</v>
      </c>
      <c r="E451">
        <v>9.36</v>
      </c>
      <c r="F451">
        <v>0</v>
      </c>
      <c r="G451">
        <v>4.82</v>
      </c>
      <c r="H451">
        <v>33.991540000000001</v>
      </c>
      <c r="J451">
        <v>14.28</v>
      </c>
      <c r="K451">
        <v>64</v>
      </c>
      <c r="L451">
        <v>100</v>
      </c>
      <c r="M451">
        <v>46.7</v>
      </c>
      <c r="P451">
        <v>5.4438310349999997</v>
      </c>
      <c r="Q451">
        <v>5090.9458340000001</v>
      </c>
      <c r="R451">
        <v>6.02</v>
      </c>
      <c r="S451">
        <v>51197</v>
      </c>
      <c r="T451">
        <v>43.915886</v>
      </c>
      <c r="U451">
        <v>17.679075999999998</v>
      </c>
    </row>
    <row r="452" spans="1:21">
      <c r="A452" t="s">
        <v>42</v>
      </c>
      <c r="B452">
        <v>2009</v>
      </c>
      <c r="C452">
        <v>18430.324000000001</v>
      </c>
      <c r="D452">
        <v>20590.00015</v>
      </c>
      <c r="E452">
        <v>8.86</v>
      </c>
      <c r="F452">
        <v>0</v>
      </c>
      <c r="G452">
        <v>6.18</v>
      </c>
      <c r="H452">
        <v>41.090426999999998</v>
      </c>
      <c r="J452">
        <v>17.43</v>
      </c>
      <c r="K452">
        <v>64</v>
      </c>
      <c r="L452">
        <v>100</v>
      </c>
      <c r="M452">
        <v>45.8</v>
      </c>
      <c r="P452">
        <v>-3.0044559300000002</v>
      </c>
      <c r="Q452">
        <v>4714.6937459999999</v>
      </c>
      <c r="R452">
        <v>6.48</v>
      </c>
      <c r="S452">
        <v>51197</v>
      </c>
      <c r="T452">
        <v>43.915886</v>
      </c>
      <c r="U452">
        <v>17.679075999999998</v>
      </c>
    </row>
    <row r="453" spans="1:21">
      <c r="A453" t="s">
        <v>42</v>
      </c>
      <c r="B453">
        <v>2010</v>
      </c>
      <c r="C453">
        <v>20074.405999999999</v>
      </c>
      <c r="D453">
        <v>20840.00015</v>
      </c>
      <c r="E453">
        <v>8.5500000000000007</v>
      </c>
      <c r="F453">
        <v>0</v>
      </c>
      <c r="G453">
        <v>7.95</v>
      </c>
      <c r="H453">
        <v>48.181820000000002</v>
      </c>
      <c r="J453">
        <v>19.57</v>
      </c>
      <c r="K453">
        <v>64</v>
      </c>
      <c r="L453">
        <v>100</v>
      </c>
      <c r="M453">
        <v>45</v>
      </c>
      <c r="P453">
        <v>0.86566926</v>
      </c>
      <c r="Q453">
        <v>4635.5101949999998</v>
      </c>
      <c r="R453">
        <v>6.7</v>
      </c>
      <c r="S453">
        <v>51197</v>
      </c>
      <c r="T453">
        <v>43.915886</v>
      </c>
      <c r="U453">
        <v>17.679075999999998</v>
      </c>
    </row>
    <row r="454" spans="1:21">
      <c r="A454" t="s">
        <v>42</v>
      </c>
      <c r="B454">
        <v>2011</v>
      </c>
      <c r="C454">
        <v>19803.189999999999</v>
      </c>
      <c r="D454">
        <v>23739.999769999999</v>
      </c>
      <c r="E454">
        <v>10.24</v>
      </c>
      <c r="F454">
        <v>0</v>
      </c>
      <c r="G454">
        <v>4.34</v>
      </c>
      <c r="H454">
        <v>29.766804</v>
      </c>
      <c r="J454">
        <v>14.16</v>
      </c>
      <c r="K454">
        <v>64</v>
      </c>
      <c r="L454">
        <v>99.705780000000004</v>
      </c>
      <c r="M454">
        <v>44.7</v>
      </c>
      <c r="P454">
        <v>0.95951124700000001</v>
      </c>
      <c r="Q454">
        <v>5092.5547230000002</v>
      </c>
      <c r="R454">
        <v>7.31</v>
      </c>
      <c r="S454">
        <v>51197</v>
      </c>
      <c r="T454">
        <v>43.915886</v>
      </c>
      <c r="U454">
        <v>17.679075999999998</v>
      </c>
    </row>
    <row r="455" spans="1:21">
      <c r="A455" t="s">
        <v>42</v>
      </c>
      <c r="B455">
        <v>2012</v>
      </c>
      <c r="C455">
        <v>19624.715</v>
      </c>
      <c r="D455">
        <v>21959.999080000001</v>
      </c>
      <c r="E455">
        <v>9.27</v>
      </c>
      <c r="F455">
        <v>0</v>
      </c>
      <c r="G455">
        <v>4.17</v>
      </c>
      <c r="H455">
        <v>31.026786999999999</v>
      </c>
      <c r="J455">
        <v>15.28</v>
      </c>
      <c r="K455">
        <v>64</v>
      </c>
      <c r="L455">
        <v>100</v>
      </c>
      <c r="M455">
        <v>44.2</v>
      </c>
      <c r="P455">
        <v>-0.82183647400000004</v>
      </c>
      <c r="Q455">
        <v>4777.066914</v>
      </c>
      <c r="R455">
        <v>6.9</v>
      </c>
      <c r="S455">
        <v>51197</v>
      </c>
      <c r="T455">
        <v>43.915886</v>
      </c>
      <c r="U455">
        <v>17.679075999999998</v>
      </c>
    </row>
    <row r="456" spans="1:21">
      <c r="A456" t="s">
        <v>42</v>
      </c>
      <c r="B456">
        <v>2013</v>
      </c>
      <c r="C456">
        <v>20242.201000000001</v>
      </c>
      <c r="D456">
        <v>21850.000380000001</v>
      </c>
      <c r="E456">
        <v>9.6</v>
      </c>
      <c r="F456">
        <v>0</v>
      </c>
      <c r="G456">
        <v>7.16</v>
      </c>
      <c r="H456">
        <v>42.720764000000003</v>
      </c>
      <c r="J456">
        <v>19.48</v>
      </c>
      <c r="K456">
        <v>64</v>
      </c>
      <c r="L456">
        <v>99.5</v>
      </c>
      <c r="M456">
        <v>44.2</v>
      </c>
      <c r="P456">
        <v>2.3498566630000002</v>
      </c>
      <c r="Q456">
        <v>5129.6635340000003</v>
      </c>
      <c r="R456">
        <v>6.51</v>
      </c>
      <c r="S456">
        <v>51197</v>
      </c>
      <c r="T456">
        <v>43.915886</v>
      </c>
      <c r="U456">
        <v>17.679075999999998</v>
      </c>
    </row>
    <row r="457" spans="1:21">
      <c r="A457" t="s">
        <v>42</v>
      </c>
      <c r="B457">
        <v>2014</v>
      </c>
      <c r="C457">
        <v>19855.675999999999</v>
      </c>
      <c r="D457">
        <v>19489.999769999999</v>
      </c>
      <c r="E457">
        <v>9.61</v>
      </c>
      <c r="F457">
        <v>0</v>
      </c>
      <c r="G457">
        <v>5.89</v>
      </c>
      <c r="H457">
        <v>38</v>
      </c>
      <c r="J457">
        <v>23.68</v>
      </c>
      <c r="K457">
        <v>64</v>
      </c>
      <c r="L457">
        <v>100</v>
      </c>
      <c r="M457">
        <v>44.05</v>
      </c>
      <c r="P457">
        <v>1.153851092</v>
      </c>
      <c r="Q457">
        <v>5330.3550750000004</v>
      </c>
      <c r="R457">
        <v>5.98</v>
      </c>
      <c r="S457">
        <v>51197</v>
      </c>
      <c r="T457">
        <v>43.915886</v>
      </c>
      <c r="U457">
        <v>17.679075999999998</v>
      </c>
    </row>
    <row r="458" spans="1:21">
      <c r="A458" t="s">
        <v>42</v>
      </c>
      <c r="B458">
        <v>2015</v>
      </c>
      <c r="C458">
        <v>20149.87</v>
      </c>
      <c r="D458">
        <v>19620.000840000001</v>
      </c>
      <c r="E458">
        <v>9.4700000000000006</v>
      </c>
      <c r="F458">
        <v>0</v>
      </c>
      <c r="G458">
        <v>5.5</v>
      </c>
      <c r="H458">
        <v>36.740147</v>
      </c>
      <c r="J458">
        <v>25.28</v>
      </c>
      <c r="K458">
        <v>64</v>
      </c>
      <c r="L458">
        <v>99.7</v>
      </c>
      <c r="M458">
        <v>43.9</v>
      </c>
      <c r="P458">
        <v>3.0891641519999999</v>
      </c>
      <c r="Q458">
        <v>4729.6899590000003</v>
      </c>
      <c r="R458">
        <v>5.97</v>
      </c>
      <c r="S458">
        <v>51197</v>
      </c>
      <c r="T458">
        <v>43.915886</v>
      </c>
      <c r="U458">
        <v>17.679075999999998</v>
      </c>
    </row>
    <row r="459" spans="1:21">
      <c r="A459" t="s">
        <v>42</v>
      </c>
      <c r="B459">
        <v>2016</v>
      </c>
      <c r="C459">
        <v>20852.678</v>
      </c>
      <c r="D459">
        <v>22340.00015</v>
      </c>
      <c r="E459">
        <v>11.37</v>
      </c>
      <c r="F459">
        <v>0</v>
      </c>
      <c r="G459">
        <v>5.62</v>
      </c>
      <c r="H459">
        <v>33.078279999999999</v>
      </c>
      <c r="J459">
        <v>23.03</v>
      </c>
      <c r="K459">
        <v>64</v>
      </c>
      <c r="L459">
        <v>100</v>
      </c>
      <c r="M459">
        <v>45.2</v>
      </c>
      <c r="P459">
        <v>3.1498069160000002</v>
      </c>
      <c r="Q459">
        <v>4994.9715509999996</v>
      </c>
      <c r="R459">
        <v>6.33</v>
      </c>
      <c r="S459">
        <v>51197</v>
      </c>
      <c r="T459">
        <v>43.915886</v>
      </c>
      <c r="U459">
        <v>17.679075999999998</v>
      </c>
    </row>
    <row r="460" spans="1:21">
      <c r="A460" t="s">
        <v>42</v>
      </c>
      <c r="B460">
        <v>2017</v>
      </c>
      <c r="C460">
        <v>20939.965</v>
      </c>
      <c r="D460">
        <v>22680.000309999999</v>
      </c>
      <c r="E460">
        <v>11.68</v>
      </c>
      <c r="F460">
        <v>0</v>
      </c>
      <c r="G460">
        <v>3.78</v>
      </c>
      <c r="H460">
        <v>24.450192999999999</v>
      </c>
      <c r="J460">
        <v>18.52</v>
      </c>
      <c r="K460">
        <v>64</v>
      </c>
      <c r="L460">
        <v>100</v>
      </c>
      <c r="M460">
        <v>43.6</v>
      </c>
      <c r="P460">
        <v>3.1714348750000001</v>
      </c>
      <c r="Q460">
        <v>5394.2689440000004</v>
      </c>
      <c r="R460">
        <v>6.12</v>
      </c>
      <c r="S460">
        <v>51197</v>
      </c>
      <c r="T460">
        <v>43.915886</v>
      </c>
      <c r="U460">
        <v>17.679075999999998</v>
      </c>
    </row>
    <row r="461" spans="1:21">
      <c r="A461" t="s">
        <v>42</v>
      </c>
      <c r="B461">
        <v>2018</v>
      </c>
      <c r="C461">
        <v>21542.351999999999</v>
      </c>
      <c r="D461">
        <v>22600.000380000001</v>
      </c>
      <c r="E461">
        <v>11.76</v>
      </c>
      <c r="F461">
        <v>0</v>
      </c>
      <c r="G461">
        <v>6.48</v>
      </c>
      <c r="H461">
        <v>35.526318000000003</v>
      </c>
      <c r="J461">
        <v>35.4</v>
      </c>
      <c r="K461">
        <v>64</v>
      </c>
      <c r="L461">
        <v>100</v>
      </c>
      <c r="M461">
        <v>44.7</v>
      </c>
      <c r="P461">
        <v>3.740071092</v>
      </c>
      <c r="Q461">
        <v>6070.3490810000003</v>
      </c>
      <c r="R461">
        <v>6.54</v>
      </c>
      <c r="S461">
        <v>51197</v>
      </c>
      <c r="T461">
        <v>43.915886</v>
      </c>
      <c r="U461">
        <v>17.679075999999998</v>
      </c>
    </row>
    <row r="462" spans="1:21">
      <c r="A462" t="s">
        <v>42</v>
      </c>
      <c r="B462">
        <v>2019</v>
      </c>
      <c r="C462">
        <v>20694.338</v>
      </c>
      <c r="D462">
        <v>21069.999690000001</v>
      </c>
      <c r="E462">
        <v>10.36</v>
      </c>
      <c r="F462">
        <v>0</v>
      </c>
      <c r="G462">
        <v>6.31</v>
      </c>
      <c r="H462">
        <v>37.852429999999998</v>
      </c>
      <c r="J462">
        <v>37.020000000000003</v>
      </c>
      <c r="K462">
        <v>64</v>
      </c>
      <c r="L462">
        <v>100</v>
      </c>
      <c r="M462">
        <v>45</v>
      </c>
      <c r="P462">
        <v>2.831002603</v>
      </c>
      <c r="Q462">
        <v>6119.7623450000001</v>
      </c>
      <c r="R462">
        <v>6.14</v>
      </c>
      <c r="S462">
        <v>51197</v>
      </c>
      <c r="T462">
        <v>43.915886</v>
      </c>
      <c r="U462">
        <v>17.679075999999998</v>
      </c>
    </row>
    <row r="463" spans="1:21">
      <c r="A463" t="s">
        <v>42</v>
      </c>
      <c r="B463">
        <v>2020</v>
      </c>
      <c r="C463">
        <v>19464.835999999999</v>
      </c>
      <c r="E463">
        <v>10.82</v>
      </c>
      <c r="F463">
        <v>0</v>
      </c>
      <c r="G463">
        <v>4.9000000000000004</v>
      </c>
      <c r="H463">
        <v>31.170483000000001</v>
      </c>
      <c r="K463">
        <v>64</v>
      </c>
      <c r="L463">
        <v>100</v>
      </c>
      <c r="M463">
        <v>45.2</v>
      </c>
      <c r="P463">
        <v>-3.1969501340000002</v>
      </c>
      <c r="Q463">
        <v>6079.7382850000004</v>
      </c>
      <c r="S463">
        <v>51197</v>
      </c>
      <c r="T463">
        <v>43.915886</v>
      </c>
      <c r="U463">
        <v>17.679075999999998</v>
      </c>
    </row>
    <row r="464" spans="1:21">
      <c r="A464" t="s">
        <v>43</v>
      </c>
      <c r="B464">
        <v>2000</v>
      </c>
      <c r="C464">
        <v>8308.6610000000001</v>
      </c>
      <c r="D464">
        <v>4030</v>
      </c>
      <c r="E464">
        <v>0.89</v>
      </c>
      <c r="F464">
        <v>0</v>
      </c>
      <c r="G464">
        <v>0</v>
      </c>
      <c r="H464">
        <v>0</v>
      </c>
      <c r="I464">
        <v>0</v>
      </c>
      <c r="J464">
        <v>38.46</v>
      </c>
      <c r="K464">
        <v>4</v>
      </c>
      <c r="L464">
        <v>26.40898</v>
      </c>
      <c r="M464">
        <v>44.4</v>
      </c>
      <c r="O464">
        <v>30000</v>
      </c>
      <c r="P464">
        <v>1.987695854</v>
      </c>
      <c r="Q464">
        <v>3522.310821</v>
      </c>
      <c r="R464">
        <v>4</v>
      </c>
      <c r="S464">
        <v>581730</v>
      </c>
      <c r="T464">
        <v>-22.328474</v>
      </c>
      <c r="U464">
        <v>24.684866</v>
      </c>
    </row>
    <row r="465" spans="1:21">
      <c r="A465" t="s">
        <v>43</v>
      </c>
      <c r="B465">
        <v>2001</v>
      </c>
      <c r="C465">
        <v>8561.0990000000002</v>
      </c>
      <c r="D465">
        <v>3870</v>
      </c>
      <c r="E465">
        <v>0.95</v>
      </c>
      <c r="F465">
        <v>0</v>
      </c>
      <c r="G465">
        <v>0</v>
      </c>
      <c r="H465">
        <v>0</v>
      </c>
      <c r="I465">
        <v>0</v>
      </c>
      <c r="J465">
        <v>37.51</v>
      </c>
      <c r="K465">
        <v>4</v>
      </c>
      <c r="L465">
        <v>24.8</v>
      </c>
      <c r="M465">
        <v>46.3</v>
      </c>
      <c r="P465">
        <v>0.25057386700000001</v>
      </c>
      <c r="Q465">
        <v>3278.016079</v>
      </c>
      <c r="R465">
        <v>4.04</v>
      </c>
      <c r="S465">
        <v>581730</v>
      </c>
      <c r="T465">
        <v>-22.328474</v>
      </c>
      <c r="U465">
        <v>24.684866</v>
      </c>
    </row>
    <row r="466" spans="1:21">
      <c r="A466" t="s">
        <v>43</v>
      </c>
      <c r="B466">
        <v>2002</v>
      </c>
      <c r="C466">
        <v>8817.6489999999994</v>
      </c>
      <c r="D466">
        <v>4030.0002100000002</v>
      </c>
      <c r="E466">
        <v>0.84</v>
      </c>
      <c r="F466">
        <v>0</v>
      </c>
      <c r="G466">
        <v>0</v>
      </c>
      <c r="H466">
        <v>0</v>
      </c>
      <c r="I466">
        <v>0</v>
      </c>
      <c r="J466">
        <v>36.130000000000003</v>
      </c>
      <c r="K466">
        <v>4</v>
      </c>
      <c r="L466">
        <v>27</v>
      </c>
      <c r="M466">
        <v>47.8</v>
      </c>
      <c r="P466">
        <v>6.0695308680000002</v>
      </c>
      <c r="Q466">
        <v>3190.6248110000001</v>
      </c>
      <c r="R466">
        <v>3.86</v>
      </c>
      <c r="S466">
        <v>581730</v>
      </c>
      <c r="T466">
        <v>-22.328474</v>
      </c>
      <c r="U466">
        <v>24.684866</v>
      </c>
    </row>
    <row r="467" spans="1:21">
      <c r="A467" t="s">
        <v>43</v>
      </c>
      <c r="B467">
        <v>2003</v>
      </c>
      <c r="C467">
        <v>8856.5229999999992</v>
      </c>
      <c r="D467">
        <v>3920.0000759999998</v>
      </c>
      <c r="E467">
        <v>0.68</v>
      </c>
      <c r="F467">
        <v>0</v>
      </c>
      <c r="G467">
        <v>0</v>
      </c>
      <c r="H467">
        <v>0</v>
      </c>
      <c r="I467">
        <v>0</v>
      </c>
      <c r="J467">
        <v>36.21</v>
      </c>
      <c r="K467">
        <v>4</v>
      </c>
      <c r="L467">
        <v>33.083106999999998</v>
      </c>
      <c r="M467">
        <v>49.5</v>
      </c>
      <c r="P467">
        <v>4.6258947920000004</v>
      </c>
      <c r="Q467">
        <v>4330.9723690000001</v>
      </c>
      <c r="R467">
        <v>3.68</v>
      </c>
      <c r="S467">
        <v>581730</v>
      </c>
      <c r="T467">
        <v>-22.328474</v>
      </c>
      <c r="U467">
        <v>24.684866</v>
      </c>
    </row>
    <row r="468" spans="1:21">
      <c r="A468" t="s">
        <v>43</v>
      </c>
      <c r="B468">
        <v>2004</v>
      </c>
      <c r="C468">
        <v>8571.5</v>
      </c>
      <c r="D468">
        <v>3970.0000289999998</v>
      </c>
      <c r="E468">
        <v>0.74</v>
      </c>
      <c r="F468">
        <v>0</v>
      </c>
      <c r="G468">
        <v>0</v>
      </c>
      <c r="H468">
        <v>0</v>
      </c>
      <c r="I468">
        <v>0</v>
      </c>
      <c r="J468">
        <v>34.340000000000003</v>
      </c>
      <c r="K468">
        <v>4</v>
      </c>
      <c r="L468">
        <v>35.298912000000001</v>
      </c>
      <c r="M468">
        <v>51.1</v>
      </c>
      <c r="O468">
        <v>40000</v>
      </c>
      <c r="P468">
        <v>2.7058217369999999</v>
      </c>
      <c r="Q468">
        <v>5073.5204080000003</v>
      </c>
      <c r="R468">
        <v>3.69</v>
      </c>
      <c r="S468">
        <v>581730</v>
      </c>
      <c r="T468">
        <v>-22.328474</v>
      </c>
      <c r="U468">
        <v>24.684866</v>
      </c>
    </row>
    <row r="469" spans="1:21">
      <c r="A469" t="s">
        <v>43</v>
      </c>
      <c r="B469">
        <v>2005</v>
      </c>
      <c r="C469">
        <v>8948.1039999999994</v>
      </c>
      <c r="D469">
        <v>4280.0002100000002</v>
      </c>
      <c r="E469">
        <v>0.81</v>
      </c>
      <c r="F469">
        <v>0</v>
      </c>
      <c r="G469">
        <v>0</v>
      </c>
      <c r="H469">
        <v>0</v>
      </c>
      <c r="I469">
        <v>0</v>
      </c>
      <c r="J469">
        <v>33</v>
      </c>
      <c r="K469">
        <v>4</v>
      </c>
      <c r="L469">
        <v>37.514180000000003</v>
      </c>
      <c r="M469">
        <v>52.6</v>
      </c>
      <c r="O469">
        <v>20000</v>
      </c>
      <c r="P469">
        <v>4.5566456569999998</v>
      </c>
      <c r="Q469">
        <v>5513.3310629999996</v>
      </c>
      <c r="R469">
        <v>3.64</v>
      </c>
      <c r="S469">
        <v>581730</v>
      </c>
      <c r="T469">
        <v>-22.328474</v>
      </c>
      <c r="U469">
        <v>24.684866</v>
      </c>
    </row>
    <row r="470" spans="1:21">
      <c r="A470" t="s">
        <v>43</v>
      </c>
      <c r="B470">
        <v>2006</v>
      </c>
      <c r="C470">
        <v>9380.9480000000003</v>
      </c>
      <c r="D470">
        <v>4090.000153</v>
      </c>
      <c r="E470">
        <v>0.75</v>
      </c>
      <c r="F470">
        <v>0</v>
      </c>
      <c r="G470">
        <v>0</v>
      </c>
      <c r="H470">
        <v>0</v>
      </c>
      <c r="I470">
        <v>0</v>
      </c>
      <c r="J470">
        <v>31.4</v>
      </c>
      <c r="K470">
        <v>4</v>
      </c>
      <c r="L470">
        <v>39.731319999999997</v>
      </c>
      <c r="M470">
        <v>53.7</v>
      </c>
      <c r="O470">
        <v>60000</v>
      </c>
      <c r="P470">
        <v>8.363871069</v>
      </c>
      <c r="Q470">
        <v>5521.9906080000001</v>
      </c>
      <c r="R470">
        <v>3.47</v>
      </c>
      <c r="S470">
        <v>581730</v>
      </c>
      <c r="T470">
        <v>-22.328474</v>
      </c>
      <c r="U470">
        <v>24.684866</v>
      </c>
    </row>
    <row r="471" spans="1:21">
      <c r="A471" t="s">
        <v>43</v>
      </c>
      <c r="B471">
        <v>2007</v>
      </c>
      <c r="C471">
        <v>9445.0730000000003</v>
      </c>
      <c r="D471">
        <v>4320.000172</v>
      </c>
      <c r="E471">
        <v>0.57999999999999996</v>
      </c>
      <c r="F471">
        <v>0</v>
      </c>
      <c r="G471">
        <v>0</v>
      </c>
      <c r="H471">
        <v>0</v>
      </c>
      <c r="I471">
        <v>0</v>
      </c>
      <c r="J471">
        <v>29.03</v>
      </c>
      <c r="K471">
        <v>4</v>
      </c>
      <c r="L471">
        <v>41.952979999999997</v>
      </c>
      <c r="M471">
        <v>55.1</v>
      </c>
      <c r="O471">
        <v>10000</v>
      </c>
      <c r="P471">
        <v>8.2767637930000006</v>
      </c>
      <c r="Q471">
        <v>5832.7370520000004</v>
      </c>
      <c r="R471">
        <v>3.28</v>
      </c>
      <c r="S471">
        <v>581730</v>
      </c>
      <c r="T471">
        <v>-22.328474</v>
      </c>
      <c r="U471">
        <v>24.684866</v>
      </c>
    </row>
    <row r="472" spans="1:21">
      <c r="A472" t="s">
        <v>43</v>
      </c>
      <c r="B472">
        <v>2008</v>
      </c>
      <c r="C472">
        <v>9627.6530000000002</v>
      </c>
      <c r="D472">
        <v>4389.9998660000001</v>
      </c>
      <c r="E472">
        <v>0.55000000000000004</v>
      </c>
      <c r="F472">
        <v>0</v>
      </c>
      <c r="G472">
        <v>0</v>
      </c>
      <c r="H472">
        <v>0</v>
      </c>
      <c r="I472">
        <v>0</v>
      </c>
      <c r="J472">
        <v>27.86</v>
      </c>
      <c r="K472">
        <v>4</v>
      </c>
      <c r="L472">
        <v>44.5</v>
      </c>
      <c r="M472">
        <v>56.4</v>
      </c>
      <c r="P472">
        <v>6.2454373629999997</v>
      </c>
      <c r="Q472">
        <v>5713.5439310000002</v>
      </c>
      <c r="R472">
        <v>3.24</v>
      </c>
      <c r="S472">
        <v>581730</v>
      </c>
      <c r="T472">
        <v>-22.328474</v>
      </c>
      <c r="U472">
        <v>24.684866</v>
      </c>
    </row>
    <row r="473" spans="1:21">
      <c r="A473" t="s">
        <v>43</v>
      </c>
      <c r="B473">
        <v>2009</v>
      </c>
      <c r="C473">
        <v>8820.0205000000005</v>
      </c>
      <c r="D473">
        <v>4190.0000570000002</v>
      </c>
      <c r="E473">
        <v>0.41</v>
      </c>
      <c r="F473">
        <v>0</v>
      </c>
      <c r="G473">
        <v>0</v>
      </c>
      <c r="H473">
        <v>0</v>
      </c>
      <c r="I473">
        <v>0.01</v>
      </c>
      <c r="J473">
        <v>28.29</v>
      </c>
      <c r="K473">
        <v>4</v>
      </c>
      <c r="L473">
        <v>43.36</v>
      </c>
      <c r="M473">
        <v>57.6</v>
      </c>
      <c r="O473">
        <v>6740000</v>
      </c>
      <c r="P473">
        <v>-7.6523102029999999</v>
      </c>
      <c r="Q473">
        <v>5255.7765330000002</v>
      </c>
      <c r="R473">
        <v>3.25</v>
      </c>
      <c r="S473">
        <v>581730</v>
      </c>
      <c r="T473">
        <v>-22.328474</v>
      </c>
      <c r="U473">
        <v>24.684866</v>
      </c>
    </row>
    <row r="474" spans="1:21">
      <c r="A474" t="s">
        <v>43</v>
      </c>
      <c r="B474">
        <v>2010</v>
      </c>
      <c r="C474">
        <v>8901.2669999999998</v>
      </c>
      <c r="D474">
        <v>3369.9998860000001</v>
      </c>
      <c r="E474">
        <v>0.5</v>
      </c>
      <c r="F474">
        <v>0</v>
      </c>
      <c r="G474">
        <v>0</v>
      </c>
      <c r="H474">
        <v>0</v>
      </c>
      <c r="I474">
        <v>7.0000000000000007E-2</v>
      </c>
      <c r="J474">
        <v>29.41</v>
      </c>
      <c r="K474">
        <v>4</v>
      </c>
      <c r="L474">
        <v>52.017780000000002</v>
      </c>
      <c r="M474">
        <v>58.5</v>
      </c>
      <c r="O474">
        <v>10260000</v>
      </c>
      <c r="P474">
        <v>8.5636307919999997</v>
      </c>
      <c r="Q474">
        <v>6434.8124850000004</v>
      </c>
      <c r="R474">
        <v>3.25</v>
      </c>
      <c r="S474">
        <v>581730</v>
      </c>
      <c r="T474">
        <v>-22.328474</v>
      </c>
      <c r="U474">
        <v>24.684866</v>
      </c>
    </row>
    <row r="475" spans="1:21">
      <c r="A475" t="s">
        <v>43</v>
      </c>
      <c r="B475">
        <v>2011</v>
      </c>
      <c r="C475">
        <v>9151.2549999999992</v>
      </c>
      <c r="D475">
        <v>3880.0001139999999</v>
      </c>
      <c r="E475">
        <v>0.45</v>
      </c>
      <c r="F475">
        <v>0</v>
      </c>
      <c r="G475">
        <v>0</v>
      </c>
      <c r="H475">
        <v>0</v>
      </c>
      <c r="I475">
        <v>0.08</v>
      </c>
      <c r="J475">
        <v>28.41</v>
      </c>
      <c r="K475">
        <v>4</v>
      </c>
      <c r="L475">
        <v>53.24</v>
      </c>
      <c r="M475">
        <v>59.6</v>
      </c>
      <c r="O475">
        <v>80000</v>
      </c>
      <c r="P475">
        <v>6.0483614550000002</v>
      </c>
      <c r="Q475">
        <v>7617.3100409999997</v>
      </c>
      <c r="R475">
        <v>2.91</v>
      </c>
      <c r="S475">
        <v>581730</v>
      </c>
      <c r="T475">
        <v>-22.328474</v>
      </c>
      <c r="U475">
        <v>24.684866</v>
      </c>
    </row>
    <row r="476" spans="1:21">
      <c r="A476" t="s">
        <v>43</v>
      </c>
      <c r="B476">
        <v>2012</v>
      </c>
      <c r="C476">
        <v>8872.1990000000005</v>
      </c>
      <c r="D476">
        <v>3410.000086</v>
      </c>
      <c r="E476">
        <v>0.33</v>
      </c>
      <c r="F476">
        <v>0</v>
      </c>
      <c r="G476">
        <v>0</v>
      </c>
      <c r="H476">
        <v>0</v>
      </c>
      <c r="I476">
        <v>0.79</v>
      </c>
      <c r="J476">
        <v>27.55</v>
      </c>
      <c r="K476">
        <v>4</v>
      </c>
      <c r="L476">
        <v>56.018813999999999</v>
      </c>
      <c r="M476">
        <v>60.2</v>
      </c>
      <c r="O476">
        <v>460000</v>
      </c>
      <c r="P476">
        <v>4.456144471</v>
      </c>
      <c r="Q476">
        <v>7050.573472</v>
      </c>
      <c r="R476">
        <v>3.14</v>
      </c>
      <c r="S476">
        <v>581730</v>
      </c>
      <c r="T476">
        <v>-22.328474</v>
      </c>
      <c r="U476">
        <v>24.684866</v>
      </c>
    </row>
    <row r="477" spans="1:21">
      <c r="A477" t="s">
        <v>43</v>
      </c>
      <c r="B477">
        <v>2013</v>
      </c>
      <c r="C477">
        <v>8641.0810000000001</v>
      </c>
      <c r="D477">
        <v>5420.0000760000003</v>
      </c>
      <c r="E477">
        <v>0.86</v>
      </c>
      <c r="F477">
        <v>0</v>
      </c>
      <c r="G477">
        <v>0</v>
      </c>
      <c r="H477">
        <v>0</v>
      </c>
      <c r="I477">
        <v>0.83</v>
      </c>
      <c r="J477">
        <v>26.36</v>
      </c>
      <c r="K477">
        <v>4</v>
      </c>
      <c r="L477">
        <v>57.99192</v>
      </c>
      <c r="M477">
        <v>60.8</v>
      </c>
      <c r="P477">
        <v>11.343396970000001</v>
      </c>
      <c r="Q477">
        <v>7224.9127369999997</v>
      </c>
      <c r="R477">
        <v>2.97</v>
      </c>
      <c r="S477">
        <v>581730</v>
      </c>
      <c r="T477">
        <v>-22.328474</v>
      </c>
      <c r="U477">
        <v>24.684866</v>
      </c>
    </row>
    <row r="478" spans="1:21">
      <c r="A478" t="s">
        <v>43</v>
      </c>
      <c r="B478">
        <v>2014</v>
      </c>
      <c r="C478">
        <v>8513.3950000000004</v>
      </c>
      <c r="D478">
        <v>6989.9997709999998</v>
      </c>
      <c r="E478">
        <v>2.17</v>
      </c>
      <c r="F478">
        <v>0</v>
      </c>
      <c r="G478">
        <v>0</v>
      </c>
      <c r="H478">
        <v>0</v>
      </c>
      <c r="I478">
        <v>0.89</v>
      </c>
      <c r="J478">
        <v>25.38</v>
      </c>
      <c r="K478">
        <v>4</v>
      </c>
      <c r="L478">
        <v>59.952995000000001</v>
      </c>
      <c r="M478">
        <v>61.3</v>
      </c>
      <c r="O478">
        <v>2550000</v>
      </c>
      <c r="P478">
        <v>4.149262255</v>
      </c>
      <c r="Q478">
        <v>7495.2208659999997</v>
      </c>
      <c r="R478">
        <v>3.11</v>
      </c>
      <c r="S478">
        <v>581730</v>
      </c>
      <c r="T478">
        <v>-22.328474</v>
      </c>
      <c r="U478">
        <v>24.684866</v>
      </c>
    </row>
    <row r="479" spans="1:21">
      <c r="A479" t="s">
        <v>43</v>
      </c>
      <c r="B479">
        <v>2015</v>
      </c>
      <c r="C479">
        <v>10171.934999999999</v>
      </c>
      <c r="D479">
        <v>6949.9998089999999</v>
      </c>
      <c r="E479">
        <v>2.79</v>
      </c>
      <c r="F479">
        <v>0</v>
      </c>
      <c r="G479">
        <v>0</v>
      </c>
      <c r="H479">
        <v>0</v>
      </c>
      <c r="I479">
        <v>1.01</v>
      </c>
      <c r="J479">
        <v>25.58</v>
      </c>
      <c r="K479">
        <v>4</v>
      </c>
      <c r="L479">
        <v>62.13</v>
      </c>
      <c r="M479">
        <v>61.7</v>
      </c>
      <c r="P479">
        <v>-5.7176825569999998</v>
      </c>
      <c r="Q479">
        <v>6402.910183</v>
      </c>
      <c r="R479">
        <v>3.15</v>
      </c>
      <c r="S479">
        <v>581730</v>
      </c>
      <c r="T479">
        <v>-22.328474</v>
      </c>
      <c r="U479">
        <v>24.684866</v>
      </c>
    </row>
    <row r="480" spans="1:21">
      <c r="A480" t="s">
        <v>43</v>
      </c>
      <c r="B480">
        <v>2016</v>
      </c>
      <c r="C480">
        <v>10964.355</v>
      </c>
      <c r="D480">
        <v>6630.0001140000004</v>
      </c>
      <c r="E480">
        <v>2.52</v>
      </c>
      <c r="F480">
        <v>0</v>
      </c>
      <c r="G480">
        <v>0</v>
      </c>
      <c r="H480">
        <v>0</v>
      </c>
      <c r="I480">
        <v>1.52</v>
      </c>
      <c r="J480">
        <v>26.13</v>
      </c>
      <c r="K480">
        <v>4</v>
      </c>
      <c r="L480">
        <v>64.175060000000002</v>
      </c>
      <c r="M480">
        <v>62.4</v>
      </c>
      <c r="O480">
        <v>10000</v>
      </c>
      <c r="P480">
        <v>7.0368969510000001</v>
      </c>
      <c r="Q480">
        <v>6982.9174919999996</v>
      </c>
      <c r="R480">
        <v>2.89</v>
      </c>
      <c r="S480">
        <v>581730</v>
      </c>
      <c r="T480">
        <v>-22.328474</v>
      </c>
      <c r="U480">
        <v>24.684866</v>
      </c>
    </row>
    <row r="481" spans="1:21">
      <c r="A481" t="s">
        <v>43</v>
      </c>
      <c r="B481">
        <v>2017</v>
      </c>
      <c r="C481">
        <v>9879.7569999999996</v>
      </c>
      <c r="D481">
        <v>7329.9999239999997</v>
      </c>
      <c r="E481">
        <v>2.84</v>
      </c>
      <c r="F481">
        <v>0</v>
      </c>
      <c r="G481">
        <v>0</v>
      </c>
      <c r="H481">
        <v>0</v>
      </c>
      <c r="I481">
        <v>1.54</v>
      </c>
      <c r="J481">
        <v>26.12</v>
      </c>
      <c r="K481">
        <v>4</v>
      </c>
      <c r="L481">
        <v>67.400000000000006</v>
      </c>
      <c r="M481">
        <v>63</v>
      </c>
      <c r="O481">
        <v>20000</v>
      </c>
      <c r="P481">
        <v>4.0034497399999998</v>
      </c>
      <c r="Q481">
        <v>7296.0921420000004</v>
      </c>
      <c r="R481">
        <v>2.98</v>
      </c>
      <c r="S481">
        <v>581730</v>
      </c>
      <c r="T481">
        <v>-22.328474</v>
      </c>
      <c r="U481">
        <v>24.684866</v>
      </c>
    </row>
    <row r="482" spans="1:21">
      <c r="A482" t="s">
        <v>43</v>
      </c>
      <c r="B482">
        <v>2018</v>
      </c>
      <c r="C482">
        <v>9597.1839999999993</v>
      </c>
      <c r="D482">
        <v>7309.9999429999998</v>
      </c>
      <c r="E482">
        <v>2.96</v>
      </c>
      <c r="F482">
        <v>0</v>
      </c>
      <c r="G482">
        <v>0.01</v>
      </c>
      <c r="H482">
        <v>0.33670032</v>
      </c>
      <c r="I482">
        <v>1.74</v>
      </c>
      <c r="J482">
        <v>25.76</v>
      </c>
      <c r="K482">
        <v>4</v>
      </c>
      <c r="L482">
        <v>68.229259999999996</v>
      </c>
      <c r="M482">
        <v>63.8</v>
      </c>
      <c r="O482">
        <v>10000</v>
      </c>
      <c r="P482">
        <v>3.98039539</v>
      </c>
      <c r="Q482">
        <v>7503.8785879999996</v>
      </c>
      <c r="R482">
        <v>2.76</v>
      </c>
      <c r="S482">
        <v>581730</v>
      </c>
      <c r="T482">
        <v>-22.328474</v>
      </c>
      <c r="U482">
        <v>24.684866</v>
      </c>
    </row>
    <row r="483" spans="1:21">
      <c r="A483" t="s">
        <v>43</v>
      </c>
      <c r="B483">
        <v>2019</v>
      </c>
      <c r="C483">
        <v>9467.9840000000004</v>
      </c>
      <c r="D483">
        <v>7250</v>
      </c>
      <c r="E483">
        <v>3.05</v>
      </c>
      <c r="F483">
        <v>0</v>
      </c>
      <c r="G483">
        <v>0.01</v>
      </c>
      <c r="H483">
        <v>0.32679740000000002</v>
      </c>
      <c r="I483">
        <v>2.65</v>
      </c>
      <c r="J483">
        <v>25.57</v>
      </c>
      <c r="K483">
        <v>4</v>
      </c>
      <c r="L483">
        <v>69.959739999999996</v>
      </c>
      <c r="M483">
        <v>63.9</v>
      </c>
      <c r="P483">
        <v>2.9927376350000001</v>
      </c>
      <c r="Q483">
        <v>7203.0642209999996</v>
      </c>
      <c r="R483">
        <v>2.69</v>
      </c>
      <c r="S483">
        <v>581730</v>
      </c>
      <c r="T483">
        <v>-22.328474</v>
      </c>
      <c r="U483">
        <v>24.684866</v>
      </c>
    </row>
    <row r="484" spans="1:21">
      <c r="A484" t="s">
        <v>43</v>
      </c>
      <c r="B484">
        <v>2020</v>
      </c>
      <c r="C484">
        <v>8843.107</v>
      </c>
      <c r="E484">
        <v>2.0499999999999998</v>
      </c>
      <c r="F484">
        <v>0</v>
      </c>
      <c r="G484">
        <v>0.01</v>
      </c>
      <c r="H484">
        <v>0.48543691999999999</v>
      </c>
      <c r="I484">
        <v>2.61</v>
      </c>
      <c r="K484">
        <v>4</v>
      </c>
      <c r="L484">
        <v>71.994759999999999</v>
      </c>
      <c r="M484">
        <v>64.7</v>
      </c>
      <c r="P484">
        <v>-8.4928935110000001</v>
      </c>
      <c r="Q484">
        <v>6404.8999320000003</v>
      </c>
      <c r="S484">
        <v>581730</v>
      </c>
      <c r="T484">
        <v>-22.328474</v>
      </c>
      <c r="U484">
        <v>24.684866</v>
      </c>
    </row>
    <row r="485" spans="1:21">
      <c r="A485" t="s">
        <v>44</v>
      </c>
      <c r="B485">
        <v>2000</v>
      </c>
      <c r="C485">
        <v>13400.32</v>
      </c>
      <c r="D485">
        <v>313670</v>
      </c>
      <c r="E485">
        <v>28.87</v>
      </c>
      <c r="F485">
        <v>4.9400000000000004</v>
      </c>
      <c r="G485">
        <v>308.77</v>
      </c>
      <c r="H485">
        <v>91.572779999999995</v>
      </c>
      <c r="I485">
        <v>364.68</v>
      </c>
      <c r="J485">
        <v>42.66</v>
      </c>
      <c r="K485">
        <v>25</v>
      </c>
      <c r="L485">
        <v>94.391716000000002</v>
      </c>
      <c r="M485">
        <v>89</v>
      </c>
      <c r="N485">
        <v>43.288432999999998</v>
      </c>
      <c r="O485">
        <v>126500000</v>
      </c>
      <c r="P485">
        <v>4.3879494440000002</v>
      </c>
      <c r="Q485">
        <v>3749.910848</v>
      </c>
      <c r="R485">
        <v>3.88</v>
      </c>
      <c r="S485">
        <v>8515770</v>
      </c>
      <c r="T485">
        <v>-14.235004</v>
      </c>
      <c r="U485">
        <v>-51.925280000000001</v>
      </c>
    </row>
    <row r="486" spans="1:21">
      <c r="A486" t="s">
        <v>44</v>
      </c>
      <c r="B486">
        <v>2001</v>
      </c>
      <c r="C486">
        <v>12893.828</v>
      </c>
      <c r="D486">
        <v>319380</v>
      </c>
      <c r="E486">
        <v>35.19</v>
      </c>
      <c r="F486">
        <v>14.27</v>
      </c>
      <c r="G486">
        <v>273.70999999999998</v>
      </c>
      <c r="H486">
        <v>89.111000000000004</v>
      </c>
      <c r="I486">
        <v>367.36</v>
      </c>
      <c r="J486">
        <v>41.33</v>
      </c>
      <c r="K486">
        <v>25</v>
      </c>
      <c r="L486">
        <v>96.016525000000001</v>
      </c>
      <c r="M486">
        <v>89.7</v>
      </c>
      <c r="N486">
        <v>39.111620000000002</v>
      </c>
      <c r="O486">
        <v>5290000</v>
      </c>
      <c r="P486">
        <v>1.3898964039999999</v>
      </c>
      <c r="Q486">
        <v>3160.2493450000002</v>
      </c>
      <c r="R486">
        <v>3.9</v>
      </c>
      <c r="S486">
        <v>8515770</v>
      </c>
      <c r="T486">
        <v>-14.235004</v>
      </c>
      <c r="U486">
        <v>-51.925280000000001</v>
      </c>
    </row>
    <row r="487" spans="1:21">
      <c r="A487" t="s">
        <v>44</v>
      </c>
      <c r="B487">
        <v>2002</v>
      </c>
      <c r="C487">
        <v>13021.790999999999</v>
      </c>
      <c r="D487">
        <v>317760.0098</v>
      </c>
      <c r="E487">
        <v>33.5</v>
      </c>
      <c r="F487">
        <v>13.84</v>
      </c>
      <c r="G487">
        <v>292.95</v>
      </c>
      <c r="H487">
        <v>90.155460000000005</v>
      </c>
      <c r="I487">
        <v>374.1</v>
      </c>
      <c r="J487">
        <v>42.85</v>
      </c>
      <c r="K487">
        <v>25</v>
      </c>
      <c r="L487">
        <v>96.652990000000003</v>
      </c>
      <c r="M487">
        <v>90.1</v>
      </c>
      <c r="N487">
        <v>40.756653</v>
      </c>
      <c r="O487">
        <v>33350000</v>
      </c>
      <c r="P487">
        <v>3.0534618569999998</v>
      </c>
      <c r="Q487">
        <v>2839.491501</v>
      </c>
      <c r="R487">
        <v>3.89</v>
      </c>
      <c r="S487">
        <v>8515770</v>
      </c>
      <c r="T487">
        <v>-14.235004</v>
      </c>
      <c r="U487">
        <v>-51.925280000000001</v>
      </c>
    </row>
    <row r="488" spans="1:21">
      <c r="A488" t="s">
        <v>44</v>
      </c>
      <c r="B488">
        <v>2003</v>
      </c>
      <c r="C488">
        <v>13111.923000000001</v>
      </c>
      <c r="D488">
        <v>310809.9976</v>
      </c>
      <c r="E488">
        <v>31.62</v>
      </c>
      <c r="F488">
        <v>13.4</v>
      </c>
      <c r="G488">
        <v>313.88</v>
      </c>
      <c r="H488">
        <v>91.189750000000004</v>
      </c>
      <c r="I488">
        <v>387.32</v>
      </c>
      <c r="J488">
        <v>45.11</v>
      </c>
      <c r="K488">
        <v>25</v>
      </c>
      <c r="L488">
        <v>96.980095000000006</v>
      </c>
      <c r="M488">
        <v>90.6</v>
      </c>
      <c r="N488">
        <v>42.284126000000001</v>
      </c>
      <c r="O488">
        <v>7530000</v>
      </c>
      <c r="P488">
        <v>1.140828999</v>
      </c>
      <c r="Q488">
        <v>3070.4364190000001</v>
      </c>
      <c r="R488">
        <v>3.91</v>
      </c>
      <c r="S488">
        <v>8515770</v>
      </c>
      <c r="T488">
        <v>-14.235004</v>
      </c>
      <c r="U488">
        <v>-51.925280000000001</v>
      </c>
    </row>
    <row r="489" spans="1:21">
      <c r="A489" t="s">
        <v>44</v>
      </c>
      <c r="B489">
        <v>2004</v>
      </c>
      <c r="C489">
        <v>13593.7</v>
      </c>
      <c r="D489">
        <v>328519.989</v>
      </c>
      <c r="E489">
        <v>40.14</v>
      </c>
      <c r="F489">
        <v>11.6</v>
      </c>
      <c r="G489">
        <v>329.43</v>
      </c>
      <c r="H489">
        <v>89.469260000000006</v>
      </c>
      <c r="I489">
        <v>392.57</v>
      </c>
      <c r="J489">
        <v>45.18</v>
      </c>
      <c r="K489">
        <v>25</v>
      </c>
      <c r="L489">
        <v>96.765110000000007</v>
      </c>
      <c r="M489">
        <v>91.1</v>
      </c>
      <c r="N489">
        <v>42.286155999999998</v>
      </c>
      <c r="O489">
        <v>1140000</v>
      </c>
      <c r="P489">
        <v>5.7599646370000004</v>
      </c>
      <c r="Q489">
        <v>3637.3138899999999</v>
      </c>
      <c r="R489">
        <v>3.9</v>
      </c>
      <c r="S489">
        <v>8515770</v>
      </c>
      <c r="T489">
        <v>-14.235004</v>
      </c>
      <c r="U489">
        <v>-51.925280000000001</v>
      </c>
    </row>
    <row r="490" spans="1:21">
      <c r="A490" t="s">
        <v>44</v>
      </c>
      <c r="B490">
        <v>2005</v>
      </c>
      <c r="C490">
        <v>13792.465</v>
      </c>
      <c r="D490">
        <v>331690.0024</v>
      </c>
      <c r="E490">
        <v>39.56</v>
      </c>
      <c r="F490">
        <v>9.1999999999999993</v>
      </c>
      <c r="G490">
        <v>346.96</v>
      </c>
      <c r="H490">
        <v>90.003029999999995</v>
      </c>
      <c r="I490">
        <v>399.88</v>
      </c>
      <c r="J490">
        <v>46.13</v>
      </c>
      <c r="K490">
        <v>25</v>
      </c>
      <c r="L490">
        <v>97.093509999999995</v>
      </c>
      <c r="M490">
        <v>91.6</v>
      </c>
      <c r="N490">
        <v>43.145699999999998</v>
      </c>
      <c r="O490">
        <v>11720000</v>
      </c>
      <c r="P490">
        <v>3.202132062</v>
      </c>
      <c r="Q490">
        <v>4790.4565659999998</v>
      </c>
      <c r="R490">
        <v>3.88</v>
      </c>
      <c r="S490">
        <v>8515770</v>
      </c>
      <c r="T490">
        <v>-14.235004</v>
      </c>
      <c r="U490">
        <v>-51.925280000000001</v>
      </c>
    </row>
    <row r="491" spans="1:21">
      <c r="A491" t="s">
        <v>44</v>
      </c>
      <c r="B491">
        <v>2006</v>
      </c>
      <c r="C491">
        <v>14020.683000000001</v>
      </c>
      <c r="D491">
        <v>335619.9951</v>
      </c>
      <c r="E491">
        <v>39.4</v>
      </c>
      <c r="F491">
        <v>12.98</v>
      </c>
      <c r="G491">
        <v>359.55</v>
      </c>
      <c r="H491">
        <v>90.435270000000003</v>
      </c>
      <c r="I491">
        <v>412.49</v>
      </c>
      <c r="J491">
        <v>46.67</v>
      </c>
      <c r="K491">
        <v>25</v>
      </c>
      <c r="L491">
        <v>97.594314999999995</v>
      </c>
      <c r="M491">
        <v>92.1</v>
      </c>
      <c r="N491">
        <v>43.045963</v>
      </c>
      <c r="O491">
        <v>1220000</v>
      </c>
      <c r="P491">
        <v>3.9619887089999999</v>
      </c>
      <c r="Q491">
        <v>5886.3915219999999</v>
      </c>
      <c r="R491">
        <v>3.86</v>
      </c>
      <c r="S491">
        <v>8515770</v>
      </c>
      <c r="T491">
        <v>-14.235004</v>
      </c>
      <c r="U491">
        <v>-51.925280000000001</v>
      </c>
    </row>
    <row r="492" spans="1:21">
      <c r="A492" t="s">
        <v>44</v>
      </c>
      <c r="B492">
        <v>2007</v>
      </c>
      <c r="C492">
        <v>14770.351000000001</v>
      </c>
      <c r="D492">
        <v>352559.9976</v>
      </c>
      <c r="E492">
        <v>37.64</v>
      </c>
      <c r="F492">
        <v>11.65</v>
      </c>
      <c r="G492">
        <v>387.88</v>
      </c>
      <c r="H492">
        <v>91.390075999999993</v>
      </c>
      <c r="I492">
        <v>427.18</v>
      </c>
      <c r="J492">
        <v>47.19</v>
      </c>
      <c r="K492">
        <v>25</v>
      </c>
      <c r="L492">
        <v>98.125380000000007</v>
      </c>
      <c r="M492">
        <v>92.6</v>
      </c>
      <c r="N492">
        <v>44.380226</v>
      </c>
      <c r="O492">
        <v>910000</v>
      </c>
      <c r="P492">
        <v>6.0698706070000004</v>
      </c>
      <c r="Q492">
        <v>7348.1879630000003</v>
      </c>
      <c r="R492">
        <v>3.84</v>
      </c>
      <c r="S492">
        <v>8515770</v>
      </c>
      <c r="T492">
        <v>-14.235004</v>
      </c>
      <c r="U492">
        <v>-51.925280000000001</v>
      </c>
    </row>
    <row r="493" spans="1:21">
      <c r="A493" t="s">
        <v>44</v>
      </c>
      <c r="B493">
        <v>2008</v>
      </c>
      <c r="C493">
        <v>15255.087</v>
      </c>
      <c r="D493">
        <v>373630.0049</v>
      </c>
      <c r="E493">
        <v>55.87</v>
      </c>
      <c r="F493">
        <v>13.21</v>
      </c>
      <c r="G493">
        <v>385.61</v>
      </c>
      <c r="H493">
        <v>87.712509999999995</v>
      </c>
      <c r="I493">
        <v>432.21</v>
      </c>
      <c r="J493">
        <v>47.04</v>
      </c>
      <c r="K493">
        <v>25</v>
      </c>
      <c r="L493">
        <v>98.526629999999997</v>
      </c>
      <c r="M493">
        <v>93.1</v>
      </c>
      <c r="N493">
        <v>43.366776000000002</v>
      </c>
      <c r="O493">
        <v>19530000</v>
      </c>
      <c r="P493">
        <v>5.0941954479999998</v>
      </c>
      <c r="Q493">
        <v>8831.1836430000003</v>
      </c>
      <c r="R493">
        <v>3.86</v>
      </c>
      <c r="S493">
        <v>8515770</v>
      </c>
      <c r="T493">
        <v>-14.235004</v>
      </c>
      <c r="U493">
        <v>-51.925280000000001</v>
      </c>
    </row>
    <row r="494" spans="1:21">
      <c r="A494" t="s">
        <v>44</v>
      </c>
      <c r="B494">
        <v>2009</v>
      </c>
      <c r="C494">
        <v>15004.24</v>
      </c>
      <c r="D494">
        <v>350000</v>
      </c>
      <c r="E494">
        <v>36.32</v>
      </c>
      <c r="F494">
        <v>12.22</v>
      </c>
      <c r="G494">
        <v>410.13</v>
      </c>
      <c r="H494">
        <v>92.081450000000004</v>
      </c>
      <c r="I494">
        <v>438.04</v>
      </c>
      <c r="J494">
        <v>48.92</v>
      </c>
      <c r="K494">
        <v>25</v>
      </c>
      <c r="L494">
        <v>98.856939999999994</v>
      </c>
      <c r="M494">
        <v>93.6</v>
      </c>
      <c r="N494">
        <v>46.30883</v>
      </c>
      <c r="O494">
        <v>174490000</v>
      </c>
      <c r="P494">
        <v>-0.12581200300000001</v>
      </c>
      <c r="Q494">
        <v>8597.7943350000005</v>
      </c>
      <c r="R494">
        <v>3.74</v>
      </c>
      <c r="S494">
        <v>8515770</v>
      </c>
      <c r="T494">
        <v>-14.235004</v>
      </c>
      <c r="U494">
        <v>-51.925280000000001</v>
      </c>
    </row>
    <row r="495" spans="1:21">
      <c r="A495" t="s">
        <v>44</v>
      </c>
      <c r="B495">
        <v>2010</v>
      </c>
      <c r="C495">
        <v>16220.931</v>
      </c>
      <c r="D495">
        <v>397929.9927</v>
      </c>
      <c r="E495">
        <v>61.02</v>
      </c>
      <c r="F495">
        <v>13.77</v>
      </c>
      <c r="G495">
        <v>435.99</v>
      </c>
      <c r="H495">
        <v>88.053566000000004</v>
      </c>
      <c r="I495">
        <v>457.6</v>
      </c>
      <c r="J495">
        <v>46.81</v>
      </c>
      <c r="K495">
        <v>25</v>
      </c>
      <c r="L495">
        <v>98.6</v>
      </c>
      <c r="M495">
        <v>94</v>
      </c>
      <c r="N495">
        <v>44.246535999999999</v>
      </c>
      <c r="O495">
        <v>135380000</v>
      </c>
      <c r="P495">
        <v>7.5282258180000001</v>
      </c>
      <c r="Q495">
        <v>11286.071540000001</v>
      </c>
      <c r="R495">
        <v>3.85</v>
      </c>
      <c r="S495">
        <v>8515770</v>
      </c>
      <c r="T495">
        <v>-14.235004</v>
      </c>
      <c r="U495">
        <v>-51.925280000000001</v>
      </c>
    </row>
    <row r="496" spans="1:21">
      <c r="A496" t="s">
        <v>44</v>
      </c>
      <c r="B496">
        <v>2011</v>
      </c>
      <c r="C496">
        <v>16629.84</v>
      </c>
      <c r="D496">
        <v>418309.9976</v>
      </c>
      <c r="E496">
        <v>50.27</v>
      </c>
      <c r="F496">
        <v>14.8</v>
      </c>
      <c r="G496">
        <v>462.32</v>
      </c>
      <c r="H496">
        <v>90.468154999999996</v>
      </c>
      <c r="I496">
        <v>470.43</v>
      </c>
      <c r="J496">
        <v>45.26</v>
      </c>
      <c r="K496">
        <v>25</v>
      </c>
      <c r="L496">
        <v>99.328689999999995</v>
      </c>
      <c r="M496">
        <v>94.3</v>
      </c>
      <c r="N496">
        <v>43.910060000000001</v>
      </c>
      <c r="O496">
        <v>187660000</v>
      </c>
      <c r="P496">
        <v>3.9744230790000001</v>
      </c>
      <c r="Q496">
        <v>13245.38737</v>
      </c>
      <c r="R496">
        <v>3.75</v>
      </c>
      <c r="S496">
        <v>8515770</v>
      </c>
      <c r="T496">
        <v>-14.235004</v>
      </c>
      <c r="U496">
        <v>-51.925280000000001</v>
      </c>
    </row>
    <row r="497" spans="1:21">
      <c r="A497" t="s">
        <v>44</v>
      </c>
      <c r="B497">
        <v>2012</v>
      </c>
      <c r="C497">
        <v>16963.493999999999</v>
      </c>
      <c r="D497">
        <v>454230.011</v>
      </c>
      <c r="E497">
        <v>77.209999999999994</v>
      </c>
      <c r="F497">
        <v>15.17</v>
      </c>
      <c r="G497">
        <v>454.78</v>
      </c>
      <c r="H497">
        <v>85.888959999999997</v>
      </c>
      <c r="I497">
        <v>482.3</v>
      </c>
      <c r="J497">
        <v>43.49</v>
      </c>
      <c r="K497">
        <v>25</v>
      </c>
      <c r="L497">
        <v>99.519490000000005</v>
      </c>
      <c r="M497">
        <v>94.7</v>
      </c>
      <c r="N497">
        <v>42.066369999999999</v>
      </c>
      <c r="O497">
        <v>228480000</v>
      </c>
      <c r="P497">
        <v>1.9211759850000001</v>
      </c>
      <c r="Q497">
        <v>12370.223249999999</v>
      </c>
      <c r="R497">
        <v>3.82</v>
      </c>
      <c r="S497">
        <v>8515770</v>
      </c>
      <c r="T497">
        <v>-14.235004</v>
      </c>
      <c r="U497">
        <v>-51.925280000000001</v>
      </c>
    </row>
    <row r="498" spans="1:21">
      <c r="A498" t="s">
        <v>44</v>
      </c>
      <c r="B498">
        <v>2013</v>
      </c>
      <c r="C498">
        <v>17221.439999999999</v>
      </c>
      <c r="D498">
        <v>486839.9963</v>
      </c>
      <c r="E498">
        <v>112</v>
      </c>
      <c r="F498">
        <v>14.65</v>
      </c>
      <c r="G498">
        <v>436.84</v>
      </c>
      <c r="H498">
        <v>80.123869999999997</v>
      </c>
      <c r="I498">
        <v>496.6</v>
      </c>
      <c r="J498">
        <v>42.32</v>
      </c>
      <c r="K498">
        <v>25</v>
      </c>
      <c r="L498">
        <v>99.575149999999994</v>
      </c>
      <c r="M498">
        <v>95</v>
      </c>
      <c r="N498">
        <v>39.836596999999998</v>
      </c>
      <c r="O498">
        <v>93260000</v>
      </c>
      <c r="P498">
        <v>3.0048226699999998</v>
      </c>
      <c r="Q498">
        <v>12300.386710000001</v>
      </c>
      <c r="R498">
        <v>3.88</v>
      </c>
      <c r="S498">
        <v>8515770</v>
      </c>
      <c r="T498">
        <v>-14.235004</v>
      </c>
      <c r="U498">
        <v>-51.925280000000001</v>
      </c>
    </row>
    <row r="499" spans="1:21">
      <c r="A499" t="s">
        <v>44</v>
      </c>
      <c r="B499">
        <v>2014</v>
      </c>
      <c r="C499">
        <v>17519.043000000001</v>
      </c>
      <c r="D499">
        <v>511619.9951</v>
      </c>
      <c r="E499">
        <v>136.58000000000001</v>
      </c>
      <c r="F499">
        <v>14.46</v>
      </c>
      <c r="G499">
        <v>430.82</v>
      </c>
      <c r="H499">
        <v>76.527000000000001</v>
      </c>
      <c r="I499">
        <v>524.97</v>
      </c>
      <c r="J499">
        <v>41.71</v>
      </c>
      <c r="K499">
        <v>25</v>
      </c>
      <c r="L499">
        <v>99.650245999999996</v>
      </c>
      <c r="M499">
        <v>95.2</v>
      </c>
      <c r="N499">
        <v>38.852744999999999</v>
      </c>
      <c r="O499">
        <v>489030000</v>
      </c>
      <c r="P499">
        <v>0.50395573999999999</v>
      </c>
      <c r="Q499">
        <v>12112.83496</v>
      </c>
      <c r="R499">
        <v>3.98</v>
      </c>
      <c r="S499">
        <v>8515770</v>
      </c>
      <c r="T499">
        <v>-14.235004</v>
      </c>
      <c r="U499">
        <v>-51.925280000000001</v>
      </c>
    </row>
    <row r="500" spans="1:21">
      <c r="A500" t="s">
        <v>44</v>
      </c>
      <c r="B500">
        <v>2015</v>
      </c>
      <c r="C500">
        <v>17140.150000000001</v>
      </c>
      <c r="D500">
        <v>485339.9963</v>
      </c>
      <c r="E500">
        <v>128.85</v>
      </c>
      <c r="F500">
        <v>13.91</v>
      </c>
      <c r="G500">
        <v>428.81</v>
      </c>
      <c r="H500">
        <v>77.456824999999995</v>
      </c>
      <c r="I500">
        <v>550.89</v>
      </c>
      <c r="J500">
        <v>43.62</v>
      </c>
      <c r="K500">
        <v>25</v>
      </c>
      <c r="L500">
        <v>99.710899999999995</v>
      </c>
      <c r="M500">
        <v>95.4</v>
      </c>
      <c r="N500">
        <v>40.603523000000003</v>
      </c>
      <c r="O500">
        <v>2300000</v>
      </c>
      <c r="P500">
        <v>-3.5457633930000001</v>
      </c>
      <c r="Q500">
        <v>8813.9898059999996</v>
      </c>
      <c r="R500">
        <v>4.05</v>
      </c>
      <c r="S500">
        <v>8515770</v>
      </c>
      <c r="T500">
        <v>-14.235004</v>
      </c>
      <c r="U500">
        <v>-51.925280000000001</v>
      </c>
    </row>
    <row r="501" spans="1:21">
      <c r="A501" t="s">
        <v>44</v>
      </c>
      <c r="B501">
        <v>2016</v>
      </c>
      <c r="C501">
        <v>16591.763999999999</v>
      </c>
      <c r="D501">
        <v>447079.9866</v>
      </c>
      <c r="E501">
        <v>93.06</v>
      </c>
      <c r="F501">
        <v>14.97</v>
      </c>
      <c r="G501">
        <v>463.37</v>
      </c>
      <c r="H501">
        <v>83.713684000000001</v>
      </c>
      <c r="I501">
        <v>588.73</v>
      </c>
      <c r="J501">
        <v>45.46</v>
      </c>
      <c r="K501">
        <v>25</v>
      </c>
      <c r="L501">
        <v>99.7</v>
      </c>
      <c r="M501">
        <v>95.7</v>
      </c>
      <c r="N501">
        <v>43.538699999999999</v>
      </c>
      <c r="O501">
        <v>161960000</v>
      </c>
      <c r="P501">
        <v>-3.275916906</v>
      </c>
      <c r="Q501">
        <v>8710.0632900000001</v>
      </c>
      <c r="R501">
        <v>4.03</v>
      </c>
      <c r="S501">
        <v>8515770</v>
      </c>
      <c r="T501">
        <v>-14.235004</v>
      </c>
      <c r="U501">
        <v>-51.925280000000001</v>
      </c>
    </row>
    <row r="502" spans="1:21">
      <c r="A502" t="s">
        <v>44</v>
      </c>
      <c r="B502">
        <v>2017</v>
      </c>
      <c r="C502">
        <v>16608.686000000002</v>
      </c>
      <c r="D502">
        <v>456489.9902</v>
      </c>
      <c r="E502">
        <v>101.9</v>
      </c>
      <c r="F502">
        <v>14.86</v>
      </c>
      <c r="G502">
        <v>464.4</v>
      </c>
      <c r="H502">
        <v>82.466099999999997</v>
      </c>
      <c r="I502">
        <v>617.89</v>
      </c>
      <c r="J502">
        <v>45.33</v>
      </c>
      <c r="K502">
        <v>25</v>
      </c>
      <c r="L502">
        <v>99.8</v>
      </c>
      <c r="M502">
        <v>95.7</v>
      </c>
      <c r="N502">
        <v>43.280678000000002</v>
      </c>
      <c r="O502">
        <v>521620000</v>
      </c>
      <c r="P502">
        <v>1.3228690540000001</v>
      </c>
      <c r="Q502">
        <v>9928.6758969999992</v>
      </c>
      <c r="R502">
        <v>4.05</v>
      </c>
      <c r="S502">
        <v>8515770</v>
      </c>
      <c r="T502">
        <v>-14.235004</v>
      </c>
      <c r="U502">
        <v>-51.925280000000001</v>
      </c>
    </row>
    <row r="503" spans="1:21">
      <c r="A503" t="s">
        <v>44</v>
      </c>
      <c r="B503">
        <v>2018</v>
      </c>
      <c r="C503">
        <v>16539.11</v>
      </c>
      <c r="D503">
        <v>433989.9902</v>
      </c>
      <c r="E503">
        <v>86.69</v>
      </c>
      <c r="F503">
        <v>14.79</v>
      </c>
      <c r="G503">
        <v>492.66</v>
      </c>
      <c r="H503">
        <v>85.409164000000004</v>
      </c>
      <c r="I503">
        <v>652.03</v>
      </c>
      <c r="J503">
        <v>46.95</v>
      </c>
      <c r="K503">
        <v>25</v>
      </c>
      <c r="L503">
        <v>99.7</v>
      </c>
      <c r="M503">
        <v>95.8</v>
      </c>
      <c r="N503">
        <v>46.080497999999999</v>
      </c>
      <c r="O503">
        <v>256430000</v>
      </c>
      <c r="P503">
        <v>1.7836667610000001</v>
      </c>
      <c r="Q503">
        <v>9151.3817319999998</v>
      </c>
      <c r="R503">
        <v>3.93</v>
      </c>
      <c r="S503">
        <v>8515770</v>
      </c>
      <c r="T503">
        <v>-14.235004</v>
      </c>
      <c r="U503">
        <v>-51.925280000000001</v>
      </c>
    </row>
    <row r="504" spans="1:21">
      <c r="A504" t="s">
        <v>44</v>
      </c>
      <c r="B504">
        <v>2019</v>
      </c>
      <c r="C504">
        <v>16681.945</v>
      </c>
      <c r="D504">
        <v>434299.9878</v>
      </c>
      <c r="E504">
        <v>90.91</v>
      </c>
      <c r="F504">
        <v>15.16</v>
      </c>
      <c r="G504">
        <v>512.59</v>
      </c>
      <c r="H504">
        <v>85.305340000000001</v>
      </c>
      <c r="I504">
        <v>684.92</v>
      </c>
      <c r="J504">
        <v>47.57</v>
      </c>
      <c r="K504">
        <v>25</v>
      </c>
      <c r="L504">
        <v>99.8</v>
      </c>
      <c r="M504">
        <v>95.8</v>
      </c>
      <c r="N504">
        <v>47.304844000000003</v>
      </c>
      <c r="O504">
        <v>50980000</v>
      </c>
      <c r="P504">
        <v>1.411152985</v>
      </c>
      <c r="Q504">
        <v>8897.5529659999993</v>
      </c>
      <c r="R504">
        <v>3.93</v>
      </c>
      <c r="S504">
        <v>8515770</v>
      </c>
      <c r="T504">
        <v>-14.235004</v>
      </c>
      <c r="U504">
        <v>-51.925280000000001</v>
      </c>
    </row>
    <row r="505" spans="1:21">
      <c r="A505" t="s">
        <v>44</v>
      </c>
      <c r="B505">
        <v>2020</v>
      </c>
      <c r="C505">
        <v>15921.326999999999</v>
      </c>
      <c r="E505">
        <v>81.150000000000006</v>
      </c>
      <c r="F505">
        <v>13.21</v>
      </c>
      <c r="G505">
        <v>520.01</v>
      </c>
      <c r="H505">
        <v>86.791340000000005</v>
      </c>
      <c r="I505">
        <v>705.9</v>
      </c>
      <c r="K505">
        <v>25</v>
      </c>
      <c r="L505">
        <v>100</v>
      </c>
      <c r="M505">
        <v>95.9</v>
      </c>
      <c r="N505">
        <v>49.471879999999999</v>
      </c>
      <c r="P505">
        <v>-4.0590482730000002</v>
      </c>
      <c r="Q505">
        <v>6796.8445419999998</v>
      </c>
      <c r="S505">
        <v>8515770</v>
      </c>
      <c r="T505">
        <v>-14.235004</v>
      </c>
      <c r="U505">
        <v>-51.925280000000001</v>
      </c>
    </row>
    <row r="506" spans="1:21">
      <c r="A506" t="s">
        <v>45</v>
      </c>
      <c r="B506">
        <v>2000</v>
      </c>
      <c r="C506">
        <v>26859.671999999999</v>
      </c>
      <c r="D506">
        <v>43420</v>
      </c>
      <c r="E506">
        <v>19.79</v>
      </c>
      <c r="F506">
        <v>18.18</v>
      </c>
      <c r="G506">
        <v>2.63</v>
      </c>
      <c r="H506">
        <v>51.256160000000001</v>
      </c>
      <c r="J506">
        <v>7.97</v>
      </c>
      <c r="K506">
        <v>64</v>
      </c>
      <c r="L506">
        <v>100</v>
      </c>
      <c r="N506">
        <v>3.6347754000000001</v>
      </c>
      <c r="P506">
        <v>4.587225342</v>
      </c>
      <c r="Q506">
        <v>1621.2429609999999</v>
      </c>
      <c r="R506">
        <v>9.34</v>
      </c>
      <c r="S506">
        <v>110879</v>
      </c>
      <c r="T506">
        <v>42.733882999999999</v>
      </c>
      <c r="U506">
        <v>25.48583</v>
      </c>
    </row>
    <row r="507" spans="1:21">
      <c r="A507" t="s">
        <v>45</v>
      </c>
      <c r="B507">
        <v>2001</v>
      </c>
      <c r="C507">
        <v>27980.560000000001</v>
      </c>
      <c r="D507">
        <v>46190</v>
      </c>
      <c r="E507">
        <v>22.25</v>
      </c>
      <c r="F507">
        <v>19.55</v>
      </c>
      <c r="G507">
        <v>1.65</v>
      </c>
      <c r="H507">
        <v>48.791713999999999</v>
      </c>
      <c r="J507">
        <v>7.24</v>
      </c>
      <c r="K507">
        <v>64</v>
      </c>
      <c r="L507">
        <v>100</v>
      </c>
      <c r="N507">
        <v>2.2708168</v>
      </c>
      <c r="P507">
        <v>3.8237036639999999</v>
      </c>
      <c r="Q507">
        <v>1770.913534</v>
      </c>
      <c r="R507">
        <v>9.3800000000000008</v>
      </c>
      <c r="S507">
        <v>110879</v>
      </c>
      <c r="T507">
        <v>42.733882999999999</v>
      </c>
      <c r="U507">
        <v>25.48583</v>
      </c>
    </row>
    <row r="508" spans="1:21">
      <c r="A508" t="s">
        <v>45</v>
      </c>
      <c r="B508">
        <v>2002</v>
      </c>
      <c r="C508">
        <v>27344.377</v>
      </c>
      <c r="D508">
        <v>43599.998469999999</v>
      </c>
      <c r="E508">
        <v>19.75</v>
      </c>
      <c r="F508">
        <v>20.22</v>
      </c>
      <c r="G508">
        <v>2.12</v>
      </c>
      <c r="H508">
        <v>53.076740000000001</v>
      </c>
      <c r="J508">
        <v>8.6999999999999993</v>
      </c>
      <c r="K508">
        <v>64</v>
      </c>
      <c r="L508">
        <v>100</v>
      </c>
      <c r="N508">
        <v>2.9185118999999999</v>
      </c>
      <c r="P508">
        <v>5.8719302779999998</v>
      </c>
      <c r="Q508">
        <v>2092.9576940000002</v>
      </c>
      <c r="R508">
        <v>8.6300000000000008</v>
      </c>
      <c r="S508">
        <v>110879</v>
      </c>
      <c r="T508">
        <v>42.733882999999999</v>
      </c>
      <c r="U508">
        <v>25.48583</v>
      </c>
    </row>
    <row r="509" spans="1:21">
      <c r="A509" t="s">
        <v>45</v>
      </c>
      <c r="B509">
        <v>2003</v>
      </c>
      <c r="C509">
        <v>28474.164000000001</v>
      </c>
      <c r="D509">
        <v>47930.000310000003</v>
      </c>
      <c r="E509">
        <v>22.02</v>
      </c>
      <c r="F509">
        <v>17.28</v>
      </c>
      <c r="G509">
        <v>2.99</v>
      </c>
      <c r="H509">
        <v>47.930950000000003</v>
      </c>
      <c r="J509">
        <v>9.16</v>
      </c>
      <c r="K509">
        <v>64</v>
      </c>
      <c r="L509">
        <v>100</v>
      </c>
      <c r="N509">
        <v>3.8597226</v>
      </c>
      <c r="P509">
        <v>5.2371542780000002</v>
      </c>
      <c r="Q509">
        <v>2719.497656</v>
      </c>
      <c r="R509">
        <v>8.41</v>
      </c>
      <c r="S509">
        <v>110879</v>
      </c>
      <c r="T509">
        <v>42.733882999999999</v>
      </c>
      <c r="U509">
        <v>25.48583</v>
      </c>
    </row>
    <row r="510" spans="1:21">
      <c r="A510" t="s">
        <v>45</v>
      </c>
      <c r="B510">
        <v>2004</v>
      </c>
      <c r="C510">
        <v>27716.521000000001</v>
      </c>
      <c r="D510">
        <v>47270.000460000003</v>
      </c>
      <c r="E510">
        <v>21.44</v>
      </c>
      <c r="F510">
        <v>16.82</v>
      </c>
      <c r="G510">
        <v>3.14</v>
      </c>
      <c r="H510">
        <v>48.212555000000002</v>
      </c>
      <c r="J510">
        <v>9.5500000000000007</v>
      </c>
      <c r="K510">
        <v>64</v>
      </c>
      <c r="L510">
        <v>100</v>
      </c>
      <c r="N510">
        <v>4.1440219999999997</v>
      </c>
      <c r="P510">
        <v>6.5104263790000001</v>
      </c>
      <c r="Q510">
        <v>3389.7070490000001</v>
      </c>
      <c r="R510">
        <v>7.68</v>
      </c>
      <c r="S510">
        <v>110879</v>
      </c>
      <c r="T510">
        <v>42.733882999999999</v>
      </c>
      <c r="U510">
        <v>25.48583</v>
      </c>
    </row>
    <row r="511" spans="1:21">
      <c r="A511" t="s">
        <v>45</v>
      </c>
      <c r="B511">
        <v>2005</v>
      </c>
      <c r="C511">
        <v>30223.08</v>
      </c>
      <c r="D511">
        <v>47990.001680000001</v>
      </c>
      <c r="E511">
        <v>20.98</v>
      </c>
      <c r="F511">
        <v>18.649999999999999</v>
      </c>
      <c r="G511">
        <v>4.3</v>
      </c>
      <c r="H511">
        <v>52.242203000000003</v>
      </c>
      <c r="J511">
        <v>9.83</v>
      </c>
      <c r="K511">
        <v>64</v>
      </c>
      <c r="L511">
        <v>100</v>
      </c>
      <c r="N511">
        <v>5.2129979999999998</v>
      </c>
      <c r="P511">
        <v>7.0563475259999997</v>
      </c>
      <c r="Q511">
        <v>3899.9076380000001</v>
      </c>
      <c r="R511">
        <v>7.58</v>
      </c>
      <c r="S511">
        <v>110879</v>
      </c>
      <c r="T511">
        <v>42.733882999999999</v>
      </c>
      <c r="U511">
        <v>25.48583</v>
      </c>
    </row>
    <row r="512" spans="1:21">
      <c r="A512" t="s">
        <v>45</v>
      </c>
      <c r="B512">
        <v>2006</v>
      </c>
      <c r="C512">
        <v>31003.192999999999</v>
      </c>
      <c r="D512">
        <v>48950.000760000003</v>
      </c>
      <c r="E512">
        <v>21.76</v>
      </c>
      <c r="F512">
        <v>19.489999999999998</v>
      </c>
      <c r="G512">
        <v>4.2300000000000004</v>
      </c>
      <c r="H512">
        <v>52.154792999999998</v>
      </c>
      <c r="J512">
        <v>9.9600000000000009</v>
      </c>
      <c r="K512">
        <v>64</v>
      </c>
      <c r="L512">
        <v>100</v>
      </c>
      <c r="N512">
        <v>4.9844249999999999</v>
      </c>
      <c r="P512">
        <v>6.8025893819999999</v>
      </c>
      <c r="Q512">
        <v>4523.0508330000002</v>
      </c>
      <c r="R512">
        <v>7.31</v>
      </c>
      <c r="S512">
        <v>110879</v>
      </c>
      <c r="T512">
        <v>42.733882999999999</v>
      </c>
      <c r="U512">
        <v>25.48583</v>
      </c>
    </row>
    <row r="513" spans="1:21">
      <c r="A513" t="s">
        <v>45</v>
      </c>
      <c r="B513">
        <v>2007</v>
      </c>
      <c r="C513">
        <v>30154.662</v>
      </c>
      <c r="D513">
        <v>52599.998469999999</v>
      </c>
      <c r="E513">
        <v>25.38</v>
      </c>
      <c r="F513">
        <v>14.64</v>
      </c>
      <c r="G513">
        <v>2.88</v>
      </c>
      <c r="H513">
        <v>40.83916</v>
      </c>
      <c r="J513">
        <v>8.85</v>
      </c>
      <c r="K513">
        <v>64</v>
      </c>
      <c r="L513">
        <v>100</v>
      </c>
      <c r="N513">
        <v>3.5105206999999998</v>
      </c>
      <c r="P513">
        <v>6.591380837</v>
      </c>
      <c r="Q513">
        <v>5885.1043479999998</v>
      </c>
      <c r="R513">
        <v>6.73</v>
      </c>
      <c r="S513">
        <v>110879</v>
      </c>
      <c r="T513">
        <v>42.733882999999999</v>
      </c>
      <c r="U513">
        <v>25.48583</v>
      </c>
    </row>
    <row r="514" spans="1:21">
      <c r="A514" t="s">
        <v>45</v>
      </c>
      <c r="B514">
        <v>2008</v>
      </c>
      <c r="C514">
        <v>30008.596000000001</v>
      </c>
      <c r="D514">
        <v>50040.000919999999</v>
      </c>
      <c r="E514">
        <v>25.86</v>
      </c>
      <c r="F514">
        <v>15.77</v>
      </c>
      <c r="G514">
        <v>2.93</v>
      </c>
      <c r="H514">
        <v>41.965890000000002</v>
      </c>
      <c r="J514">
        <v>9.94</v>
      </c>
      <c r="K514">
        <v>64</v>
      </c>
      <c r="L514">
        <v>100</v>
      </c>
      <c r="N514">
        <v>3.5983686000000001</v>
      </c>
      <c r="P514">
        <v>6.1160179640000001</v>
      </c>
      <c r="Q514">
        <v>7265.7354969999997</v>
      </c>
      <c r="R514">
        <v>6.26</v>
      </c>
      <c r="S514">
        <v>110879</v>
      </c>
      <c r="T514">
        <v>42.733882999999999</v>
      </c>
      <c r="U514">
        <v>25.48583</v>
      </c>
    </row>
    <row r="515" spans="1:21">
      <c r="A515" t="s">
        <v>45</v>
      </c>
      <c r="B515">
        <v>2009</v>
      </c>
      <c r="C515">
        <v>26486.120999999999</v>
      </c>
      <c r="D515">
        <v>42909.99985</v>
      </c>
      <c r="E515">
        <v>23.39</v>
      </c>
      <c r="F515">
        <v>15.26</v>
      </c>
      <c r="G515">
        <v>3.68</v>
      </c>
      <c r="H515">
        <v>44.743679999999998</v>
      </c>
      <c r="J515">
        <v>11.62</v>
      </c>
      <c r="K515">
        <v>64</v>
      </c>
      <c r="L515">
        <v>100</v>
      </c>
      <c r="N515">
        <v>5.1272130000000002</v>
      </c>
      <c r="P515">
        <v>-3.2718542789999998</v>
      </c>
      <c r="Q515">
        <v>6988.2333250000001</v>
      </c>
      <c r="R515">
        <v>5.68</v>
      </c>
      <c r="S515">
        <v>110879</v>
      </c>
      <c r="T515">
        <v>42.733882999999999</v>
      </c>
      <c r="U515">
        <v>25.48583</v>
      </c>
    </row>
    <row r="516" spans="1:21">
      <c r="A516" t="s">
        <v>45</v>
      </c>
      <c r="B516">
        <v>2010</v>
      </c>
      <c r="C516">
        <v>27862.668000000001</v>
      </c>
      <c r="D516">
        <v>44740.001680000001</v>
      </c>
      <c r="E516">
        <v>24.97</v>
      </c>
      <c r="F516">
        <v>15.25</v>
      </c>
      <c r="G516">
        <v>5.76</v>
      </c>
      <c r="H516">
        <v>45.693779999999997</v>
      </c>
      <c r="J516">
        <v>14.27</v>
      </c>
      <c r="K516">
        <v>64</v>
      </c>
      <c r="L516">
        <v>100</v>
      </c>
      <c r="N516">
        <v>7.6160959999999998</v>
      </c>
      <c r="P516">
        <v>1.541801443</v>
      </c>
      <c r="Q516">
        <v>6853.0028540000003</v>
      </c>
      <c r="R516">
        <v>5.75</v>
      </c>
      <c r="S516">
        <v>110879</v>
      </c>
      <c r="T516">
        <v>42.733882999999999</v>
      </c>
      <c r="U516">
        <v>25.48583</v>
      </c>
    </row>
    <row r="517" spans="1:21">
      <c r="A517" t="s">
        <v>45</v>
      </c>
      <c r="B517">
        <v>2011</v>
      </c>
      <c r="C517">
        <v>29793.07</v>
      </c>
      <c r="D517">
        <v>49639.999389999997</v>
      </c>
      <c r="E517">
        <v>29.75</v>
      </c>
      <c r="F517">
        <v>16.309999999999999</v>
      </c>
      <c r="G517">
        <v>3.89</v>
      </c>
      <c r="H517">
        <v>40.440440000000002</v>
      </c>
      <c r="J517">
        <v>13.22</v>
      </c>
      <c r="K517">
        <v>64</v>
      </c>
      <c r="L517">
        <v>100</v>
      </c>
      <c r="N517">
        <v>4.8499664999999998</v>
      </c>
      <c r="P517">
        <v>2.1012057500000001</v>
      </c>
      <c r="Q517">
        <v>7849.1652830000003</v>
      </c>
      <c r="R517">
        <v>6.04</v>
      </c>
      <c r="S517">
        <v>110879</v>
      </c>
      <c r="T517">
        <v>42.733882999999999</v>
      </c>
      <c r="U517">
        <v>25.48583</v>
      </c>
    </row>
    <row r="518" spans="1:21">
      <c r="A518" t="s">
        <v>45</v>
      </c>
      <c r="B518">
        <v>2012</v>
      </c>
      <c r="C518">
        <v>28532.125</v>
      </c>
      <c r="D518">
        <v>45020.000460000003</v>
      </c>
      <c r="E518">
        <v>25.45</v>
      </c>
      <c r="F518">
        <v>15.78</v>
      </c>
      <c r="G518">
        <v>5.25</v>
      </c>
      <c r="H518">
        <v>45.245266000000001</v>
      </c>
      <c r="J518">
        <v>15.63</v>
      </c>
      <c r="K518">
        <v>64</v>
      </c>
      <c r="L518">
        <v>100</v>
      </c>
      <c r="N518">
        <v>6.869961</v>
      </c>
      <c r="P518">
        <v>0.75493038599999995</v>
      </c>
      <c r="Q518">
        <v>7432.4787660000002</v>
      </c>
      <c r="R518">
        <v>5.76</v>
      </c>
      <c r="S518">
        <v>110879</v>
      </c>
      <c r="T518">
        <v>42.733882999999999</v>
      </c>
      <c r="U518">
        <v>25.48583</v>
      </c>
    </row>
    <row r="519" spans="1:21">
      <c r="A519" t="s">
        <v>45</v>
      </c>
      <c r="B519">
        <v>2013</v>
      </c>
      <c r="C519">
        <v>26659.101999999999</v>
      </c>
      <c r="D519">
        <v>39659.99985</v>
      </c>
      <c r="E519">
        <v>21.96</v>
      </c>
      <c r="F519">
        <v>14.17</v>
      </c>
      <c r="G519">
        <v>6.91</v>
      </c>
      <c r="H519">
        <v>48.977694999999997</v>
      </c>
      <c r="J519">
        <v>18.239999999999998</v>
      </c>
      <c r="K519">
        <v>64</v>
      </c>
      <c r="L519">
        <v>100</v>
      </c>
      <c r="N519">
        <v>9.5929190000000002</v>
      </c>
      <c r="P519">
        <v>-0.56049396600000001</v>
      </c>
      <c r="Q519">
        <v>7681.93462</v>
      </c>
      <c r="R519">
        <v>5.31</v>
      </c>
      <c r="S519">
        <v>110879</v>
      </c>
      <c r="T519">
        <v>42.733882999999999</v>
      </c>
      <c r="U519">
        <v>25.48583</v>
      </c>
    </row>
    <row r="520" spans="1:21">
      <c r="A520" t="s">
        <v>45</v>
      </c>
      <c r="B520">
        <v>2014</v>
      </c>
      <c r="C520">
        <v>28695.912</v>
      </c>
      <c r="D520">
        <v>42049.999239999997</v>
      </c>
      <c r="E520">
        <v>23.66</v>
      </c>
      <c r="F520">
        <v>15.87</v>
      </c>
      <c r="G520">
        <v>7.39</v>
      </c>
      <c r="H520">
        <v>49.573746</v>
      </c>
      <c r="J520">
        <v>17.149999999999999</v>
      </c>
      <c r="K520">
        <v>64</v>
      </c>
      <c r="L520">
        <v>100</v>
      </c>
      <c r="N520">
        <v>9.5437980000000007</v>
      </c>
      <c r="P520">
        <v>0.96686903199999996</v>
      </c>
      <c r="Q520">
        <v>7901.7858759999999</v>
      </c>
      <c r="R520">
        <v>5.47</v>
      </c>
      <c r="S520">
        <v>110879</v>
      </c>
      <c r="T520">
        <v>42.733882999999999</v>
      </c>
      <c r="U520">
        <v>25.48583</v>
      </c>
    </row>
    <row r="521" spans="1:21">
      <c r="A521" t="s">
        <v>45</v>
      </c>
      <c r="B521">
        <v>2015</v>
      </c>
      <c r="C521">
        <v>30739.168000000001</v>
      </c>
      <c r="D521">
        <v>44560.001369999998</v>
      </c>
      <c r="E521">
        <v>24.57</v>
      </c>
      <c r="F521">
        <v>15.38</v>
      </c>
      <c r="G521">
        <v>8.75</v>
      </c>
      <c r="H521">
        <v>49.548251999999998</v>
      </c>
      <c r="J521">
        <v>17.850000000000001</v>
      </c>
      <c r="K521">
        <v>64</v>
      </c>
      <c r="L521">
        <v>100</v>
      </c>
      <c r="N521">
        <v>10.595034</v>
      </c>
      <c r="P521">
        <v>3.4280549140000001</v>
      </c>
      <c r="Q521">
        <v>7074.6810230000001</v>
      </c>
      <c r="R521">
        <v>5.48</v>
      </c>
      <c r="S521">
        <v>110879</v>
      </c>
      <c r="T521">
        <v>42.733882999999999</v>
      </c>
      <c r="U521">
        <v>25.48583</v>
      </c>
    </row>
    <row r="522" spans="1:21">
      <c r="A522" t="s">
        <v>45</v>
      </c>
      <c r="B522">
        <v>2016</v>
      </c>
      <c r="C522">
        <v>29411.8</v>
      </c>
      <c r="D522">
        <v>41590.00015</v>
      </c>
      <c r="E522">
        <v>21.74</v>
      </c>
      <c r="F522">
        <v>15.78</v>
      </c>
      <c r="G522">
        <v>7.04</v>
      </c>
      <c r="H522">
        <v>51.211849999999998</v>
      </c>
      <c r="J522">
        <v>17.71</v>
      </c>
      <c r="K522">
        <v>64</v>
      </c>
      <c r="L522">
        <v>100</v>
      </c>
      <c r="N522">
        <v>9.0498905000000001</v>
      </c>
      <c r="P522">
        <v>3.0398252760000002</v>
      </c>
      <c r="Q522">
        <v>7569.4788150000004</v>
      </c>
      <c r="R522">
        <v>5.15</v>
      </c>
      <c r="S522">
        <v>110879</v>
      </c>
      <c r="T522">
        <v>42.733882999999999</v>
      </c>
      <c r="U522">
        <v>25.48583</v>
      </c>
    </row>
    <row r="523" spans="1:21">
      <c r="A523" t="s">
        <v>45</v>
      </c>
      <c r="B523">
        <v>2017</v>
      </c>
      <c r="C523">
        <v>30376.138999999999</v>
      </c>
      <c r="D523">
        <v>43880.001069999998</v>
      </c>
      <c r="E523">
        <v>23.25</v>
      </c>
      <c r="F523">
        <v>15.55</v>
      </c>
      <c r="G523">
        <v>6.13</v>
      </c>
      <c r="H523">
        <v>48.252839999999999</v>
      </c>
      <c r="J523">
        <v>17.12</v>
      </c>
      <c r="K523">
        <v>64</v>
      </c>
      <c r="L523">
        <v>100</v>
      </c>
      <c r="N523">
        <v>7.6196210000000004</v>
      </c>
      <c r="P523">
        <v>2.7621709600000002</v>
      </c>
      <c r="Q523">
        <v>8366.2932209999999</v>
      </c>
      <c r="R523">
        <v>5.14</v>
      </c>
      <c r="S523">
        <v>110879</v>
      </c>
      <c r="T523">
        <v>42.733882999999999</v>
      </c>
      <c r="U523">
        <v>25.48583</v>
      </c>
    </row>
    <row r="524" spans="1:21">
      <c r="A524" t="s">
        <v>45</v>
      </c>
      <c r="B524">
        <v>2018</v>
      </c>
      <c r="C524">
        <v>30743.955000000002</v>
      </c>
      <c r="D524">
        <v>40900.001530000001</v>
      </c>
      <c r="E524">
        <v>21.03</v>
      </c>
      <c r="F524">
        <v>16.13</v>
      </c>
      <c r="G524">
        <v>9.3800000000000008</v>
      </c>
      <c r="H524">
        <v>54.813065000000002</v>
      </c>
      <c r="J524">
        <v>19.600000000000001</v>
      </c>
      <c r="K524">
        <v>64</v>
      </c>
      <c r="L524">
        <v>100</v>
      </c>
      <c r="N524">
        <v>11.799092999999999</v>
      </c>
      <c r="P524">
        <v>2.684576131</v>
      </c>
      <c r="Q524">
        <v>9446.7007720000001</v>
      </c>
      <c r="R524">
        <v>4.9800000000000004</v>
      </c>
      <c r="S524">
        <v>110879</v>
      </c>
      <c r="T524">
        <v>42.733882999999999</v>
      </c>
      <c r="U524">
        <v>25.48583</v>
      </c>
    </row>
    <row r="525" spans="1:21">
      <c r="A525" t="s">
        <v>45</v>
      </c>
      <c r="B525">
        <v>2019</v>
      </c>
      <c r="C525">
        <v>29996.026999999998</v>
      </c>
      <c r="D525">
        <v>39139.999389999997</v>
      </c>
      <c r="E525">
        <v>19.75</v>
      </c>
      <c r="F525">
        <v>16.559999999999999</v>
      </c>
      <c r="G525">
        <v>7.49</v>
      </c>
      <c r="H525">
        <v>54.908676</v>
      </c>
      <c r="J525">
        <v>19.34</v>
      </c>
      <c r="K525">
        <v>64</v>
      </c>
      <c r="L525">
        <v>100</v>
      </c>
      <c r="N525">
        <v>9.948385</v>
      </c>
      <c r="P525">
        <v>4.0375920819999997</v>
      </c>
      <c r="Q525">
        <v>9879.2685330000004</v>
      </c>
      <c r="R525">
        <v>4.74</v>
      </c>
      <c r="S525">
        <v>110879</v>
      </c>
      <c r="T525">
        <v>42.733882999999999</v>
      </c>
      <c r="U525">
        <v>25.48583</v>
      </c>
    </row>
    <row r="526" spans="1:21">
      <c r="A526" t="s">
        <v>45</v>
      </c>
      <c r="B526">
        <v>2020</v>
      </c>
      <c r="C526">
        <v>27993.87</v>
      </c>
      <c r="E526">
        <v>16.12</v>
      </c>
      <c r="F526">
        <v>16.63</v>
      </c>
      <c r="G526">
        <v>7.47</v>
      </c>
      <c r="H526">
        <v>59.920437</v>
      </c>
      <c r="K526">
        <v>64</v>
      </c>
      <c r="L526">
        <v>99.7</v>
      </c>
      <c r="N526">
        <v>10.692997</v>
      </c>
      <c r="P526">
        <v>-4.3871498339999997</v>
      </c>
      <c r="Q526">
        <v>10079.203380000001</v>
      </c>
      <c r="S526">
        <v>110879</v>
      </c>
      <c r="T526">
        <v>42.733882999999999</v>
      </c>
      <c r="U526">
        <v>25.48583</v>
      </c>
    </row>
    <row r="527" spans="1:21">
      <c r="A527" t="s">
        <v>46</v>
      </c>
      <c r="B527">
        <v>2000</v>
      </c>
      <c r="C527">
        <v>358.42392000000001</v>
      </c>
      <c r="D527">
        <v>940</v>
      </c>
      <c r="E527">
        <v>0.22</v>
      </c>
      <c r="F527">
        <v>0</v>
      </c>
      <c r="G527">
        <v>0.1</v>
      </c>
      <c r="H527">
        <v>31.25</v>
      </c>
      <c r="I527">
        <v>2.8</v>
      </c>
      <c r="J527">
        <v>85.41</v>
      </c>
      <c r="K527">
        <v>76</v>
      </c>
      <c r="L527">
        <v>9.0750200000000003</v>
      </c>
      <c r="M527">
        <v>2.7</v>
      </c>
      <c r="O527">
        <v>120000</v>
      </c>
      <c r="P527">
        <v>1.8884738889999999</v>
      </c>
      <c r="Q527">
        <v>255.7186873</v>
      </c>
      <c r="R527">
        <v>5.49</v>
      </c>
      <c r="S527">
        <v>274200</v>
      </c>
      <c r="T527">
        <v>12.238333000000001</v>
      </c>
      <c r="U527">
        <v>-1.561593</v>
      </c>
    </row>
    <row r="528" spans="1:21">
      <c r="A528" t="s">
        <v>46</v>
      </c>
      <c r="B528">
        <v>2001</v>
      </c>
      <c r="C528">
        <v>386.41492</v>
      </c>
      <c r="D528">
        <v>970</v>
      </c>
      <c r="E528">
        <v>0.27</v>
      </c>
      <c r="F528">
        <v>0</v>
      </c>
      <c r="G528">
        <v>0.05</v>
      </c>
      <c r="H528">
        <v>15.625</v>
      </c>
      <c r="I528">
        <v>2.72</v>
      </c>
      <c r="J528">
        <v>83.68</v>
      </c>
      <c r="K528">
        <v>76</v>
      </c>
      <c r="L528">
        <v>9.5213520000000003</v>
      </c>
      <c r="M528">
        <v>2.9</v>
      </c>
      <c r="O528">
        <v>15360000</v>
      </c>
      <c r="P528">
        <v>6.6134057449999997</v>
      </c>
      <c r="Q528">
        <v>267.09759960000002</v>
      </c>
      <c r="R528">
        <v>5.15</v>
      </c>
      <c r="S528">
        <v>274200</v>
      </c>
      <c r="T528">
        <v>12.238333000000001</v>
      </c>
      <c r="U528">
        <v>-1.561593</v>
      </c>
    </row>
    <row r="529" spans="1:21">
      <c r="A529" t="s">
        <v>46</v>
      </c>
      <c r="B529">
        <v>2002</v>
      </c>
      <c r="C529">
        <v>392.56389999999999</v>
      </c>
      <c r="D529">
        <v>959.9999785</v>
      </c>
      <c r="E529">
        <v>0.3</v>
      </c>
      <c r="F529">
        <v>0</v>
      </c>
      <c r="G529">
        <v>0.06</v>
      </c>
      <c r="H529">
        <v>16.666665999999999</v>
      </c>
      <c r="I529">
        <v>2.64</v>
      </c>
      <c r="J529">
        <v>79.34</v>
      </c>
      <c r="K529">
        <v>76</v>
      </c>
      <c r="L529">
        <v>9.9600989999999996</v>
      </c>
      <c r="M529">
        <v>3.1</v>
      </c>
      <c r="O529">
        <v>20000</v>
      </c>
      <c r="P529">
        <v>4.3529638300000002</v>
      </c>
      <c r="Q529">
        <v>294.66538850000001</v>
      </c>
      <c r="R529">
        <v>4.21</v>
      </c>
      <c r="S529">
        <v>274200</v>
      </c>
      <c r="T529">
        <v>12.238333000000001</v>
      </c>
      <c r="U529">
        <v>-1.561593</v>
      </c>
    </row>
    <row r="530" spans="1:21">
      <c r="A530" t="s">
        <v>46</v>
      </c>
      <c r="B530">
        <v>2003</v>
      </c>
      <c r="C530">
        <v>421.1035</v>
      </c>
      <c r="D530">
        <v>1039.9999620000001</v>
      </c>
      <c r="E530">
        <v>0.35</v>
      </c>
      <c r="F530">
        <v>0</v>
      </c>
      <c r="G530">
        <v>0.1</v>
      </c>
      <c r="H530">
        <v>22.222223</v>
      </c>
      <c r="I530">
        <v>2.58</v>
      </c>
      <c r="J530">
        <v>79.08</v>
      </c>
      <c r="K530">
        <v>76</v>
      </c>
      <c r="L530">
        <v>11.4</v>
      </c>
      <c r="M530">
        <v>3.4</v>
      </c>
      <c r="P530">
        <v>7.802493889</v>
      </c>
      <c r="Q530">
        <v>374.62735800000002</v>
      </c>
      <c r="R530">
        <v>4.03</v>
      </c>
      <c r="S530">
        <v>274200</v>
      </c>
      <c r="T530">
        <v>12.238333000000001</v>
      </c>
      <c r="U530">
        <v>-1.561593</v>
      </c>
    </row>
    <row r="531" spans="1:21">
      <c r="A531" t="s">
        <v>46</v>
      </c>
      <c r="B531">
        <v>2004</v>
      </c>
      <c r="C531">
        <v>367.58755000000002</v>
      </c>
      <c r="D531">
        <v>1059.999943</v>
      </c>
      <c r="E531">
        <v>0.37</v>
      </c>
      <c r="F531">
        <v>0</v>
      </c>
      <c r="G531">
        <v>0.1</v>
      </c>
      <c r="H531">
        <v>21.276596000000001</v>
      </c>
      <c r="I531">
        <v>2.54</v>
      </c>
      <c r="J531">
        <v>83.53</v>
      </c>
      <c r="K531">
        <v>76</v>
      </c>
      <c r="L531">
        <v>10.824239</v>
      </c>
      <c r="M531">
        <v>3.7</v>
      </c>
      <c r="O531">
        <v>5260000</v>
      </c>
      <c r="P531">
        <v>4.4784521369999997</v>
      </c>
      <c r="Q531">
        <v>418.37666030000003</v>
      </c>
      <c r="R531">
        <v>4.8</v>
      </c>
      <c r="S531">
        <v>274200</v>
      </c>
      <c r="T531">
        <v>12.238333000000001</v>
      </c>
      <c r="U531">
        <v>-1.561593</v>
      </c>
    </row>
    <row r="532" spans="1:21">
      <c r="A532" t="s">
        <v>46</v>
      </c>
      <c r="B532">
        <v>2005</v>
      </c>
      <c r="C532">
        <v>378.25853999999998</v>
      </c>
      <c r="D532">
        <v>1059.999943</v>
      </c>
      <c r="E532">
        <v>0.39</v>
      </c>
      <c r="F532">
        <v>0</v>
      </c>
      <c r="G532">
        <v>0.1</v>
      </c>
      <c r="H532">
        <v>20.408162999999998</v>
      </c>
      <c r="I532">
        <v>2.4700000000000002</v>
      </c>
      <c r="J532">
        <v>86.54</v>
      </c>
      <c r="K532">
        <v>76</v>
      </c>
      <c r="L532">
        <v>11.254327999999999</v>
      </c>
      <c r="M532">
        <v>3.9</v>
      </c>
      <c r="O532">
        <v>15860000</v>
      </c>
      <c r="P532">
        <v>8.6618732279999993</v>
      </c>
      <c r="Q532">
        <v>457.9334308</v>
      </c>
      <c r="R532">
        <v>5.55</v>
      </c>
      <c r="S532">
        <v>274200</v>
      </c>
      <c r="T532">
        <v>12.238333000000001</v>
      </c>
      <c r="U532">
        <v>-1.561593</v>
      </c>
    </row>
    <row r="533" spans="1:21">
      <c r="A533" t="s">
        <v>46</v>
      </c>
      <c r="B533">
        <v>2006</v>
      </c>
      <c r="C533">
        <v>361.50506999999999</v>
      </c>
      <c r="D533">
        <v>1240.00001</v>
      </c>
      <c r="E533">
        <v>0.44</v>
      </c>
      <c r="F533">
        <v>0</v>
      </c>
      <c r="G533">
        <v>0.08</v>
      </c>
      <c r="H533">
        <v>15.384615999999999</v>
      </c>
      <c r="I533">
        <v>2.4</v>
      </c>
      <c r="J533">
        <v>84.62</v>
      </c>
      <c r="K533">
        <v>76</v>
      </c>
      <c r="L533">
        <v>11.68629</v>
      </c>
      <c r="M533">
        <v>4.4000000000000004</v>
      </c>
      <c r="P533">
        <v>6.253164688</v>
      </c>
      <c r="Q533">
        <v>473.44986820000003</v>
      </c>
      <c r="R533">
        <v>5.6</v>
      </c>
      <c r="S533">
        <v>274200</v>
      </c>
      <c r="T533">
        <v>12.238333000000001</v>
      </c>
      <c r="U533">
        <v>-1.561593</v>
      </c>
    </row>
    <row r="534" spans="1:21">
      <c r="A534" t="s">
        <v>46</v>
      </c>
      <c r="B534">
        <v>2007</v>
      </c>
      <c r="C534">
        <v>496.80993999999998</v>
      </c>
      <c r="D534">
        <v>1409.999967</v>
      </c>
      <c r="E534">
        <v>0.47</v>
      </c>
      <c r="F534">
        <v>0</v>
      </c>
      <c r="G534">
        <v>0.11</v>
      </c>
      <c r="H534">
        <v>18.965516999999998</v>
      </c>
      <c r="I534">
        <v>2.36</v>
      </c>
      <c r="J534">
        <v>82.43</v>
      </c>
      <c r="K534">
        <v>76</v>
      </c>
      <c r="L534">
        <v>12.122773</v>
      </c>
      <c r="M534">
        <v>4.5999999999999996</v>
      </c>
      <c r="O534">
        <v>3560000</v>
      </c>
      <c r="P534">
        <v>4.1113790180000001</v>
      </c>
      <c r="Q534">
        <v>535.06227950000005</v>
      </c>
      <c r="R534">
        <v>5.72</v>
      </c>
      <c r="S534">
        <v>274200</v>
      </c>
      <c r="T534">
        <v>12.238333000000001</v>
      </c>
      <c r="U534">
        <v>-1.561593</v>
      </c>
    </row>
    <row r="535" spans="1:21">
      <c r="A535" t="s">
        <v>46</v>
      </c>
      <c r="B535">
        <v>2008</v>
      </c>
      <c r="C535">
        <v>526.81719999999996</v>
      </c>
      <c r="D535">
        <v>1700.0000480000001</v>
      </c>
      <c r="E535">
        <v>0.45</v>
      </c>
      <c r="F535">
        <v>0</v>
      </c>
      <c r="G535">
        <v>0.13</v>
      </c>
      <c r="H535">
        <v>22.413793999999999</v>
      </c>
      <c r="I535">
        <v>2.34</v>
      </c>
      <c r="J535">
        <v>82.94</v>
      </c>
      <c r="K535">
        <v>76</v>
      </c>
      <c r="L535">
        <v>12.566488</v>
      </c>
      <c r="M535">
        <v>5.0999999999999996</v>
      </c>
      <c r="O535">
        <v>8000000</v>
      </c>
      <c r="P535">
        <v>5.7999917410000004</v>
      </c>
      <c r="Q535">
        <v>643.40458100000001</v>
      </c>
      <c r="R535">
        <v>5.72</v>
      </c>
      <c r="S535">
        <v>274200</v>
      </c>
      <c r="T535">
        <v>12.238333000000001</v>
      </c>
      <c r="U535">
        <v>-1.561593</v>
      </c>
    </row>
    <row r="536" spans="1:21">
      <c r="A536" t="s">
        <v>46</v>
      </c>
      <c r="B536">
        <v>2009</v>
      </c>
      <c r="C536">
        <v>480.64004999999997</v>
      </c>
      <c r="D536">
        <v>1730.0000190000001</v>
      </c>
      <c r="E536">
        <v>0.53</v>
      </c>
      <c r="F536">
        <v>0</v>
      </c>
      <c r="G536">
        <v>0.13</v>
      </c>
      <c r="H536">
        <v>19.696967999999998</v>
      </c>
      <c r="I536">
        <v>2.31</v>
      </c>
      <c r="J536">
        <v>83.6</v>
      </c>
      <c r="K536">
        <v>76</v>
      </c>
      <c r="L536">
        <v>12.63</v>
      </c>
      <c r="M536">
        <v>5.4</v>
      </c>
      <c r="O536">
        <v>710000</v>
      </c>
      <c r="P536">
        <v>2.9619508589999999</v>
      </c>
      <c r="Q536">
        <v>624.17516450000005</v>
      </c>
      <c r="R536">
        <v>5.66</v>
      </c>
      <c r="S536">
        <v>274200</v>
      </c>
      <c r="T536">
        <v>12.238333000000001</v>
      </c>
      <c r="U536">
        <v>-1.561593</v>
      </c>
    </row>
    <row r="537" spans="1:21">
      <c r="A537" t="s">
        <v>46</v>
      </c>
      <c r="B537">
        <v>2010</v>
      </c>
      <c r="C537">
        <v>509.41</v>
      </c>
      <c r="D537">
        <v>2289.9999619999999</v>
      </c>
      <c r="E537">
        <v>0.51</v>
      </c>
      <c r="F537">
        <v>0</v>
      </c>
      <c r="G537">
        <v>0.13</v>
      </c>
      <c r="H537">
        <v>20.3125</v>
      </c>
      <c r="I537">
        <v>2.2799999999999998</v>
      </c>
      <c r="J537">
        <v>81.45</v>
      </c>
      <c r="K537">
        <v>76</v>
      </c>
      <c r="L537">
        <v>13.1</v>
      </c>
      <c r="M537">
        <v>5.8</v>
      </c>
      <c r="O537">
        <v>1350000</v>
      </c>
      <c r="P537">
        <v>8.4462815770000006</v>
      </c>
      <c r="Q537">
        <v>647.83609550000006</v>
      </c>
      <c r="R537">
        <v>5.42</v>
      </c>
      <c r="S537">
        <v>274200</v>
      </c>
      <c r="T537">
        <v>12.238333000000001</v>
      </c>
      <c r="U537">
        <v>-1.561593</v>
      </c>
    </row>
    <row r="538" spans="1:21">
      <c r="A538" t="s">
        <v>46</v>
      </c>
      <c r="B538">
        <v>2011</v>
      </c>
      <c r="C538">
        <v>563.34609999999998</v>
      </c>
      <c r="D538">
        <v>2460.0000380000001</v>
      </c>
      <c r="E538">
        <v>0.6</v>
      </c>
      <c r="F538">
        <v>0</v>
      </c>
      <c r="G538">
        <v>0.09</v>
      </c>
      <c r="H538">
        <v>13.043478</v>
      </c>
      <c r="I538">
        <v>2.35</v>
      </c>
      <c r="J538">
        <v>80.569999999999993</v>
      </c>
      <c r="K538">
        <v>76</v>
      </c>
      <c r="L538">
        <v>14.808414000000001</v>
      </c>
      <c r="M538">
        <v>6.3</v>
      </c>
      <c r="O538">
        <v>30000</v>
      </c>
      <c r="P538">
        <v>6.6225626130000004</v>
      </c>
      <c r="Q538">
        <v>751.17277039999999</v>
      </c>
      <c r="R538">
        <v>5.2</v>
      </c>
      <c r="S538">
        <v>274200</v>
      </c>
      <c r="T538">
        <v>12.238333000000001</v>
      </c>
      <c r="U538">
        <v>-1.561593</v>
      </c>
    </row>
    <row r="539" spans="1:21">
      <c r="A539" t="s">
        <v>46</v>
      </c>
      <c r="B539">
        <v>2012</v>
      </c>
      <c r="C539">
        <v>644.37476000000004</v>
      </c>
      <c r="D539">
        <v>2940.0000570000002</v>
      </c>
      <c r="E539">
        <v>0.76</v>
      </c>
      <c r="F539">
        <v>0</v>
      </c>
      <c r="G539">
        <v>0.11</v>
      </c>
      <c r="H539">
        <v>12.643678</v>
      </c>
      <c r="I539">
        <v>2.2799999999999998</v>
      </c>
      <c r="J539">
        <v>77.180000000000007</v>
      </c>
      <c r="K539">
        <v>76</v>
      </c>
      <c r="L539">
        <v>15.117993999999999</v>
      </c>
      <c r="M539">
        <v>6.7</v>
      </c>
      <c r="O539">
        <v>1480000</v>
      </c>
      <c r="P539">
        <v>6.4526723800000001</v>
      </c>
      <c r="Q539">
        <v>758.00042699999995</v>
      </c>
      <c r="R539">
        <v>5.15</v>
      </c>
      <c r="S539">
        <v>274200</v>
      </c>
      <c r="T539">
        <v>12.238333000000001</v>
      </c>
      <c r="U539">
        <v>-1.561593</v>
      </c>
    </row>
    <row r="540" spans="1:21">
      <c r="A540" t="s">
        <v>46</v>
      </c>
      <c r="B540">
        <v>2013</v>
      </c>
      <c r="C540">
        <v>749.67834000000005</v>
      </c>
      <c r="D540">
        <v>3130.0001139999999</v>
      </c>
      <c r="E540">
        <v>0.87</v>
      </c>
      <c r="F540">
        <v>0</v>
      </c>
      <c r="G540">
        <v>0.12</v>
      </c>
      <c r="H540">
        <v>12.121212</v>
      </c>
      <c r="I540">
        <v>2.25</v>
      </c>
      <c r="J540">
        <v>75.430000000000007</v>
      </c>
      <c r="K540">
        <v>76</v>
      </c>
      <c r="L540">
        <v>15.405642500000001</v>
      </c>
      <c r="M540">
        <v>7.1</v>
      </c>
      <c r="O540">
        <v>32460000</v>
      </c>
      <c r="P540">
        <v>5.7925848450000004</v>
      </c>
      <c r="Q540">
        <v>787.46943829999998</v>
      </c>
      <c r="R540">
        <v>5.04</v>
      </c>
      <c r="S540">
        <v>274200</v>
      </c>
      <c r="T540">
        <v>12.238333000000001</v>
      </c>
      <c r="U540">
        <v>-1.561593</v>
      </c>
    </row>
    <row r="541" spans="1:21">
      <c r="A541" t="s">
        <v>46</v>
      </c>
      <c r="B541">
        <v>2014</v>
      </c>
      <c r="C541">
        <v>677.64610000000005</v>
      </c>
      <c r="D541">
        <v>3180.0000669999999</v>
      </c>
      <c r="E541">
        <v>1.02</v>
      </c>
      <c r="F541">
        <v>0</v>
      </c>
      <c r="G541">
        <v>0.1</v>
      </c>
      <c r="H541">
        <v>8.9285720000000008</v>
      </c>
      <c r="I541">
        <v>2.23</v>
      </c>
      <c r="J541">
        <v>75.239999999999995</v>
      </c>
      <c r="K541">
        <v>76</v>
      </c>
      <c r="L541">
        <v>19.2</v>
      </c>
      <c r="M541">
        <v>7.6</v>
      </c>
      <c r="O541">
        <v>38410000</v>
      </c>
      <c r="P541">
        <v>4.3268456149999999</v>
      </c>
      <c r="Q541">
        <v>792.84623739999995</v>
      </c>
      <c r="R541">
        <v>4.91</v>
      </c>
      <c r="S541">
        <v>274200</v>
      </c>
      <c r="T541">
        <v>12.238333000000001</v>
      </c>
      <c r="U541">
        <v>-1.561593</v>
      </c>
    </row>
    <row r="542" spans="1:21">
      <c r="A542" t="s">
        <v>46</v>
      </c>
      <c r="B542">
        <v>2015</v>
      </c>
      <c r="C542">
        <v>836.02980000000002</v>
      </c>
      <c r="D542">
        <v>3700.0000479999999</v>
      </c>
      <c r="E542">
        <v>1.33</v>
      </c>
      <c r="F542">
        <v>0</v>
      </c>
      <c r="G542">
        <v>0.1</v>
      </c>
      <c r="H542">
        <v>6.9930070000000004</v>
      </c>
      <c r="I542">
        <v>2.2599999999999998</v>
      </c>
      <c r="J542">
        <v>72.709999999999994</v>
      </c>
      <c r="K542">
        <v>76</v>
      </c>
      <c r="L542">
        <v>16.076975000000001</v>
      </c>
      <c r="M542">
        <v>8.1</v>
      </c>
      <c r="O542">
        <v>180000</v>
      </c>
      <c r="P542">
        <v>3.9212287940000001</v>
      </c>
      <c r="Q542">
        <v>653.32726809999997</v>
      </c>
      <c r="R542">
        <v>4.9400000000000004</v>
      </c>
      <c r="S542">
        <v>274200</v>
      </c>
      <c r="T542">
        <v>12.238333000000001</v>
      </c>
      <c r="U542">
        <v>-1.561593</v>
      </c>
    </row>
    <row r="543" spans="1:21">
      <c r="A543" t="s">
        <v>46</v>
      </c>
      <c r="B543">
        <v>2016</v>
      </c>
      <c r="C543">
        <v>780.07709999999997</v>
      </c>
      <c r="D543">
        <v>3700.0000479999999</v>
      </c>
      <c r="E543">
        <v>1.39</v>
      </c>
      <c r="F543">
        <v>0</v>
      </c>
      <c r="G543">
        <v>0.16</v>
      </c>
      <c r="H543">
        <v>10.322581</v>
      </c>
      <c r="I543">
        <v>2.2999999999999998</v>
      </c>
      <c r="J543">
        <v>72.27</v>
      </c>
      <c r="K543">
        <v>76</v>
      </c>
      <c r="L543">
        <v>16.641055999999999</v>
      </c>
      <c r="M543">
        <v>8.6999999999999993</v>
      </c>
      <c r="O543">
        <v>29290000</v>
      </c>
      <c r="P543">
        <v>5.9579767080000003</v>
      </c>
      <c r="Q543">
        <v>688.25069629999996</v>
      </c>
      <c r="R543">
        <v>4.76</v>
      </c>
      <c r="S543">
        <v>274200</v>
      </c>
      <c r="T543">
        <v>12.238333000000001</v>
      </c>
      <c r="U543">
        <v>-1.561593</v>
      </c>
    </row>
    <row r="544" spans="1:21">
      <c r="A544" t="s">
        <v>46</v>
      </c>
      <c r="B544">
        <v>2017</v>
      </c>
      <c r="C544">
        <v>878.57794000000001</v>
      </c>
      <c r="D544">
        <v>4269.9999809999999</v>
      </c>
      <c r="E544">
        <v>1.48</v>
      </c>
      <c r="F544">
        <v>0</v>
      </c>
      <c r="G544">
        <v>0.16</v>
      </c>
      <c r="H544">
        <v>9.7560979999999997</v>
      </c>
      <c r="I544">
        <v>4.1500000000000004</v>
      </c>
      <c r="J544">
        <v>69.08</v>
      </c>
      <c r="K544">
        <v>76</v>
      </c>
      <c r="L544">
        <v>17.214043</v>
      </c>
      <c r="M544">
        <v>9</v>
      </c>
      <c r="O544">
        <v>20820000</v>
      </c>
      <c r="P544">
        <v>6.2034894109999996</v>
      </c>
      <c r="Q544">
        <v>734.99626799999999</v>
      </c>
      <c r="R544">
        <v>4.72</v>
      </c>
      <c r="S544">
        <v>274200</v>
      </c>
      <c r="T544">
        <v>12.238333000000001</v>
      </c>
      <c r="U544">
        <v>-1.561593</v>
      </c>
    </row>
    <row r="545" spans="1:21">
      <c r="A545" t="s">
        <v>46</v>
      </c>
      <c r="B545">
        <v>2018</v>
      </c>
      <c r="C545">
        <v>950.38710000000003</v>
      </c>
      <c r="D545">
        <v>4670.0000760000003</v>
      </c>
      <c r="E545">
        <v>1.42</v>
      </c>
      <c r="F545">
        <v>0</v>
      </c>
      <c r="G545">
        <v>0.23</v>
      </c>
      <c r="H545">
        <v>13.939394</v>
      </c>
      <c r="I545">
        <v>4.8</v>
      </c>
      <c r="J545">
        <v>66.97</v>
      </c>
      <c r="K545">
        <v>76</v>
      </c>
      <c r="L545">
        <v>14.4</v>
      </c>
      <c r="M545">
        <v>9.5</v>
      </c>
      <c r="O545">
        <v>35120000</v>
      </c>
      <c r="P545">
        <v>6.604569068</v>
      </c>
      <c r="Q545">
        <v>804.50053779999996</v>
      </c>
      <c r="R545">
        <v>4.5999999999999996</v>
      </c>
      <c r="S545">
        <v>274200</v>
      </c>
      <c r="T545">
        <v>12.238333000000001</v>
      </c>
      <c r="U545">
        <v>-1.561593</v>
      </c>
    </row>
    <row r="546" spans="1:21">
      <c r="A546" t="s">
        <v>46</v>
      </c>
      <c r="B546">
        <v>2019</v>
      </c>
      <c r="C546">
        <v>946.95734000000004</v>
      </c>
      <c r="D546">
        <v>5000</v>
      </c>
      <c r="E546">
        <v>1.51</v>
      </c>
      <c r="F546">
        <v>0</v>
      </c>
      <c r="G546">
        <v>0.21</v>
      </c>
      <c r="H546">
        <v>12.209301999999999</v>
      </c>
      <c r="I546">
        <v>4.8099999999999996</v>
      </c>
      <c r="J546">
        <v>64.849999999999994</v>
      </c>
      <c r="K546">
        <v>76</v>
      </c>
      <c r="L546">
        <v>18.374855</v>
      </c>
      <c r="M546">
        <v>10.1</v>
      </c>
      <c r="O546">
        <v>45840000</v>
      </c>
      <c r="P546">
        <v>5.6881151489999997</v>
      </c>
      <c r="Q546">
        <v>796.11520680000001</v>
      </c>
      <c r="R546">
        <v>4.49</v>
      </c>
      <c r="S546">
        <v>274200</v>
      </c>
      <c r="T546">
        <v>12.238333000000001</v>
      </c>
      <c r="U546">
        <v>-1.561593</v>
      </c>
    </row>
    <row r="547" spans="1:21">
      <c r="A547" t="s">
        <v>46</v>
      </c>
      <c r="B547">
        <v>2020</v>
      </c>
      <c r="C547">
        <v>878.98149999999998</v>
      </c>
      <c r="E547">
        <v>1.43</v>
      </c>
      <c r="F547">
        <v>0</v>
      </c>
      <c r="G547">
        <v>0.21</v>
      </c>
      <c r="H547">
        <v>12.804878</v>
      </c>
      <c r="I547">
        <v>4.68</v>
      </c>
      <c r="K547">
        <v>76</v>
      </c>
      <c r="L547">
        <v>18.957239999999999</v>
      </c>
      <c r="M547">
        <v>10.6</v>
      </c>
      <c r="P547">
        <v>1.9303248900000001</v>
      </c>
      <c r="Q547">
        <v>857.93272969999998</v>
      </c>
      <c r="S547">
        <v>274200</v>
      </c>
      <c r="T547">
        <v>12.238333000000001</v>
      </c>
      <c r="U547">
        <v>-1.561593</v>
      </c>
    </row>
    <row r="548" spans="1:21">
      <c r="A548" t="s">
        <v>47</v>
      </c>
      <c r="B548">
        <v>2000</v>
      </c>
      <c r="C548">
        <v>261.95846999999998</v>
      </c>
      <c r="D548">
        <v>260</v>
      </c>
      <c r="E548">
        <v>0</v>
      </c>
      <c r="F548">
        <v>0</v>
      </c>
      <c r="G548">
        <v>0.1</v>
      </c>
      <c r="H548">
        <v>100</v>
      </c>
      <c r="I548">
        <v>8.51</v>
      </c>
      <c r="J548">
        <v>93.23</v>
      </c>
      <c r="K548">
        <v>463</v>
      </c>
      <c r="L548">
        <v>2.4632367999999998</v>
      </c>
      <c r="M548">
        <v>0.3</v>
      </c>
      <c r="P548">
        <v>-0.85686405799999998</v>
      </c>
      <c r="Q548">
        <v>136.4639708</v>
      </c>
      <c r="R548">
        <v>10.37</v>
      </c>
      <c r="S548">
        <v>27830</v>
      </c>
      <c r="T548">
        <v>-3.3730560000000001</v>
      </c>
      <c r="U548">
        <v>29.918886000000001</v>
      </c>
    </row>
    <row r="549" spans="1:21">
      <c r="A549" t="s">
        <v>47</v>
      </c>
      <c r="B549">
        <v>2001</v>
      </c>
      <c r="C549">
        <v>217.60869</v>
      </c>
      <c r="D549">
        <v>200</v>
      </c>
      <c r="E549">
        <v>0</v>
      </c>
      <c r="F549">
        <v>0</v>
      </c>
      <c r="G549">
        <v>0.11</v>
      </c>
      <c r="H549">
        <v>100</v>
      </c>
      <c r="I549">
        <v>8.31</v>
      </c>
      <c r="J549">
        <v>94.84</v>
      </c>
      <c r="K549">
        <v>463</v>
      </c>
      <c r="L549">
        <v>2.7974199999999998</v>
      </c>
      <c r="M549">
        <v>0.3</v>
      </c>
      <c r="P549">
        <v>2.0558071080000002</v>
      </c>
      <c r="Q549">
        <v>134.36342690000001</v>
      </c>
      <c r="R549">
        <v>10.52</v>
      </c>
      <c r="S549">
        <v>27830</v>
      </c>
      <c r="T549">
        <v>-3.3730560000000001</v>
      </c>
      <c r="U549">
        <v>29.918886000000001</v>
      </c>
    </row>
    <row r="550" spans="1:21">
      <c r="A550" t="s">
        <v>47</v>
      </c>
      <c r="B550">
        <v>2002</v>
      </c>
      <c r="C550">
        <v>200.19261</v>
      </c>
      <c r="D550">
        <v>209.99999339999999</v>
      </c>
      <c r="E550">
        <v>0</v>
      </c>
      <c r="F550">
        <v>0</v>
      </c>
      <c r="G550">
        <v>0.13</v>
      </c>
      <c r="H550">
        <v>100</v>
      </c>
      <c r="I550">
        <v>8.09</v>
      </c>
      <c r="J550">
        <v>94.65</v>
      </c>
      <c r="K550">
        <v>463</v>
      </c>
      <c r="L550">
        <v>3.1240184000000002</v>
      </c>
      <c r="M550">
        <v>0.3</v>
      </c>
      <c r="P550">
        <v>4.4465194119999998</v>
      </c>
      <c r="Q550">
        <v>123.1175361</v>
      </c>
      <c r="R550">
        <v>10.07</v>
      </c>
      <c r="S550">
        <v>27830</v>
      </c>
      <c r="T550">
        <v>-3.3730560000000001</v>
      </c>
      <c r="U550">
        <v>29.918886000000001</v>
      </c>
    </row>
    <row r="551" spans="1:21">
      <c r="A551" t="s">
        <v>47</v>
      </c>
      <c r="B551">
        <v>2003</v>
      </c>
      <c r="C551">
        <v>157.22882000000001</v>
      </c>
      <c r="D551">
        <v>159.99999639999999</v>
      </c>
      <c r="E551">
        <v>0</v>
      </c>
      <c r="F551">
        <v>0</v>
      </c>
      <c r="G551">
        <v>0.1</v>
      </c>
      <c r="H551">
        <v>100</v>
      </c>
      <c r="I551">
        <v>7.85</v>
      </c>
      <c r="J551">
        <v>95.76</v>
      </c>
      <c r="K551">
        <v>463</v>
      </c>
      <c r="L551">
        <v>3.4453816000000002</v>
      </c>
      <c r="M551">
        <v>0.3</v>
      </c>
      <c r="P551">
        <v>-1.2237279599999999</v>
      </c>
      <c r="Q551">
        <v>113.5672513</v>
      </c>
      <c r="R551">
        <v>10.050000000000001</v>
      </c>
      <c r="S551">
        <v>27830</v>
      </c>
      <c r="T551">
        <v>-3.3730560000000001</v>
      </c>
      <c r="U551">
        <v>29.918886000000001</v>
      </c>
    </row>
    <row r="552" spans="1:21">
      <c r="A552" t="s">
        <v>47</v>
      </c>
      <c r="B552">
        <v>2004</v>
      </c>
      <c r="C552">
        <v>174.65432999999999</v>
      </c>
      <c r="D552">
        <v>150.00000600000001</v>
      </c>
      <c r="E552">
        <v>0</v>
      </c>
      <c r="F552">
        <v>0</v>
      </c>
      <c r="G552">
        <v>0.09</v>
      </c>
      <c r="H552">
        <v>99.999989999999997</v>
      </c>
      <c r="I552">
        <v>7.61</v>
      </c>
      <c r="J552">
        <v>96.04</v>
      </c>
      <c r="K552">
        <v>463</v>
      </c>
      <c r="L552">
        <v>3.7638587999999999</v>
      </c>
      <c r="M552">
        <v>0.3</v>
      </c>
      <c r="P552">
        <v>4.8336577680000001</v>
      </c>
      <c r="Q552">
        <v>128.33670280000001</v>
      </c>
      <c r="R552">
        <v>9.66</v>
      </c>
      <c r="S552">
        <v>27830</v>
      </c>
      <c r="T552">
        <v>-3.3730560000000001</v>
      </c>
      <c r="U552">
        <v>29.918886000000001</v>
      </c>
    </row>
    <row r="553" spans="1:21">
      <c r="A553" t="s">
        <v>47</v>
      </c>
      <c r="B553">
        <v>2005</v>
      </c>
      <c r="C553">
        <v>145.98683</v>
      </c>
      <c r="D553">
        <v>150.00000600000001</v>
      </c>
      <c r="E553">
        <v>0</v>
      </c>
      <c r="F553">
        <v>0</v>
      </c>
      <c r="G553">
        <v>0.09</v>
      </c>
      <c r="H553">
        <v>99.999989999999997</v>
      </c>
      <c r="I553">
        <v>7.38</v>
      </c>
      <c r="J553">
        <v>96.01</v>
      </c>
      <c r="K553">
        <v>463</v>
      </c>
      <c r="L553">
        <v>3.2073170000000002</v>
      </c>
      <c r="M553">
        <v>0.3</v>
      </c>
      <c r="P553">
        <v>0.90000000099999999</v>
      </c>
      <c r="Q553">
        <v>151.68156629999999</v>
      </c>
      <c r="R553">
        <v>9.48</v>
      </c>
      <c r="S553">
        <v>27830</v>
      </c>
      <c r="T553">
        <v>-3.3730560000000001</v>
      </c>
      <c r="U553">
        <v>29.918886000000001</v>
      </c>
    </row>
    <row r="554" spans="1:21">
      <c r="A554" t="s">
        <v>47</v>
      </c>
      <c r="B554">
        <v>2006</v>
      </c>
      <c r="C554">
        <v>163.21136000000001</v>
      </c>
      <c r="D554">
        <v>180.0000072</v>
      </c>
      <c r="E554">
        <v>0</v>
      </c>
      <c r="F554">
        <v>0</v>
      </c>
      <c r="G554">
        <v>0.09</v>
      </c>
      <c r="H554">
        <v>99.999989999999997</v>
      </c>
      <c r="I554">
        <v>7.16</v>
      </c>
      <c r="J554">
        <v>95.31</v>
      </c>
      <c r="K554">
        <v>463</v>
      </c>
      <c r="L554">
        <v>2.66</v>
      </c>
      <c r="M554">
        <v>0.3</v>
      </c>
      <c r="P554">
        <v>5.4138071449999998</v>
      </c>
      <c r="Q554">
        <v>167.3764625</v>
      </c>
      <c r="R554">
        <v>9.0500000000000007</v>
      </c>
      <c r="S554">
        <v>27830</v>
      </c>
      <c r="T554">
        <v>-3.3730560000000001</v>
      </c>
      <c r="U554">
        <v>29.918886000000001</v>
      </c>
    </row>
    <row r="555" spans="1:21">
      <c r="A555" t="s">
        <v>47</v>
      </c>
      <c r="B555">
        <v>2007</v>
      </c>
      <c r="C555">
        <v>246.2004</v>
      </c>
      <c r="D555">
        <v>180.0000072</v>
      </c>
      <c r="E555">
        <v>0</v>
      </c>
      <c r="F555">
        <v>0</v>
      </c>
      <c r="G555">
        <v>0.12</v>
      </c>
      <c r="H555">
        <v>100</v>
      </c>
      <c r="I555">
        <v>6.94</v>
      </c>
      <c r="J555">
        <v>95.29</v>
      </c>
      <c r="K555">
        <v>463</v>
      </c>
      <c r="L555">
        <v>4.7259463999999998</v>
      </c>
      <c r="M555">
        <v>0.3</v>
      </c>
      <c r="P555">
        <v>3.45195249</v>
      </c>
      <c r="Q555">
        <v>172.4955966</v>
      </c>
      <c r="R555">
        <v>8.83</v>
      </c>
      <c r="S555">
        <v>27830</v>
      </c>
      <c r="T555">
        <v>-3.3730560000000001</v>
      </c>
      <c r="U555">
        <v>29.918886000000001</v>
      </c>
    </row>
    <row r="556" spans="1:21">
      <c r="A556" t="s">
        <v>47</v>
      </c>
      <c r="B556">
        <v>2008</v>
      </c>
      <c r="C556">
        <v>155.42688000000001</v>
      </c>
      <c r="D556">
        <v>180.0000072</v>
      </c>
      <c r="E556">
        <v>0</v>
      </c>
      <c r="F556">
        <v>0</v>
      </c>
      <c r="G556">
        <v>0.11</v>
      </c>
      <c r="H556">
        <v>100</v>
      </c>
      <c r="I556">
        <v>6.73</v>
      </c>
      <c r="J556">
        <v>95.15</v>
      </c>
      <c r="K556">
        <v>463</v>
      </c>
      <c r="L556">
        <v>4.8</v>
      </c>
      <c r="M556">
        <v>0.3</v>
      </c>
      <c r="O556">
        <v>10000</v>
      </c>
      <c r="P556">
        <v>4.8617129950000004</v>
      </c>
      <c r="Q556">
        <v>198.3528517</v>
      </c>
      <c r="R556">
        <v>8.4499999999999993</v>
      </c>
      <c r="S556">
        <v>27830</v>
      </c>
      <c r="T556">
        <v>-3.3730560000000001</v>
      </c>
      <c r="U556">
        <v>29.918886000000001</v>
      </c>
    </row>
    <row r="557" spans="1:21">
      <c r="A557" t="s">
        <v>47</v>
      </c>
      <c r="B557">
        <v>2009</v>
      </c>
      <c r="C557">
        <v>149.19578999999999</v>
      </c>
      <c r="D557">
        <v>180.0000072</v>
      </c>
      <c r="E557">
        <v>0</v>
      </c>
      <c r="F557">
        <v>0</v>
      </c>
      <c r="G557">
        <v>0.12</v>
      </c>
      <c r="H557">
        <v>100</v>
      </c>
      <c r="I557">
        <v>6.51</v>
      </c>
      <c r="J557">
        <v>95.18</v>
      </c>
      <c r="K557">
        <v>463</v>
      </c>
      <c r="L557">
        <v>5.3990169999999997</v>
      </c>
      <c r="M557">
        <v>0.3</v>
      </c>
      <c r="O557">
        <v>90000</v>
      </c>
      <c r="P557">
        <v>3.812746937</v>
      </c>
      <c r="Q557">
        <v>212.13705719999999</v>
      </c>
      <c r="R557">
        <v>8.0299999999999994</v>
      </c>
      <c r="S557">
        <v>27830</v>
      </c>
      <c r="T557">
        <v>-3.3730560000000001</v>
      </c>
      <c r="U557">
        <v>29.918886000000001</v>
      </c>
    </row>
    <row r="558" spans="1:21">
      <c r="A558" t="s">
        <v>47</v>
      </c>
      <c r="B558">
        <v>2010</v>
      </c>
      <c r="C558">
        <v>199.67646999999999</v>
      </c>
      <c r="D558">
        <v>300.0000119</v>
      </c>
      <c r="E558">
        <v>0</v>
      </c>
      <c r="F558">
        <v>0</v>
      </c>
      <c r="G558">
        <v>0.14000000000000001</v>
      </c>
      <c r="H558">
        <v>100</v>
      </c>
      <c r="I558">
        <v>6.32</v>
      </c>
      <c r="J558">
        <v>92.57</v>
      </c>
      <c r="K558">
        <v>463</v>
      </c>
      <c r="L558">
        <v>5.3</v>
      </c>
      <c r="M558">
        <v>0.3</v>
      </c>
      <c r="O558">
        <v>13350000</v>
      </c>
      <c r="P558">
        <v>5.1241633029999996</v>
      </c>
      <c r="Q558">
        <v>234.23553889999999</v>
      </c>
      <c r="R558">
        <v>7.93</v>
      </c>
      <c r="S558">
        <v>27830</v>
      </c>
      <c r="T558">
        <v>-3.3730560000000001</v>
      </c>
      <c r="U558">
        <v>29.918886000000001</v>
      </c>
    </row>
    <row r="559" spans="1:21">
      <c r="A559" t="s">
        <v>47</v>
      </c>
      <c r="B559">
        <v>2011</v>
      </c>
      <c r="C559">
        <v>226.62114</v>
      </c>
      <c r="D559">
        <v>360.00001429999998</v>
      </c>
      <c r="E559">
        <v>0.01</v>
      </c>
      <c r="F559">
        <v>0</v>
      </c>
      <c r="G559">
        <v>0.13</v>
      </c>
      <c r="H559">
        <v>92.857140000000001</v>
      </c>
      <c r="I559">
        <v>6.2</v>
      </c>
      <c r="J559">
        <v>91.65</v>
      </c>
      <c r="K559">
        <v>463</v>
      </c>
      <c r="L559">
        <v>6.1226839999999996</v>
      </c>
      <c r="M559">
        <v>0.2</v>
      </c>
      <c r="O559">
        <v>10000</v>
      </c>
      <c r="P559">
        <v>4.032602496</v>
      </c>
      <c r="Q559">
        <v>249.5779794</v>
      </c>
      <c r="R559">
        <v>7.77</v>
      </c>
      <c r="S559">
        <v>27830</v>
      </c>
      <c r="T559">
        <v>-3.3730560000000001</v>
      </c>
      <c r="U559">
        <v>29.918886000000001</v>
      </c>
    </row>
    <row r="560" spans="1:21">
      <c r="A560" t="s">
        <v>47</v>
      </c>
      <c r="B560">
        <v>2012</v>
      </c>
      <c r="C560">
        <v>205.98768999999999</v>
      </c>
      <c r="D560">
        <v>370.0000048</v>
      </c>
      <c r="E560">
        <v>0.01</v>
      </c>
      <c r="F560">
        <v>0</v>
      </c>
      <c r="G560">
        <v>0.14000000000000001</v>
      </c>
      <c r="H560">
        <v>93.333330000000004</v>
      </c>
      <c r="I560">
        <v>6.09</v>
      </c>
      <c r="J560">
        <v>91.45</v>
      </c>
      <c r="K560">
        <v>463</v>
      </c>
      <c r="L560">
        <v>6.5</v>
      </c>
      <c r="M560">
        <v>0.2</v>
      </c>
      <c r="O560">
        <v>6200000</v>
      </c>
      <c r="P560">
        <v>4.4467082219999998</v>
      </c>
      <c r="Q560">
        <v>252.35887070000001</v>
      </c>
      <c r="R560">
        <v>7.41</v>
      </c>
      <c r="S560">
        <v>27830</v>
      </c>
      <c r="T560">
        <v>-3.3730560000000001</v>
      </c>
      <c r="U560">
        <v>29.918886000000001</v>
      </c>
    </row>
    <row r="561" spans="1:21">
      <c r="A561" t="s">
        <v>47</v>
      </c>
      <c r="B561">
        <v>2013</v>
      </c>
      <c r="C561">
        <v>216.88063</v>
      </c>
      <c r="D561">
        <v>389.99998570000002</v>
      </c>
      <c r="E561">
        <v>0.03</v>
      </c>
      <c r="F561">
        <v>0</v>
      </c>
      <c r="G561">
        <v>0.15</v>
      </c>
      <c r="H561">
        <v>83.333336000000003</v>
      </c>
      <c r="I561">
        <v>6.01</v>
      </c>
      <c r="J561">
        <v>91.08</v>
      </c>
      <c r="K561">
        <v>463</v>
      </c>
      <c r="L561">
        <v>6.9</v>
      </c>
      <c r="M561">
        <v>0.2</v>
      </c>
      <c r="O561">
        <v>96640000</v>
      </c>
      <c r="P561">
        <v>4.9241952610000004</v>
      </c>
      <c r="Q561">
        <v>256.97565259999999</v>
      </c>
      <c r="R561">
        <v>7.42</v>
      </c>
      <c r="S561">
        <v>27830</v>
      </c>
      <c r="T561">
        <v>-3.3730560000000001</v>
      </c>
      <c r="U561">
        <v>29.918886000000001</v>
      </c>
    </row>
    <row r="562" spans="1:21">
      <c r="A562" t="s">
        <v>47</v>
      </c>
      <c r="B562">
        <v>2014</v>
      </c>
      <c r="C562">
        <v>196.12764000000001</v>
      </c>
      <c r="D562">
        <v>379.9999952</v>
      </c>
      <c r="E562">
        <v>0.04</v>
      </c>
      <c r="F562">
        <v>0</v>
      </c>
      <c r="G562">
        <v>0.15</v>
      </c>
      <c r="H562">
        <v>78.947370000000006</v>
      </c>
      <c r="I562">
        <v>5.85</v>
      </c>
      <c r="J562">
        <v>91.28</v>
      </c>
      <c r="K562">
        <v>463</v>
      </c>
      <c r="L562">
        <v>7</v>
      </c>
      <c r="M562">
        <v>0.2</v>
      </c>
      <c r="O562">
        <v>140890000</v>
      </c>
      <c r="P562">
        <v>4.2406516439999997</v>
      </c>
      <c r="Q562">
        <v>274.85783620000001</v>
      </c>
      <c r="R562">
        <v>7.08</v>
      </c>
      <c r="S562">
        <v>27830</v>
      </c>
      <c r="T562">
        <v>-3.3730560000000001</v>
      </c>
      <c r="U562">
        <v>29.918886000000001</v>
      </c>
    </row>
    <row r="563" spans="1:21">
      <c r="A563" t="s">
        <v>47</v>
      </c>
      <c r="B563">
        <v>2015</v>
      </c>
      <c r="C563">
        <v>193.7544</v>
      </c>
      <c r="D563">
        <v>400.00000599999998</v>
      </c>
      <c r="E563">
        <v>0.03</v>
      </c>
      <c r="F563">
        <v>0</v>
      </c>
      <c r="G563">
        <v>0.15</v>
      </c>
      <c r="H563">
        <v>83.333336000000003</v>
      </c>
      <c r="I563">
        <v>5.69</v>
      </c>
      <c r="J563">
        <v>91.15</v>
      </c>
      <c r="K563">
        <v>463</v>
      </c>
      <c r="L563">
        <v>8.4276520000000001</v>
      </c>
      <c r="M563">
        <v>0.2</v>
      </c>
      <c r="O563">
        <v>2490000</v>
      </c>
      <c r="P563">
        <v>-3.9000030859999999</v>
      </c>
      <c r="Q563">
        <v>305.54965249999998</v>
      </c>
      <c r="R563">
        <v>7.38</v>
      </c>
      <c r="S563">
        <v>27830</v>
      </c>
      <c r="T563">
        <v>-3.3730560000000001</v>
      </c>
      <c r="U563">
        <v>29.918886000000001</v>
      </c>
    </row>
    <row r="564" spans="1:21">
      <c r="A564" t="s">
        <v>47</v>
      </c>
      <c r="B564">
        <v>2016</v>
      </c>
      <c r="C564">
        <v>208.42975999999999</v>
      </c>
      <c r="D564">
        <v>439.99999759999997</v>
      </c>
      <c r="E564">
        <v>0.03</v>
      </c>
      <c r="F564">
        <v>0</v>
      </c>
      <c r="G564">
        <v>0.16</v>
      </c>
      <c r="H564">
        <v>84.210526000000002</v>
      </c>
      <c r="I564">
        <v>5.61</v>
      </c>
      <c r="J564">
        <v>89.52</v>
      </c>
      <c r="K564">
        <v>463</v>
      </c>
      <c r="L564">
        <v>9.3484099999999994</v>
      </c>
      <c r="M564">
        <v>0.2</v>
      </c>
      <c r="O564">
        <v>50000</v>
      </c>
      <c r="P564">
        <v>-0.60002000099999997</v>
      </c>
      <c r="Q564">
        <v>260.56522080000002</v>
      </c>
      <c r="R564">
        <v>7.56</v>
      </c>
      <c r="S564">
        <v>27830</v>
      </c>
      <c r="T564">
        <v>-3.3730560000000001</v>
      </c>
      <c r="U564">
        <v>29.918886000000001</v>
      </c>
    </row>
    <row r="565" spans="1:21">
      <c r="A565" t="s">
        <v>47</v>
      </c>
      <c r="B565">
        <v>2017</v>
      </c>
      <c r="C565">
        <v>246.89966999999999</v>
      </c>
      <c r="D565">
        <v>529.99997140000005</v>
      </c>
      <c r="E565">
        <v>0.08</v>
      </c>
      <c r="F565">
        <v>0</v>
      </c>
      <c r="G565">
        <v>0.21</v>
      </c>
      <c r="H565">
        <v>72.413794999999993</v>
      </c>
      <c r="I565">
        <v>5.3</v>
      </c>
      <c r="J565">
        <v>88.12</v>
      </c>
      <c r="K565">
        <v>463</v>
      </c>
      <c r="L565">
        <v>9.3000000000000007</v>
      </c>
      <c r="M565">
        <v>0.2</v>
      </c>
      <c r="O565">
        <v>16940000</v>
      </c>
      <c r="P565">
        <v>0.50000999899999998</v>
      </c>
      <c r="Q565">
        <v>253.8263541</v>
      </c>
      <c r="R565">
        <v>7.62</v>
      </c>
      <c r="S565">
        <v>27830</v>
      </c>
      <c r="T565">
        <v>-3.3730560000000001</v>
      </c>
      <c r="U565">
        <v>29.918886000000001</v>
      </c>
    </row>
    <row r="566" spans="1:21">
      <c r="A566" t="s">
        <v>47</v>
      </c>
      <c r="B566">
        <v>2018</v>
      </c>
      <c r="C566">
        <v>290.76859999999999</v>
      </c>
      <c r="D566">
        <v>689.99999760000003</v>
      </c>
      <c r="E566">
        <v>0.1</v>
      </c>
      <c r="F566">
        <v>0</v>
      </c>
      <c r="G566">
        <v>0.17</v>
      </c>
      <c r="H566">
        <v>62.962960000000002</v>
      </c>
      <c r="I566">
        <v>5.14</v>
      </c>
      <c r="J566">
        <v>85.58</v>
      </c>
      <c r="K566">
        <v>463</v>
      </c>
      <c r="L566">
        <v>10.884909</v>
      </c>
      <c r="M566">
        <v>0.2</v>
      </c>
      <c r="O566">
        <v>20360000</v>
      </c>
      <c r="P566">
        <v>1.609933082</v>
      </c>
      <c r="Q566">
        <v>238.783467</v>
      </c>
      <c r="R566">
        <v>7.71</v>
      </c>
      <c r="S566">
        <v>27830</v>
      </c>
      <c r="T566">
        <v>-3.3730560000000001</v>
      </c>
      <c r="U566">
        <v>29.918886000000001</v>
      </c>
    </row>
    <row r="567" spans="1:21">
      <c r="A567" t="s">
        <v>47</v>
      </c>
      <c r="B567">
        <v>2019</v>
      </c>
      <c r="C567">
        <v>309.34055000000001</v>
      </c>
      <c r="D567">
        <v>720.00002859999995</v>
      </c>
      <c r="E567">
        <v>0.12</v>
      </c>
      <c r="F567">
        <v>0</v>
      </c>
      <c r="G567">
        <v>0.24</v>
      </c>
      <c r="H567">
        <v>66.666663999999997</v>
      </c>
      <c r="I567">
        <v>4.9800000000000004</v>
      </c>
      <c r="J567">
        <v>84.77</v>
      </c>
      <c r="K567">
        <v>463</v>
      </c>
      <c r="L567">
        <v>11.356528000000001</v>
      </c>
      <c r="M567">
        <v>0.2</v>
      </c>
      <c r="O567">
        <v>89840000</v>
      </c>
      <c r="P567">
        <v>1.8424766770000001</v>
      </c>
      <c r="Q567">
        <v>228.2135892</v>
      </c>
      <c r="R567">
        <v>7.62</v>
      </c>
      <c r="S567">
        <v>27830</v>
      </c>
      <c r="T567">
        <v>-3.3730560000000001</v>
      </c>
      <c r="U567">
        <v>29.918886000000001</v>
      </c>
    </row>
    <row r="568" spans="1:21">
      <c r="A568" t="s">
        <v>47</v>
      </c>
      <c r="B568">
        <v>2020</v>
      </c>
      <c r="C568">
        <v>289.06625000000003</v>
      </c>
      <c r="E568">
        <v>0.11</v>
      </c>
      <c r="F568">
        <v>0</v>
      </c>
      <c r="G568">
        <v>0.24</v>
      </c>
      <c r="H568">
        <v>68.571430000000007</v>
      </c>
      <c r="I568">
        <v>4.83</v>
      </c>
      <c r="K568">
        <v>463</v>
      </c>
      <c r="L568">
        <v>11.735556000000001</v>
      </c>
      <c r="M568">
        <v>0.2</v>
      </c>
      <c r="P568">
        <v>0.297577119</v>
      </c>
      <c r="Q568">
        <v>238.9907259</v>
      </c>
      <c r="S568">
        <v>27830</v>
      </c>
      <c r="T568">
        <v>-3.3730560000000001</v>
      </c>
      <c r="U568">
        <v>29.918886000000001</v>
      </c>
    </row>
    <row r="569" spans="1:21">
      <c r="A569" t="s">
        <v>48</v>
      </c>
      <c r="B569">
        <v>2000</v>
      </c>
      <c r="C569">
        <v>739.45550000000003</v>
      </c>
      <c r="D569">
        <v>1960</v>
      </c>
      <c r="E569">
        <v>0.42</v>
      </c>
      <c r="F569">
        <v>0</v>
      </c>
      <c r="G569">
        <v>0.05</v>
      </c>
      <c r="H569">
        <v>10.638298000000001</v>
      </c>
      <c r="I569">
        <v>0.83</v>
      </c>
      <c r="J569">
        <v>81.58</v>
      </c>
      <c r="K569">
        <v>95</v>
      </c>
      <c r="L569">
        <v>16.600000000000001</v>
      </c>
      <c r="M569">
        <v>3.6</v>
      </c>
      <c r="P569">
        <v>9.9935803219999997</v>
      </c>
      <c r="Q569">
        <v>300.61367899999999</v>
      </c>
      <c r="R569">
        <v>7.91</v>
      </c>
      <c r="S569">
        <v>181035</v>
      </c>
      <c r="T569">
        <v>12.565678999999999</v>
      </c>
      <c r="U569">
        <v>104.99096299999999</v>
      </c>
    </row>
    <row r="570" spans="1:21">
      <c r="A570" t="s">
        <v>48</v>
      </c>
      <c r="B570">
        <v>2001</v>
      </c>
      <c r="C570">
        <v>769.40970000000004</v>
      </c>
      <c r="D570">
        <v>2150</v>
      </c>
      <c r="E570">
        <v>0.48</v>
      </c>
      <c r="F570">
        <v>0</v>
      </c>
      <c r="G570">
        <v>0.03</v>
      </c>
      <c r="H570">
        <v>5.8823530000000002</v>
      </c>
      <c r="I570">
        <v>0.82</v>
      </c>
      <c r="J570">
        <v>80.510000000000005</v>
      </c>
      <c r="K570">
        <v>95</v>
      </c>
      <c r="L570">
        <v>14.624777999999999</v>
      </c>
      <c r="M570">
        <v>4.0999999999999996</v>
      </c>
      <c r="P570">
        <v>8.1483860979999996</v>
      </c>
      <c r="Q570">
        <v>321.1502236</v>
      </c>
      <c r="R570">
        <v>7.51</v>
      </c>
      <c r="S570">
        <v>181035</v>
      </c>
      <c r="T570">
        <v>12.565678999999999</v>
      </c>
      <c r="U570">
        <v>104.99096299999999</v>
      </c>
    </row>
    <row r="571" spans="1:21">
      <c r="A571" t="s">
        <v>48</v>
      </c>
      <c r="B571">
        <v>2002</v>
      </c>
      <c r="C571">
        <v>754.14469999999994</v>
      </c>
      <c r="D571">
        <v>2210.0000380000001</v>
      </c>
      <c r="E571">
        <v>0.66</v>
      </c>
      <c r="F571">
        <v>0</v>
      </c>
      <c r="G571">
        <v>0.03</v>
      </c>
      <c r="H571">
        <v>4.3478260000000004</v>
      </c>
      <c r="I571">
        <v>0.97</v>
      </c>
      <c r="J571">
        <v>80.97</v>
      </c>
      <c r="K571">
        <v>95</v>
      </c>
      <c r="L571">
        <v>18.187100000000001</v>
      </c>
      <c r="M571">
        <v>4.7</v>
      </c>
      <c r="P571">
        <v>6.578939503</v>
      </c>
      <c r="Q571">
        <v>338.98747730000002</v>
      </c>
      <c r="R571">
        <v>7.05</v>
      </c>
      <c r="S571">
        <v>181035</v>
      </c>
      <c r="T571">
        <v>12.565678999999999</v>
      </c>
      <c r="U571">
        <v>104.99096299999999</v>
      </c>
    </row>
    <row r="572" spans="1:21">
      <c r="A572" t="s">
        <v>48</v>
      </c>
      <c r="B572">
        <v>2003</v>
      </c>
      <c r="C572">
        <v>803.81635000000006</v>
      </c>
      <c r="D572">
        <v>2380.0001139999999</v>
      </c>
      <c r="E572">
        <v>0.67</v>
      </c>
      <c r="F572">
        <v>0</v>
      </c>
      <c r="G572">
        <v>0.04</v>
      </c>
      <c r="H572">
        <v>5.6338030000000003</v>
      </c>
      <c r="I572">
        <v>0.96</v>
      </c>
      <c r="J572">
        <v>79.92</v>
      </c>
      <c r="K572">
        <v>95</v>
      </c>
      <c r="L572">
        <v>19.3</v>
      </c>
      <c r="M572">
        <v>5.3</v>
      </c>
      <c r="O572">
        <v>4630000</v>
      </c>
      <c r="P572">
        <v>8.5058955570000006</v>
      </c>
      <c r="Q572">
        <v>362.3354822</v>
      </c>
      <c r="R572">
        <v>6.69</v>
      </c>
      <c r="S572">
        <v>181035</v>
      </c>
      <c r="T572">
        <v>12.565678999999999</v>
      </c>
      <c r="U572">
        <v>104.99096299999999</v>
      </c>
    </row>
    <row r="573" spans="1:21">
      <c r="A573" t="s">
        <v>48</v>
      </c>
      <c r="B573">
        <v>2004</v>
      </c>
      <c r="C573">
        <v>813.56444999999997</v>
      </c>
      <c r="D573">
        <v>2380.0001139999999</v>
      </c>
      <c r="E573">
        <v>0.73</v>
      </c>
      <c r="F573">
        <v>0</v>
      </c>
      <c r="G573">
        <v>0.03</v>
      </c>
      <c r="H573">
        <v>3.9473684000000002</v>
      </c>
      <c r="I573">
        <v>1.02</v>
      </c>
      <c r="J573">
        <v>80.69</v>
      </c>
      <c r="K573">
        <v>95</v>
      </c>
      <c r="L573">
        <v>25.298383999999999</v>
      </c>
      <c r="M573">
        <v>5.9</v>
      </c>
      <c r="O573">
        <v>409150000</v>
      </c>
      <c r="P573">
        <v>10.34052878</v>
      </c>
      <c r="Q573">
        <v>408.51363880000002</v>
      </c>
      <c r="R573">
        <v>6.23</v>
      </c>
      <c r="S573">
        <v>181035</v>
      </c>
      <c r="T573">
        <v>12.565678999999999</v>
      </c>
      <c r="U573">
        <v>104.99096299999999</v>
      </c>
    </row>
    <row r="574" spans="1:21">
      <c r="A574" t="s">
        <v>48</v>
      </c>
      <c r="B574">
        <v>2005</v>
      </c>
      <c r="C574">
        <v>909.82135000000005</v>
      </c>
      <c r="D574">
        <v>2660.000086</v>
      </c>
      <c r="E574">
        <v>0.86</v>
      </c>
      <c r="F574">
        <v>0</v>
      </c>
      <c r="G574">
        <v>0.04</v>
      </c>
      <c r="H574">
        <v>4.4444447</v>
      </c>
      <c r="I574">
        <v>1.02</v>
      </c>
      <c r="J574">
        <v>79.239999999999995</v>
      </c>
      <c r="K574">
        <v>95</v>
      </c>
      <c r="L574">
        <v>20.5</v>
      </c>
      <c r="M574">
        <v>6.7</v>
      </c>
      <c r="O574">
        <v>1250000</v>
      </c>
      <c r="P574">
        <v>13.25008691</v>
      </c>
      <c r="Q574">
        <v>474.11119209999998</v>
      </c>
      <c r="R574">
        <v>5.73</v>
      </c>
      <c r="S574">
        <v>181035</v>
      </c>
      <c r="T574">
        <v>12.565678999999999</v>
      </c>
      <c r="U574">
        <v>104.99096299999999</v>
      </c>
    </row>
    <row r="575" spans="1:21">
      <c r="A575" t="s">
        <v>48</v>
      </c>
      <c r="B575">
        <v>2006</v>
      </c>
      <c r="C575">
        <v>967.99585000000002</v>
      </c>
      <c r="D575">
        <v>2960.0000380000001</v>
      </c>
      <c r="E575">
        <v>0.98</v>
      </c>
      <c r="F575">
        <v>0</v>
      </c>
      <c r="G575">
        <v>0.13</v>
      </c>
      <c r="H575">
        <v>11.711712</v>
      </c>
      <c r="I575">
        <v>1.35</v>
      </c>
      <c r="J575">
        <v>78.010000000000005</v>
      </c>
      <c r="K575">
        <v>95</v>
      </c>
      <c r="L575">
        <v>32.407580000000003</v>
      </c>
      <c r="M575">
        <v>7.6</v>
      </c>
      <c r="O575">
        <v>10300000</v>
      </c>
      <c r="P575">
        <v>10.771083669999999</v>
      </c>
      <c r="Q575">
        <v>539.7503289</v>
      </c>
      <c r="R575">
        <v>5.31</v>
      </c>
      <c r="S575">
        <v>181035</v>
      </c>
      <c r="T575">
        <v>12.565678999999999</v>
      </c>
      <c r="U575">
        <v>104.99096299999999</v>
      </c>
    </row>
    <row r="576" spans="1:21">
      <c r="A576" t="s">
        <v>48</v>
      </c>
      <c r="B576">
        <v>2007</v>
      </c>
      <c r="C576">
        <v>1116.1547</v>
      </c>
      <c r="D576">
        <v>3660.000086</v>
      </c>
      <c r="E576">
        <v>1.25</v>
      </c>
      <c r="F576">
        <v>0</v>
      </c>
      <c r="G576">
        <v>0.16</v>
      </c>
      <c r="H576">
        <v>11.347518000000001</v>
      </c>
      <c r="I576">
        <v>1.4</v>
      </c>
      <c r="J576">
        <v>74.790000000000006</v>
      </c>
      <c r="K576">
        <v>95</v>
      </c>
      <c r="L576">
        <v>35.967635999999999</v>
      </c>
      <c r="M576">
        <v>8.4</v>
      </c>
      <c r="P576">
        <v>10.21257391</v>
      </c>
      <c r="Q576">
        <v>631.52525760000003</v>
      </c>
      <c r="R576">
        <v>5.03</v>
      </c>
      <c r="S576">
        <v>181035</v>
      </c>
      <c r="T576">
        <v>12.565678999999999</v>
      </c>
      <c r="U576">
        <v>104.99096299999999</v>
      </c>
    </row>
    <row r="577" spans="1:21">
      <c r="A577" t="s">
        <v>48</v>
      </c>
      <c r="B577">
        <v>2008</v>
      </c>
      <c r="C577">
        <v>1152.201</v>
      </c>
      <c r="D577">
        <v>4059.9999429999998</v>
      </c>
      <c r="E577">
        <v>1.23</v>
      </c>
      <c r="F577">
        <v>0</v>
      </c>
      <c r="G577">
        <v>0.16</v>
      </c>
      <c r="H577">
        <v>11.510792</v>
      </c>
      <c r="I577">
        <v>1.47</v>
      </c>
      <c r="J577">
        <v>74.13</v>
      </c>
      <c r="K577">
        <v>95</v>
      </c>
      <c r="L577">
        <v>26.4</v>
      </c>
      <c r="M577">
        <v>9.4</v>
      </c>
      <c r="O577">
        <v>65900000</v>
      </c>
      <c r="P577">
        <v>6.6915774749999999</v>
      </c>
      <c r="Q577">
        <v>745.60912699999994</v>
      </c>
      <c r="R577">
        <v>4.76</v>
      </c>
      <c r="S577">
        <v>181035</v>
      </c>
      <c r="T577">
        <v>12.565678999999999</v>
      </c>
      <c r="U577">
        <v>104.99096299999999</v>
      </c>
    </row>
    <row r="578" spans="1:21">
      <c r="A578" t="s">
        <v>48</v>
      </c>
      <c r="B578">
        <v>2009</v>
      </c>
      <c r="C578">
        <v>1399.9335000000001</v>
      </c>
      <c r="D578">
        <v>4750</v>
      </c>
      <c r="E578">
        <v>1.02</v>
      </c>
      <c r="F578">
        <v>0</v>
      </c>
      <c r="G578">
        <v>0.15</v>
      </c>
      <c r="H578">
        <v>12.820513999999999</v>
      </c>
      <c r="I578">
        <v>1.53</v>
      </c>
      <c r="J578">
        <v>68.040000000000006</v>
      </c>
      <c r="K578">
        <v>95</v>
      </c>
      <c r="L578">
        <v>43.112152000000002</v>
      </c>
      <c r="M578">
        <v>10.5</v>
      </c>
      <c r="O578">
        <v>3840000</v>
      </c>
      <c r="P578">
        <v>8.6696959000000004E-2</v>
      </c>
      <c r="Q578">
        <v>738.05473119999999</v>
      </c>
      <c r="R578">
        <v>5.07</v>
      </c>
      <c r="S578">
        <v>181035</v>
      </c>
      <c r="T578">
        <v>12.565678999999999</v>
      </c>
      <c r="U578">
        <v>104.99096299999999</v>
      </c>
    </row>
    <row r="579" spans="1:21">
      <c r="A579" t="s">
        <v>48</v>
      </c>
      <c r="B579">
        <v>2010</v>
      </c>
      <c r="C579">
        <v>1591.3198</v>
      </c>
      <c r="D579">
        <v>5139.9998660000001</v>
      </c>
      <c r="E579">
        <v>0.81</v>
      </c>
      <c r="F579">
        <v>0</v>
      </c>
      <c r="G579">
        <v>0.12</v>
      </c>
      <c r="H579">
        <v>12.903226</v>
      </c>
      <c r="I579">
        <v>1.51</v>
      </c>
      <c r="J579">
        <v>64.819999999999993</v>
      </c>
      <c r="K579">
        <v>95</v>
      </c>
      <c r="L579">
        <v>31.1</v>
      </c>
      <c r="M579">
        <v>11.7</v>
      </c>
      <c r="O579">
        <v>680450000</v>
      </c>
      <c r="P579">
        <v>5.9630785749999999</v>
      </c>
      <c r="Q579">
        <v>785.50266710000005</v>
      </c>
      <c r="R579">
        <v>5.05</v>
      </c>
      <c r="S579">
        <v>181035</v>
      </c>
      <c r="T579">
        <v>12.565678999999999</v>
      </c>
      <c r="U579">
        <v>104.99096299999999</v>
      </c>
    </row>
    <row r="580" spans="1:21">
      <c r="A580" t="s">
        <v>48</v>
      </c>
      <c r="B580">
        <v>2011</v>
      </c>
      <c r="C580">
        <v>1623.9176</v>
      </c>
      <c r="D580">
        <v>5360.0001339999999</v>
      </c>
      <c r="E580">
        <v>0.81</v>
      </c>
      <c r="F580">
        <v>0</v>
      </c>
      <c r="G580">
        <v>0.18</v>
      </c>
      <c r="H580">
        <v>18.181818</v>
      </c>
      <c r="I580">
        <v>14.97</v>
      </c>
      <c r="J580">
        <v>63.99</v>
      </c>
      <c r="K580">
        <v>95</v>
      </c>
      <c r="L580">
        <v>50.307262000000001</v>
      </c>
      <c r="M580">
        <v>13.1</v>
      </c>
      <c r="O580">
        <v>1120000</v>
      </c>
      <c r="P580">
        <v>7.0695699459999997</v>
      </c>
      <c r="Q580">
        <v>882.27561400000002</v>
      </c>
      <c r="R580">
        <v>4.8099999999999996</v>
      </c>
      <c r="S580">
        <v>181035</v>
      </c>
      <c r="T580">
        <v>12.565678999999999</v>
      </c>
      <c r="U580">
        <v>104.99096299999999</v>
      </c>
    </row>
    <row r="581" spans="1:21">
      <c r="A581" t="s">
        <v>48</v>
      </c>
      <c r="B581">
        <v>2012</v>
      </c>
      <c r="C581">
        <v>1783.7217000000001</v>
      </c>
      <c r="D581">
        <v>5670.0000760000003</v>
      </c>
      <c r="E581">
        <v>0.51</v>
      </c>
      <c r="F581">
        <v>0</v>
      </c>
      <c r="G581">
        <v>0.86</v>
      </c>
      <c r="H581">
        <v>62.773724000000001</v>
      </c>
      <c r="I581">
        <v>17.850000000000001</v>
      </c>
      <c r="J581">
        <v>64.36</v>
      </c>
      <c r="K581">
        <v>95</v>
      </c>
      <c r="L581">
        <v>53.930565000000001</v>
      </c>
      <c r="M581">
        <v>14.5</v>
      </c>
      <c r="O581">
        <v>720000</v>
      </c>
      <c r="P581">
        <v>7.313345505</v>
      </c>
      <c r="Q581">
        <v>950.88034600000003</v>
      </c>
      <c r="R581">
        <v>4.68</v>
      </c>
      <c r="S581">
        <v>181035</v>
      </c>
      <c r="T581">
        <v>12.565678999999999</v>
      </c>
      <c r="U581">
        <v>104.99096299999999</v>
      </c>
    </row>
    <row r="582" spans="1:21">
      <c r="A582" t="s">
        <v>48</v>
      </c>
      <c r="B582">
        <v>2013</v>
      </c>
      <c r="C582">
        <v>1866.1188999999999</v>
      </c>
      <c r="D582">
        <v>5739.9997709999998</v>
      </c>
      <c r="E582">
        <v>0.47</v>
      </c>
      <c r="F582">
        <v>0</v>
      </c>
      <c r="G582">
        <v>1.26</v>
      </c>
      <c r="H582">
        <v>72.832369999999997</v>
      </c>
      <c r="I582">
        <v>47.59</v>
      </c>
      <c r="J582">
        <v>64.97</v>
      </c>
      <c r="K582">
        <v>95</v>
      </c>
      <c r="L582">
        <v>57.573695999999998</v>
      </c>
      <c r="M582">
        <v>16.2</v>
      </c>
      <c r="O582">
        <v>425110000</v>
      </c>
      <c r="P582">
        <v>7.3566651490000003</v>
      </c>
      <c r="Q582">
        <v>1013.420536</v>
      </c>
      <c r="R582">
        <v>4.47</v>
      </c>
      <c r="S582">
        <v>181035</v>
      </c>
      <c r="T582">
        <v>12.565678999999999</v>
      </c>
      <c r="U582">
        <v>104.99096299999999</v>
      </c>
    </row>
    <row r="583" spans="1:21">
      <c r="A583" t="s">
        <v>48</v>
      </c>
      <c r="B583">
        <v>2014</v>
      </c>
      <c r="C583">
        <v>2031.7474</v>
      </c>
      <c r="D583">
        <v>6949.9998089999999</v>
      </c>
      <c r="E583">
        <v>1.03</v>
      </c>
      <c r="F583">
        <v>0</v>
      </c>
      <c r="G583">
        <v>1.96</v>
      </c>
      <c r="H583">
        <v>65.551839999999999</v>
      </c>
      <c r="I583">
        <v>63.67</v>
      </c>
      <c r="J583">
        <v>63.7</v>
      </c>
      <c r="K583">
        <v>95</v>
      </c>
      <c r="L583">
        <v>56.1</v>
      </c>
      <c r="M583">
        <v>18</v>
      </c>
      <c r="O583">
        <v>420000</v>
      </c>
      <c r="P583">
        <v>7.1425711009999997</v>
      </c>
      <c r="Q583">
        <v>1093.4959759999999</v>
      </c>
      <c r="R583">
        <v>4.5</v>
      </c>
      <c r="S583">
        <v>181035</v>
      </c>
      <c r="T583">
        <v>12.565678999999999</v>
      </c>
      <c r="U583">
        <v>104.99096299999999</v>
      </c>
    </row>
    <row r="584" spans="1:21">
      <c r="A584" t="s">
        <v>48</v>
      </c>
      <c r="B584">
        <v>2015</v>
      </c>
      <c r="C584">
        <v>2299.2489999999998</v>
      </c>
      <c r="D584">
        <v>8430.0003049999996</v>
      </c>
      <c r="E584">
        <v>2.1</v>
      </c>
      <c r="F584">
        <v>0</v>
      </c>
      <c r="G584">
        <v>2.16</v>
      </c>
      <c r="H584">
        <v>50.704227000000003</v>
      </c>
      <c r="I584">
        <v>62.79</v>
      </c>
      <c r="J584">
        <v>60.63</v>
      </c>
      <c r="K584">
        <v>95</v>
      </c>
      <c r="L584">
        <v>64.910420000000002</v>
      </c>
      <c r="M584">
        <v>20.3</v>
      </c>
      <c r="O584">
        <v>8150000</v>
      </c>
      <c r="P584">
        <v>6.9657978150000002</v>
      </c>
      <c r="Q584">
        <v>1162.9049950000001</v>
      </c>
      <c r="R584">
        <v>4.58</v>
      </c>
      <c r="S584">
        <v>181035</v>
      </c>
      <c r="T584">
        <v>12.565678999999999</v>
      </c>
      <c r="U584">
        <v>104.99096299999999</v>
      </c>
    </row>
    <row r="585" spans="1:21">
      <c r="A585" t="s">
        <v>48</v>
      </c>
      <c r="B585">
        <v>2016</v>
      </c>
      <c r="C585">
        <v>2828.7440000000001</v>
      </c>
      <c r="D585">
        <v>11069.999690000001</v>
      </c>
      <c r="E585">
        <v>2.62</v>
      </c>
      <c r="F585">
        <v>0</v>
      </c>
      <c r="G585">
        <v>2.81</v>
      </c>
      <c r="H585">
        <v>51.749541999999998</v>
      </c>
      <c r="I585">
        <v>62.07</v>
      </c>
      <c r="J585">
        <v>58.01</v>
      </c>
      <c r="K585">
        <v>95</v>
      </c>
      <c r="L585">
        <v>69.544309999999996</v>
      </c>
      <c r="M585">
        <v>22.7</v>
      </c>
      <c r="O585">
        <v>156640000</v>
      </c>
      <c r="P585">
        <v>6.9333139729999997</v>
      </c>
      <c r="Q585">
        <v>1269.5914990000001</v>
      </c>
      <c r="R585">
        <v>4.74</v>
      </c>
      <c r="S585">
        <v>181035</v>
      </c>
      <c r="T585">
        <v>12.565678999999999</v>
      </c>
      <c r="U585">
        <v>104.99096299999999</v>
      </c>
    </row>
    <row r="586" spans="1:21">
      <c r="A586" t="s">
        <v>48</v>
      </c>
      <c r="B586">
        <v>2017</v>
      </c>
      <c r="C586">
        <v>2950.2995999999998</v>
      </c>
      <c r="D586">
        <v>12689.99958</v>
      </c>
      <c r="E586">
        <v>3.7</v>
      </c>
      <c r="F586">
        <v>0</v>
      </c>
      <c r="G586">
        <v>3.07</v>
      </c>
      <c r="H586">
        <v>45.347119999999997</v>
      </c>
      <c r="I586">
        <v>66.17</v>
      </c>
      <c r="J586">
        <v>56.25</v>
      </c>
      <c r="K586">
        <v>95</v>
      </c>
      <c r="L586">
        <v>89.07</v>
      </c>
      <c r="M586">
        <v>25.5</v>
      </c>
      <c r="O586">
        <v>3750000</v>
      </c>
      <c r="P586">
        <v>6.9969036989999998</v>
      </c>
      <c r="Q586">
        <v>1385.2600660000001</v>
      </c>
      <c r="R586">
        <v>4.59</v>
      </c>
      <c r="S586">
        <v>181035</v>
      </c>
      <c r="T586">
        <v>12.565678999999999</v>
      </c>
      <c r="U586">
        <v>104.99096299999999</v>
      </c>
    </row>
    <row r="587" spans="1:21">
      <c r="A587" t="s">
        <v>48</v>
      </c>
      <c r="B587">
        <v>2018</v>
      </c>
      <c r="C587">
        <v>3674.9281999999998</v>
      </c>
      <c r="D587">
        <v>14579.99992</v>
      </c>
      <c r="E587">
        <v>2.96</v>
      </c>
      <c r="F587">
        <v>0</v>
      </c>
      <c r="G587">
        <v>5</v>
      </c>
      <c r="H587">
        <v>62.814070000000001</v>
      </c>
      <c r="I587">
        <v>86.74</v>
      </c>
      <c r="J587">
        <v>56.38</v>
      </c>
      <c r="K587">
        <v>95</v>
      </c>
      <c r="L587">
        <v>81.075649999999996</v>
      </c>
      <c r="M587">
        <v>28.9</v>
      </c>
      <c r="O587">
        <v>15750000</v>
      </c>
      <c r="P587">
        <v>7.4691692070000002</v>
      </c>
      <c r="Q587">
        <v>1512.1269890000001</v>
      </c>
      <c r="R587">
        <v>4.6100000000000003</v>
      </c>
      <c r="S587">
        <v>181035</v>
      </c>
      <c r="T587">
        <v>12.565678999999999</v>
      </c>
      <c r="U587">
        <v>104.99096299999999</v>
      </c>
    </row>
    <row r="588" spans="1:21">
      <c r="A588" t="s">
        <v>48</v>
      </c>
      <c r="B588">
        <v>2019</v>
      </c>
      <c r="C588">
        <v>4069.4607000000001</v>
      </c>
      <c r="D588">
        <v>16180.000309999999</v>
      </c>
      <c r="E588">
        <v>3.94</v>
      </c>
      <c r="F588">
        <v>0</v>
      </c>
      <c r="G588">
        <v>4.51</v>
      </c>
      <c r="H588">
        <v>53.372787000000002</v>
      </c>
      <c r="I588">
        <v>91.27</v>
      </c>
      <c r="J588">
        <v>53.36</v>
      </c>
      <c r="K588">
        <v>95</v>
      </c>
      <c r="L588">
        <v>84</v>
      </c>
      <c r="M588">
        <v>32.6</v>
      </c>
      <c r="O588">
        <v>360000</v>
      </c>
      <c r="P588">
        <v>7.0541069319999998</v>
      </c>
      <c r="Q588">
        <v>1643.1213889999999</v>
      </c>
      <c r="R588">
        <v>4.68</v>
      </c>
      <c r="S588">
        <v>181035</v>
      </c>
      <c r="T588">
        <v>12.565678999999999</v>
      </c>
      <c r="U588">
        <v>104.99096299999999</v>
      </c>
    </row>
    <row r="589" spans="1:21">
      <c r="A589" t="s">
        <v>48</v>
      </c>
      <c r="B589">
        <v>2020</v>
      </c>
      <c r="C589">
        <v>3918.6374999999998</v>
      </c>
      <c r="E589">
        <v>3.83</v>
      </c>
      <c r="F589">
        <v>0</v>
      </c>
      <c r="G589">
        <v>4.62</v>
      </c>
      <c r="H589">
        <v>54.674557</v>
      </c>
      <c r="I589">
        <v>95.03</v>
      </c>
      <c r="K589">
        <v>95</v>
      </c>
      <c r="L589">
        <v>86.4</v>
      </c>
      <c r="M589">
        <v>36.799999999999997</v>
      </c>
      <c r="P589">
        <v>-3.1475890980000001</v>
      </c>
      <c r="Q589">
        <v>1543.6692579999999</v>
      </c>
      <c r="S589">
        <v>181035</v>
      </c>
      <c r="T589">
        <v>12.565678999999999</v>
      </c>
      <c r="U589">
        <v>104.99096299999999</v>
      </c>
    </row>
    <row r="590" spans="1:21">
      <c r="A590" t="s">
        <v>49</v>
      </c>
      <c r="B590">
        <v>2000</v>
      </c>
      <c r="C590">
        <v>1575.576</v>
      </c>
      <c r="D590">
        <v>5210</v>
      </c>
      <c r="E590">
        <v>0.04</v>
      </c>
      <c r="F590">
        <v>0</v>
      </c>
      <c r="G590">
        <v>3.41</v>
      </c>
      <c r="H590">
        <v>98.840575999999999</v>
      </c>
      <c r="I590">
        <v>46.37</v>
      </c>
      <c r="J590">
        <v>84.59</v>
      </c>
      <c r="K590">
        <v>56</v>
      </c>
      <c r="L590">
        <v>41</v>
      </c>
      <c r="M590">
        <v>9.8000000000000007</v>
      </c>
      <c r="P590">
        <v>3.832417795</v>
      </c>
      <c r="Q590">
        <v>681.10204299999998</v>
      </c>
      <c r="R590">
        <v>6.23</v>
      </c>
      <c r="S590">
        <v>475440</v>
      </c>
      <c r="T590">
        <v>7.3697220000000003</v>
      </c>
      <c r="U590">
        <v>12.354722000000001</v>
      </c>
    </row>
    <row r="591" spans="1:21">
      <c r="A591" t="s">
        <v>49</v>
      </c>
      <c r="B591">
        <v>2001</v>
      </c>
      <c r="C591">
        <v>1529.8099</v>
      </c>
      <c r="D591">
        <v>5160</v>
      </c>
      <c r="E591">
        <v>0.06</v>
      </c>
      <c r="F591">
        <v>0</v>
      </c>
      <c r="G591">
        <v>3.44</v>
      </c>
      <c r="H591">
        <v>98.285709999999995</v>
      </c>
      <c r="I591">
        <v>45.16</v>
      </c>
      <c r="J591">
        <v>85.3</v>
      </c>
      <c r="K591">
        <v>56</v>
      </c>
      <c r="L591">
        <v>46.2</v>
      </c>
      <c r="M591">
        <v>10.7</v>
      </c>
      <c r="P591">
        <v>4.3242611919999998</v>
      </c>
      <c r="Q591">
        <v>687.6481344</v>
      </c>
      <c r="R591">
        <v>6.04</v>
      </c>
      <c r="S591">
        <v>475440</v>
      </c>
      <c r="T591">
        <v>7.3697220000000003</v>
      </c>
      <c r="U591">
        <v>12.354722000000001</v>
      </c>
    </row>
    <row r="592" spans="1:21">
      <c r="A592" t="s">
        <v>49</v>
      </c>
      <c r="B592">
        <v>2002</v>
      </c>
      <c r="C592">
        <v>1467.4718</v>
      </c>
      <c r="D592">
        <v>5130.0001140000004</v>
      </c>
      <c r="E592">
        <v>0.11</v>
      </c>
      <c r="F592">
        <v>0</v>
      </c>
      <c r="G592">
        <v>3.15</v>
      </c>
      <c r="H592">
        <v>96.625770000000003</v>
      </c>
      <c r="I592">
        <v>43.97</v>
      </c>
      <c r="J592">
        <v>85.26</v>
      </c>
      <c r="K592">
        <v>56</v>
      </c>
      <c r="L592">
        <v>44.040399999999998</v>
      </c>
      <c r="M592">
        <v>11.7</v>
      </c>
      <c r="O592">
        <v>10000</v>
      </c>
      <c r="P592">
        <v>4.4770268289999997</v>
      </c>
      <c r="Q592">
        <v>759.11185139999998</v>
      </c>
      <c r="R592">
        <v>6.1</v>
      </c>
      <c r="S592">
        <v>475440</v>
      </c>
      <c r="T592">
        <v>7.3697220000000003</v>
      </c>
      <c r="U592">
        <v>12.354722000000001</v>
      </c>
    </row>
    <row r="593" spans="1:21">
      <c r="A593" t="s">
        <v>49</v>
      </c>
      <c r="B593">
        <v>2003</v>
      </c>
      <c r="C593">
        <v>1529.6642999999999</v>
      </c>
      <c r="D593">
        <v>5210.0000380000001</v>
      </c>
      <c r="E593">
        <v>0.15</v>
      </c>
      <c r="F593">
        <v>0</v>
      </c>
      <c r="G593">
        <v>3.49</v>
      </c>
      <c r="H593">
        <v>95.87912</v>
      </c>
      <c r="I593">
        <v>42.82</v>
      </c>
      <c r="J593">
        <v>85.3</v>
      </c>
      <c r="K593">
        <v>56</v>
      </c>
      <c r="L593">
        <v>45.123013</v>
      </c>
      <c r="M593">
        <v>12.7</v>
      </c>
      <c r="O593">
        <v>10000</v>
      </c>
      <c r="P593">
        <v>5.4531536909999998</v>
      </c>
      <c r="Q593">
        <v>950.56486370000005</v>
      </c>
      <c r="R593">
        <v>6.07</v>
      </c>
      <c r="S593">
        <v>475440</v>
      </c>
      <c r="T593">
        <v>7.3697220000000003</v>
      </c>
      <c r="U593">
        <v>12.354722000000001</v>
      </c>
    </row>
    <row r="594" spans="1:21">
      <c r="A594" t="s">
        <v>49</v>
      </c>
      <c r="B594">
        <v>2004</v>
      </c>
      <c r="C594">
        <v>1551.4</v>
      </c>
      <c r="D594">
        <v>5119.9998859999996</v>
      </c>
      <c r="E594">
        <v>0.18</v>
      </c>
      <c r="F594">
        <v>0</v>
      </c>
      <c r="G594">
        <v>3.88</v>
      </c>
      <c r="H594">
        <v>95.566505000000006</v>
      </c>
      <c r="I594">
        <v>41.68</v>
      </c>
      <c r="J594">
        <v>85.53</v>
      </c>
      <c r="K594">
        <v>56</v>
      </c>
      <c r="L594">
        <v>47.1</v>
      </c>
      <c r="M594">
        <v>13.7</v>
      </c>
      <c r="O594">
        <v>20000</v>
      </c>
      <c r="P594">
        <v>7.0488628230000003</v>
      </c>
      <c r="Q594">
        <v>1090.7853319999999</v>
      </c>
      <c r="R594">
        <v>5.86</v>
      </c>
      <c r="S594">
        <v>475440</v>
      </c>
      <c r="T594">
        <v>7.3697220000000003</v>
      </c>
      <c r="U594">
        <v>12.354722000000001</v>
      </c>
    </row>
    <row r="595" spans="1:21">
      <c r="A595" t="s">
        <v>49</v>
      </c>
      <c r="B595">
        <v>2005</v>
      </c>
      <c r="C595">
        <v>1456.8976</v>
      </c>
      <c r="D595">
        <v>5019.9999809999999</v>
      </c>
      <c r="E595">
        <v>0.22</v>
      </c>
      <c r="F595">
        <v>0</v>
      </c>
      <c r="G595">
        <v>3.73</v>
      </c>
      <c r="H595">
        <v>94.43038</v>
      </c>
      <c r="I595">
        <v>40.57</v>
      </c>
      <c r="J595">
        <v>86.31</v>
      </c>
      <c r="K595">
        <v>56</v>
      </c>
      <c r="L595">
        <v>47.281933000000002</v>
      </c>
      <c r="M595">
        <v>14.7</v>
      </c>
      <c r="P595">
        <v>2.2282702059999999</v>
      </c>
      <c r="Q595">
        <v>1100.1749259999999</v>
      </c>
      <c r="R595">
        <v>5.79</v>
      </c>
      <c r="S595">
        <v>475440</v>
      </c>
      <c r="T595">
        <v>7.3697220000000003</v>
      </c>
      <c r="U595">
        <v>12.354722000000001</v>
      </c>
    </row>
    <row r="596" spans="1:21">
      <c r="A596" t="s">
        <v>49</v>
      </c>
      <c r="B596">
        <v>2006</v>
      </c>
      <c r="C596">
        <v>1606.5827999999999</v>
      </c>
      <c r="D596">
        <v>5090.000153</v>
      </c>
      <c r="E596">
        <v>0.54</v>
      </c>
      <c r="F596">
        <v>0</v>
      </c>
      <c r="G596">
        <v>3.85</v>
      </c>
      <c r="H596">
        <v>87.69932</v>
      </c>
      <c r="I596">
        <v>39.479999999999997</v>
      </c>
      <c r="J596">
        <v>85.51</v>
      </c>
      <c r="K596">
        <v>56</v>
      </c>
      <c r="L596">
        <v>49</v>
      </c>
      <c r="M596">
        <v>15.9</v>
      </c>
      <c r="O596">
        <v>11080000</v>
      </c>
      <c r="P596">
        <v>3.8095832729999999</v>
      </c>
      <c r="Q596">
        <v>1147.4366</v>
      </c>
      <c r="R596">
        <v>5.17</v>
      </c>
      <c r="S596">
        <v>475440</v>
      </c>
      <c r="T596">
        <v>7.3697220000000003</v>
      </c>
      <c r="U596">
        <v>12.354722000000001</v>
      </c>
    </row>
    <row r="597" spans="1:21">
      <c r="A597" t="s">
        <v>49</v>
      </c>
      <c r="B597">
        <v>2007</v>
      </c>
      <c r="C597">
        <v>1647.3815999999999</v>
      </c>
      <c r="D597">
        <v>6130.0001140000004</v>
      </c>
      <c r="E597">
        <v>1.24</v>
      </c>
      <c r="F597">
        <v>0</v>
      </c>
      <c r="G597">
        <v>3.81</v>
      </c>
      <c r="H597">
        <v>75.445539999999994</v>
      </c>
      <c r="I597">
        <v>38.409999999999997</v>
      </c>
      <c r="J597">
        <v>80.819999999999993</v>
      </c>
      <c r="K597">
        <v>56</v>
      </c>
      <c r="L597">
        <v>48.2</v>
      </c>
      <c r="M597">
        <v>16.8</v>
      </c>
      <c r="P597">
        <v>4.3275890129999999</v>
      </c>
      <c r="Q597">
        <v>1277.516807</v>
      </c>
      <c r="R597">
        <v>4.6500000000000004</v>
      </c>
      <c r="S597">
        <v>475440</v>
      </c>
      <c r="T597">
        <v>7.3697220000000003</v>
      </c>
      <c r="U597">
        <v>12.354722000000001</v>
      </c>
    </row>
    <row r="598" spans="1:21">
      <c r="A598" t="s">
        <v>49</v>
      </c>
      <c r="B598">
        <v>2008</v>
      </c>
      <c r="C598">
        <v>1625.4770000000001</v>
      </c>
      <c r="D598">
        <v>6389.9998660000001</v>
      </c>
      <c r="E598">
        <v>1.29</v>
      </c>
      <c r="F598">
        <v>0</v>
      </c>
      <c r="G598">
        <v>4.1900000000000004</v>
      </c>
      <c r="H598">
        <v>76.459854000000007</v>
      </c>
      <c r="I598">
        <v>37.369999999999997</v>
      </c>
      <c r="J598">
        <v>80.819999999999993</v>
      </c>
      <c r="K598">
        <v>56</v>
      </c>
      <c r="L598">
        <v>50.541397000000003</v>
      </c>
      <c r="M598">
        <v>17.7</v>
      </c>
      <c r="O598">
        <v>490000</v>
      </c>
      <c r="P598">
        <v>2.8476778889999999</v>
      </c>
      <c r="Q598">
        <v>1439.547804</v>
      </c>
      <c r="R598">
        <v>4.53</v>
      </c>
      <c r="S598">
        <v>475440</v>
      </c>
      <c r="T598">
        <v>7.3697220000000003</v>
      </c>
      <c r="U598">
        <v>12.354722000000001</v>
      </c>
    </row>
    <row r="599" spans="1:21">
      <c r="A599" t="s">
        <v>49</v>
      </c>
      <c r="B599">
        <v>2009</v>
      </c>
      <c r="C599">
        <v>1695.7526</v>
      </c>
      <c r="D599">
        <v>7030.0002100000002</v>
      </c>
      <c r="E599">
        <v>1.59</v>
      </c>
      <c r="F599">
        <v>0</v>
      </c>
      <c r="G599">
        <v>3.98</v>
      </c>
      <c r="H599">
        <v>71.454216000000002</v>
      </c>
      <c r="I599">
        <v>36.369999999999997</v>
      </c>
      <c r="J599">
        <v>79.25</v>
      </c>
      <c r="K599">
        <v>56</v>
      </c>
      <c r="L599">
        <v>51.644154</v>
      </c>
      <c r="M599">
        <v>18.55</v>
      </c>
      <c r="O599">
        <v>150000</v>
      </c>
      <c r="P599">
        <v>2.5792517749999999</v>
      </c>
      <c r="Q599">
        <v>1411.4745720000001</v>
      </c>
      <c r="R599">
        <v>4.8</v>
      </c>
      <c r="S599">
        <v>475440</v>
      </c>
      <c r="T599">
        <v>7.3697220000000003</v>
      </c>
      <c r="U599">
        <v>12.354722000000001</v>
      </c>
    </row>
    <row r="600" spans="1:21">
      <c r="A600" t="s">
        <v>49</v>
      </c>
      <c r="B600">
        <v>2010</v>
      </c>
      <c r="C600">
        <v>1886.1507999999999</v>
      </c>
      <c r="D600">
        <v>7010.0002290000002</v>
      </c>
      <c r="E600">
        <v>1.49</v>
      </c>
      <c r="F600">
        <v>0</v>
      </c>
      <c r="G600">
        <v>4.22</v>
      </c>
      <c r="H600">
        <v>73.905426000000006</v>
      </c>
      <c r="I600">
        <v>35.61</v>
      </c>
      <c r="J600">
        <v>78.760000000000005</v>
      </c>
      <c r="K600">
        <v>56</v>
      </c>
      <c r="L600">
        <v>52.759556000000003</v>
      </c>
      <c r="M600">
        <v>19.399999999999999</v>
      </c>
      <c r="O600">
        <v>53960000</v>
      </c>
      <c r="P600">
        <v>2.8990247240000002</v>
      </c>
      <c r="Q600">
        <v>1352.302275</v>
      </c>
      <c r="R600">
        <v>4.68</v>
      </c>
      <c r="S600">
        <v>475440</v>
      </c>
      <c r="T600">
        <v>7.3697220000000003</v>
      </c>
      <c r="U600">
        <v>12.354722000000001</v>
      </c>
    </row>
    <row r="601" spans="1:21">
      <c r="A601" t="s">
        <v>49</v>
      </c>
      <c r="B601">
        <v>2011</v>
      </c>
      <c r="C601">
        <v>1931.2103</v>
      </c>
      <c r="D601">
        <v>6809.9999429999998</v>
      </c>
      <c r="E601">
        <v>1.38</v>
      </c>
      <c r="F601">
        <v>0</v>
      </c>
      <c r="G601">
        <v>4.3499999999999996</v>
      </c>
      <c r="H601">
        <v>75.916229999999999</v>
      </c>
      <c r="I601">
        <v>34.96</v>
      </c>
      <c r="J601">
        <v>78.61</v>
      </c>
      <c r="K601">
        <v>56</v>
      </c>
      <c r="L601">
        <v>53.7</v>
      </c>
      <c r="M601">
        <v>20</v>
      </c>
      <c r="O601">
        <v>40000</v>
      </c>
      <c r="P601">
        <v>3.379211288</v>
      </c>
      <c r="Q601">
        <v>1465.145788</v>
      </c>
      <c r="R601">
        <v>4.71</v>
      </c>
      <c r="S601">
        <v>475440</v>
      </c>
      <c r="T601">
        <v>7.3697220000000003</v>
      </c>
      <c r="U601">
        <v>12.354722000000001</v>
      </c>
    </row>
    <row r="602" spans="1:21">
      <c r="A602" t="s">
        <v>49</v>
      </c>
      <c r="B602">
        <v>2012</v>
      </c>
      <c r="C602">
        <v>1873.3829000000001</v>
      </c>
      <c r="D602">
        <v>6880.0001140000004</v>
      </c>
      <c r="E602">
        <v>1.0900000000000001</v>
      </c>
      <c r="F602">
        <v>0</v>
      </c>
      <c r="G602">
        <v>4.21</v>
      </c>
      <c r="H602">
        <v>79.433959999999999</v>
      </c>
      <c r="I602">
        <v>34.04</v>
      </c>
      <c r="J602">
        <v>78.53</v>
      </c>
      <c r="K602">
        <v>56</v>
      </c>
      <c r="L602">
        <v>55.039154000000003</v>
      </c>
      <c r="M602">
        <v>20.8</v>
      </c>
      <c r="O602">
        <v>724590000</v>
      </c>
      <c r="P602">
        <v>4.6259787189999999</v>
      </c>
      <c r="Q602">
        <v>1403.522915</v>
      </c>
      <c r="R602">
        <v>4.7</v>
      </c>
      <c r="S602">
        <v>475440</v>
      </c>
      <c r="T602">
        <v>7.3697220000000003</v>
      </c>
      <c r="U602">
        <v>12.354722000000001</v>
      </c>
    </row>
    <row r="603" spans="1:21">
      <c r="A603" t="s">
        <v>49</v>
      </c>
      <c r="B603">
        <v>2013</v>
      </c>
      <c r="C603">
        <v>1600.2953</v>
      </c>
      <c r="D603">
        <v>7550.0001910000001</v>
      </c>
      <c r="E603">
        <v>1.82</v>
      </c>
      <c r="F603">
        <v>0</v>
      </c>
      <c r="G603">
        <v>4.33</v>
      </c>
      <c r="H603">
        <v>70.406499999999994</v>
      </c>
      <c r="I603">
        <v>33.340000000000003</v>
      </c>
      <c r="J603">
        <v>77.599999999999994</v>
      </c>
      <c r="K603">
        <v>56</v>
      </c>
      <c r="L603">
        <v>56.207813000000002</v>
      </c>
      <c r="M603">
        <v>21.4</v>
      </c>
      <c r="O603">
        <v>20000</v>
      </c>
      <c r="P603">
        <v>4.9955291590000002</v>
      </c>
      <c r="Q603">
        <v>1527.7512569999999</v>
      </c>
      <c r="R603">
        <v>4.67</v>
      </c>
      <c r="S603">
        <v>475440</v>
      </c>
      <c r="T603">
        <v>7.3697220000000003</v>
      </c>
      <c r="U603">
        <v>12.354722000000001</v>
      </c>
    </row>
    <row r="604" spans="1:21">
      <c r="A604" t="s">
        <v>49</v>
      </c>
      <c r="B604">
        <v>2014</v>
      </c>
      <c r="C604">
        <v>1941.5419999999999</v>
      </c>
      <c r="D604">
        <v>8250</v>
      </c>
      <c r="E604">
        <v>2.33</v>
      </c>
      <c r="F604">
        <v>0</v>
      </c>
      <c r="G604">
        <v>4.34</v>
      </c>
      <c r="H604">
        <v>65.06747</v>
      </c>
      <c r="I604">
        <v>32.54</v>
      </c>
      <c r="J604">
        <v>76.790000000000006</v>
      </c>
      <c r="K604">
        <v>56</v>
      </c>
      <c r="L604">
        <v>56.8</v>
      </c>
      <c r="M604">
        <v>21.7</v>
      </c>
      <c r="O604">
        <v>11230000</v>
      </c>
      <c r="P604">
        <v>5.7198181440000004</v>
      </c>
      <c r="Q604">
        <v>1604.214035</v>
      </c>
      <c r="R604">
        <v>4.78</v>
      </c>
      <c r="S604">
        <v>475440</v>
      </c>
      <c r="T604">
        <v>7.3697220000000003</v>
      </c>
      <c r="U604">
        <v>12.354722000000001</v>
      </c>
    </row>
    <row r="605" spans="1:21">
      <c r="A605" t="s">
        <v>49</v>
      </c>
      <c r="B605">
        <v>2015</v>
      </c>
      <c r="C605">
        <v>1888.3931</v>
      </c>
      <c r="D605">
        <v>8460.0000380000001</v>
      </c>
      <c r="E605">
        <v>3.37</v>
      </c>
      <c r="F605">
        <v>0</v>
      </c>
      <c r="G605">
        <v>4.33</v>
      </c>
      <c r="H605">
        <v>56.23377</v>
      </c>
      <c r="I605">
        <v>31.76</v>
      </c>
      <c r="J605">
        <v>78.06</v>
      </c>
      <c r="K605">
        <v>56</v>
      </c>
      <c r="L605">
        <v>58.595592000000003</v>
      </c>
      <c r="M605">
        <v>22</v>
      </c>
      <c r="O605">
        <v>2060000</v>
      </c>
      <c r="P605">
        <v>5.6669529909999996</v>
      </c>
      <c r="Q605">
        <v>1382.5097900000001</v>
      </c>
      <c r="R605">
        <v>4.7699999999999996</v>
      </c>
      <c r="S605">
        <v>475440</v>
      </c>
      <c r="T605">
        <v>7.3697220000000003</v>
      </c>
      <c r="U605">
        <v>12.354722000000001</v>
      </c>
    </row>
    <row r="606" spans="1:21">
      <c r="A606" t="s">
        <v>49</v>
      </c>
      <c r="B606">
        <v>2016</v>
      </c>
      <c r="C606">
        <v>1785.7306000000001</v>
      </c>
      <c r="D606">
        <v>9079.9999239999997</v>
      </c>
      <c r="E606">
        <v>2.58</v>
      </c>
      <c r="F606">
        <v>0</v>
      </c>
      <c r="G606">
        <v>4.34</v>
      </c>
      <c r="H606">
        <v>62.716763</v>
      </c>
      <c r="I606">
        <v>30.99</v>
      </c>
      <c r="J606">
        <v>78.78</v>
      </c>
      <c r="K606">
        <v>56</v>
      </c>
      <c r="L606">
        <v>59.808776999999999</v>
      </c>
      <c r="M606">
        <v>22.2</v>
      </c>
      <c r="O606">
        <v>77450000</v>
      </c>
      <c r="P606">
        <v>4.5357942360000001</v>
      </c>
      <c r="Q606">
        <v>1413.2559570000001</v>
      </c>
      <c r="R606">
        <v>4.6500000000000004</v>
      </c>
      <c r="S606">
        <v>475440</v>
      </c>
      <c r="T606">
        <v>7.3697220000000003</v>
      </c>
      <c r="U606">
        <v>12.354722000000001</v>
      </c>
    </row>
    <row r="607" spans="1:21">
      <c r="A607" t="s">
        <v>49</v>
      </c>
      <c r="B607">
        <v>2017</v>
      </c>
      <c r="C607">
        <v>1763.4426000000001</v>
      </c>
      <c r="D607">
        <v>9170.0000760000003</v>
      </c>
      <c r="E607">
        <v>2.78</v>
      </c>
      <c r="F607">
        <v>0</v>
      </c>
      <c r="G607">
        <v>5.0599999999999996</v>
      </c>
      <c r="H607">
        <v>64.540819999999997</v>
      </c>
      <c r="I607">
        <v>30.28</v>
      </c>
      <c r="J607">
        <v>79.17</v>
      </c>
      <c r="K607">
        <v>56</v>
      </c>
      <c r="L607">
        <v>61.030864999999999</v>
      </c>
      <c r="M607">
        <v>22.2</v>
      </c>
      <c r="O607">
        <v>171120000</v>
      </c>
      <c r="P607">
        <v>3.5411765489999998</v>
      </c>
      <c r="Q607">
        <v>1469.4475</v>
      </c>
      <c r="R607">
        <v>4.53</v>
      </c>
      <c r="S607">
        <v>475440</v>
      </c>
      <c r="T607">
        <v>7.3697220000000003</v>
      </c>
      <c r="U607">
        <v>12.354722000000001</v>
      </c>
    </row>
    <row r="608" spans="1:21">
      <c r="A608" t="s">
        <v>49</v>
      </c>
      <c r="B608">
        <v>2018</v>
      </c>
      <c r="C608">
        <v>1746.7548999999999</v>
      </c>
      <c r="D608">
        <v>9590.0001530000009</v>
      </c>
      <c r="E608">
        <v>3.29</v>
      </c>
      <c r="F608">
        <v>0</v>
      </c>
      <c r="G608">
        <v>4.99</v>
      </c>
      <c r="H608">
        <v>60.265697000000003</v>
      </c>
      <c r="I608">
        <v>29.6</v>
      </c>
      <c r="J608">
        <v>79.25</v>
      </c>
      <c r="K608">
        <v>56</v>
      </c>
      <c r="L608">
        <v>62.2</v>
      </c>
      <c r="M608">
        <v>22.1</v>
      </c>
      <c r="O608">
        <v>934680000</v>
      </c>
      <c r="P608">
        <v>3.9555142399999998</v>
      </c>
      <c r="Q608">
        <v>1585.240534</v>
      </c>
      <c r="R608">
        <v>4.43</v>
      </c>
      <c r="S608">
        <v>475440</v>
      </c>
      <c r="T608">
        <v>7.3697220000000003</v>
      </c>
      <c r="U608">
        <v>12.354722000000001</v>
      </c>
    </row>
    <row r="609" spans="1:21">
      <c r="A609" t="s">
        <v>49</v>
      </c>
      <c r="B609">
        <v>2019</v>
      </c>
      <c r="C609">
        <v>1720.2493999999999</v>
      </c>
      <c r="D609">
        <v>9430.0003049999996</v>
      </c>
      <c r="E609">
        <v>2.99</v>
      </c>
      <c r="F609">
        <v>0</v>
      </c>
      <c r="G609">
        <v>5.36</v>
      </c>
      <c r="H609">
        <v>64.191609999999997</v>
      </c>
      <c r="I609">
        <v>30.59</v>
      </c>
      <c r="J609">
        <v>79.41</v>
      </c>
      <c r="K609">
        <v>56</v>
      </c>
      <c r="L609">
        <v>63.489879999999999</v>
      </c>
      <c r="M609">
        <v>22.2</v>
      </c>
      <c r="O609">
        <v>7360000</v>
      </c>
      <c r="P609">
        <v>3.4750599790000001</v>
      </c>
      <c r="Q609">
        <v>1533.0956880000001</v>
      </c>
      <c r="R609">
        <v>4.33</v>
      </c>
      <c r="S609">
        <v>475440</v>
      </c>
      <c r="T609">
        <v>7.3697220000000003</v>
      </c>
      <c r="U609">
        <v>12.354722000000001</v>
      </c>
    </row>
    <row r="610" spans="1:21">
      <c r="A610" t="s">
        <v>49</v>
      </c>
      <c r="B610">
        <v>2020</v>
      </c>
      <c r="C610">
        <v>1758.1206</v>
      </c>
      <c r="E610">
        <v>2.84</v>
      </c>
      <c r="F610">
        <v>0</v>
      </c>
      <c r="G610">
        <v>5.45</v>
      </c>
      <c r="H610">
        <v>65.741860000000003</v>
      </c>
      <c r="I610">
        <v>29.82</v>
      </c>
      <c r="K610">
        <v>56</v>
      </c>
      <c r="L610">
        <v>64.721369999999993</v>
      </c>
      <c r="M610">
        <v>21.9</v>
      </c>
      <c r="P610">
        <v>0.49191474200000002</v>
      </c>
      <c r="Q610">
        <v>1537.130218</v>
      </c>
      <c r="S610">
        <v>475440</v>
      </c>
      <c r="T610">
        <v>7.3697220000000003</v>
      </c>
      <c r="U610">
        <v>12.354722000000001</v>
      </c>
    </row>
    <row r="611" spans="1:21">
      <c r="A611" t="s">
        <v>50</v>
      </c>
      <c r="B611">
        <v>2000</v>
      </c>
      <c r="C611">
        <v>118875.336</v>
      </c>
      <c r="D611">
        <v>514220</v>
      </c>
      <c r="E611">
        <v>155.56</v>
      </c>
      <c r="F611">
        <v>69.16</v>
      </c>
      <c r="G611">
        <v>363.7</v>
      </c>
      <c r="H611">
        <v>73.563100000000006</v>
      </c>
      <c r="J611">
        <v>22.04</v>
      </c>
      <c r="K611">
        <v>4</v>
      </c>
      <c r="L611">
        <v>100</v>
      </c>
      <c r="M611">
        <v>100</v>
      </c>
      <c r="N611">
        <v>29.767817000000001</v>
      </c>
      <c r="P611">
        <v>4.917762744</v>
      </c>
      <c r="Q611">
        <v>24271.002059999999</v>
      </c>
      <c r="R611">
        <v>9.31</v>
      </c>
      <c r="S611">
        <v>9984670</v>
      </c>
      <c r="T611">
        <v>56.130366000000002</v>
      </c>
      <c r="U611">
        <v>-106.346771</v>
      </c>
    </row>
    <row r="612" spans="1:21">
      <c r="A612" t="s">
        <v>50</v>
      </c>
      <c r="B612">
        <v>2001</v>
      </c>
      <c r="C612">
        <v>115218.68</v>
      </c>
      <c r="D612">
        <v>506620</v>
      </c>
      <c r="E612">
        <v>159.93</v>
      </c>
      <c r="F612">
        <v>72.86</v>
      </c>
      <c r="G612">
        <v>339.58</v>
      </c>
      <c r="H612">
        <v>72.058279999999996</v>
      </c>
      <c r="J612">
        <v>21.53</v>
      </c>
      <c r="K612">
        <v>4</v>
      </c>
      <c r="L612">
        <v>100</v>
      </c>
      <c r="M612">
        <v>100</v>
      </c>
      <c r="N612">
        <v>28.201409999999999</v>
      </c>
      <c r="P612">
        <v>1.4055275890000001</v>
      </c>
      <c r="Q612">
        <v>23822.060119999998</v>
      </c>
      <c r="R612">
        <v>9.0399999999999991</v>
      </c>
      <c r="S612">
        <v>9984670</v>
      </c>
      <c r="T612">
        <v>56.130366000000002</v>
      </c>
      <c r="U612">
        <v>-106.346771</v>
      </c>
    </row>
    <row r="613" spans="1:21">
      <c r="A613" t="s">
        <v>50</v>
      </c>
      <c r="B613">
        <v>2002</v>
      </c>
      <c r="C613">
        <v>117915.38</v>
      </c>
      <c r="D613">
        <v>524349.97560000001</v>
      </c>
      <c r="E613">
        <v>155.12</v>
      </c>
      <c r="F613">
        <v>71.75</v>
      </c>
      <c r="G613">
        <v>357.06</v>
      </c>
      <c r="H613">
        <v>73.435169999999999</v>
      </c>
      <c r="J613">
        <v>21.77</v>
      </c>
      <c r="K613">
        <v>4</v>
      </c>
      <c r="L613">
        <v>100</v>
      </c>
      <c r="M613">
        <v>100</v>
      </c>
      <c r="N613">
        <v>28.546555999999999</v>
      </c>
      <c r="P613">
        <v>3.4221461710000001</v>
      </c>
      <c r="Q613">
        <v>24255.33858</v>
      </c>
      <c r="R613">
        <v>8.77</v>
      </c>
      <c r="S613">
        <v>9984670</v>
      </c>
      <c r="T613">
        <v>56.130366000000002</v>
      </c>
      <c r="U613">
        <v>-106.346771</v>
      </c>
    </row>
    <row r="614" spans="1:21">
      <c r="A614" t="s">
        <v>50</v>
      </c>
      <c r="B614">
        <v>2003</v>
      </c>
      <c r="C614">
        <v>117365.12</v>
      </c>
      <c r="D614">
        <v>544539.978</v>
      </c>
      <c r="E614">
        <v>157.35</v>
      </c>
      <c r="F614">
        <v>71.150000000000006</v>
      </c>
      <c r="G614">
        <v>343.88</v>
      </c>
      <c r="H614">
        <v>72.509519999999995</v>
      </c>
      <c r="J614">
        <v>21.18</v>
      </c>
      <c r="K614">
        <v>4</v>
      </c>
      <c r="L614">
        <v>100</v>
      </c>
      <c r="M614">
        <v>100</v>
      </c>
      <c r="N614">
        <v>27.180014</v>
      </c>
      <c r="P614">
        <v>3.8110901529999999</v>
      </c>
      <c r="Q614">
        <v>28300.463100000001</v>
      </c>
      <c r="R614">
        <v>8.89</v>
      </c>
      <c r="S614">
        <v>9984670</v>
      </c>
      <c r="T614">
        <v>56.130366000000002</v>
      </c>
      <c r="U614">
        <v>-106.346771</v>
      </c>
    </row>
    <row r="615" spans="1:21">
      <c r="A615" t="s">
        <v>50</v>
      </c>
      <c r="B615">
        <v>2004</v>
      </c>
      <c r="C615">
        <v>118078.05</v>
      </c>
      <c r="D615">
        <v>536419.98289999994</v>
      </c>
      <c r="E615">
        <v>148.86000000000001</v>
      </c>
      <c r="F615">
        <v>85.87</v>
      </c>
      <c r="G615">
        <v>347.68</v>
      </c>
      <c r="H615">
        <v>74.440690000000004</v>
      </c>
      <c r="J615">
        <v>21.58</v>
      </c>
      <c r="K615">
        <v>4</v>
      </c>
      <c r="L615">
        <v>100</v>
      </c>
      <c r="M615">
        <v>100</v>
      </c>
      <c r="N615">
        <v>26.827922999999998</v>
      </c>
      <c r="P615">
        <v>3.9140287819999999</v>
      </c>
      <c r="Q615">
        <v>32143.681410000001</v>
      </c>
      <c r="R615">
        <v>8.77</v>
      </c>
      <c r="S615">
        <v>9984670</v>
      </c>
      <c r="T615">
        <v>56.130366000000002</v>
      </c>
      <c r="U615">
        <v>-106.346771</v>
      </c>
    </row>
    <row r="616" spans="1:21">
      <c r="A616" t="s">
        <v>50</v>
      </c>
      <c r="B616">
        <v>2005</v>
      </c>
      <c r="C616">
        <v>117744.77</v>
      </c>
      <c r="D616">
        <v>549030.02930000005</v>
      </c>
      <c r="E616">
        <v>150.78</v>
      </c>
      <c r="F616">
        <v>86.83</v>
      </c>
      <c r="G616">
        <v>368.86</v>
      </c>
      <c r="H616">
        <v>75.138099999999994</v>
      </c>
      <c r="J616">
        <v>21.99</v>
      </c>
      <c r="K616">
        <v>4</v>
      </c>
      <c r="L616">
        <v>100</v>
      </c>
      <c r="M616">
        <v>100</v>
      </c>
      <c r="N616">
        <v>28.265476</v>
      </c>
      <c r="P616">
        <v>4.9958608690000004</v>
      </c>
      <c r="Q616">
        <v>36382.507919999996</v>
      </c>
      <c r="R616">
        <v>8.4600000000000009</v>
      </c>
      <c r="S616">
        <v>9984670</v>
      </c>
      <c r="T616">
        <v>56.130366000000002</v>
      </c>
      <c r="U616">
        <v>-106.346771</v>
      </c>
    </row>
    <row r="617" spans="1:21">
      <c r="A617" t="s">
        <v>50</v>
      </c>
      <c r="B617">
        <v>2006</v>
      </c>
      <c r="C617">
        <v>115946.31</v>
      </c>
      <c r="D617">
        <v>540530.02930000005</v>
      </c>
      <c r="E617">
        <v>139.71</v>
      </c>
      <c r="F617">
        <v>92.44</v>
      </c>
      <c r="G617">
        <v>360.48</v>
      </c>
      <c r="H617">
        <v>76.425420000000003</v>
      </c>
      <c r="J617">
        <v>21.92</v>
      </c>
      <c r="K617">
        <v>4</v>
      </c>
      <c r="L617">
        <v>100</v>
      </c>
      <c r="M617">
        <v>100</v>
      </c>
      <c r="N617">
        <v>27.616468000000001</v>
      </c>
      <c r="P617">
        <v>4.165817627</v>
      </c>
      <c r="Q617">
        <v>40504.060729999997</v>
      </c>
      <c r="R617">
        <v>8.25</v>
      </c>
      <c r="S617">
        <v>9984670</v>
      </c>
      <c r="T617">
        <v>56.130366000000002</v>
      </c>
      <c r="U617">
        <v>-106.346771</v>
      </c>
    </row>
    <row r="618" spans="1:21">
      <c r="A618" t="s">
        <v>50</v>
      </c>
      <c r="B618">
        <v>2007</v>
      </c>
      <c r="C618">
        <v>119158.6</v>
      </c>
      <c r="D618">
        <v>571630.00490000006</v>
      </c>
      <c r="E618">
        <v>149.36000000000001</v>
      </c>
      <c r="F618">
        <v>88.19</v>
      </c>
      <c r="G618">
        <v>375.42</v>
      </c>
      <c r="H618">
        <v>75.633390000000006</v>
      </c>
      <c r="J618">
        <v>21.84</v>
      </c>
      <c r="K618">
        <v>4</v>
      </c>
      <c r="L618">
        <v>100</v>
      </c>
      <c r="M618">
        <v>100</v>
      </c>
      <c r="N618">
        <v>27.694315</v>
      </c>
      <c r="P618">
        <v>6.8686088569999999</v>
      </c>
      <c r="Q618">
        <v>44659.895140000001</v>
      </c>
      <c r="R618">
        <v>7.71</v>
      </c>
      <c r="S618">
        <v>9984670</v>
      </c>
      <c r="T618">
        <v>56.130366000000002</v>
      </c>
      <c r="U618">
        <v>-106.346771</v>
      </c>
    </row>
    <row r="619" spans="1:21">
      <c r="A619" t="s">
        <v>50</v>
      </c>
      <c r="B619">
        <v>2008</v>
      </c>
      <c r="C619">
        <v>116479.15</v>
      </c>
      <c r="D619">
        <v>550469.97069999995</v>
      </c>
      <c r="E619">
        <v>141.33000000000001</v>
      </c>
      <c r="F619">
        <v>88.3</v>
      </c>
      <c r="G619">
        <v>385.21</v>
      </c>
      <c r="H619">
        <v>77.013530000000003</v>
      </c>
      <c r="J619">
        <v>21.91</v>
      </c>
      <c r="K619">
        <v>4</v>
      </c>
      <c r="L619">
        <v>100</v>
      </c>
      <c r="M619">
        <v>100</v>
      </c>
      <c r="N619">
        <v>28.590091999999999</v>
      </c>
      <c r="P619">
        <v>1.007622695</v>
      </c>
      <c r="Q619">
        <v>46710.505579999997</v>
      </c>
      <c r="R619">
        <v>7.44</v>
      </c>
      <c r="S619">
        <v>9984670</v>
      </c>
      <c r="T619">
        <v>56.130366000000002</v>
      </c>
      <c r="U619">
        <v>-106.346771</v>
      </c>
    </row>
    <row r="620" spans="1:21">
      <c r="A620" t="s">
        <v>50</v>
      </c>
      <c r="B620">
        <v>2009</v>
      </c>
      <c r="C620">
        <v>110665.80499999999</v>
      </c>
      <c r="D620">
        <v>521320.0073</v>
      </c>
      <c r="E620">
        <v>129.76</v>
      </c>
      <c r="F620">
        <v>85.13</v>
      </c>
      <c r="G620">
        <v>380.24</v>
      </c>
      <c r="H620">
        <v>78.196359999999999</v>
      </c>
      <c r="J620">
        <v>22.5</v>
      </c>
      <c r="K620">
        <v>4</v>
      </c>
      <c r="L620">
        <v>100</v>
      </c>
      <c r="M620">
        <v>100</v>
      </c>
      <c r="N620">
        <v>29.20945</v>
      </c>
      <c r="P620">
        <v>-2.9284001669999999</v>
      </c>
      <c r="Q620">
        <v>40876.310149999998</v>
      </c>
      <c r="R620">
        <v>7.37</v>
      </c>
      <c r="S620">
        <v>9984670</v>
      </c>
      <c r="T620">
        <v>56.130366000000002</v>
      </c>
      <c r="U620">
        <v>-106.346771</v>
      </c>
    </row>
    <row r="621" spans="1:21">
      <c r="A621" t="s">
        <v>50</v>
      </c>
      <c r="B621">
        <v>2010</v>
      </c>
      <c r="C621">
        <v>110485.93</v>
      </c>
      <c r="D621">
        <v>537010.0098</v>
      </c>
      <c r="E621">
        <v>130.08000000000001</v>
      </c>
      <c r="F621">
        <v>85.53</v>
      </c>
      <c r="G621">
        <v>366.21</v>
      </c>
      <c r="H621">
        <v>77.642570000000006</v>
      </c>
      <c r="J621">
        <v>21.88</v>
      </c>
      <c r="K621">
        <v>4</v>
      </c>
      <c r="L621">
        <v>100</v>
      </c>
      <c r="M621">
        <v>100</v>
      </c>
      <c r="N621">
        <v>27.789688000000002</v>
      </c>
      <c r="P621">
        <v>3.08949462</v>
      </c>
      <c r="Q621">
        <v>47562.083429999999</v>
      </c>
      <c r="R621">
        <v>7.16</v>
      </c>
      <c r="S621">
        <v>9984670</v>
      </c>
      <c r="T621">
        <v>56.130366000000002</v>
      </c>
      <c r="U621">
        <v>-106.346771</v>
      </c>
    </row>
    <row r="622" spans="1:21">
      <c r="A622" t="s">
        <v>50</v>
      </c>
      <c r="B622">
        <v>2011</v>
      </c>
      <c r="C622">
        <v>113449.32</v>
      </c>
      <c r="D622">
        <v>549289.978</v>
      </c>
      <c r="E622">
        <v>131.30000000000001</v>
      </c>
      <c r="F622">
        <v>88.29</v>
      </c>
      <c r="G622">
        <v>391.95</v>
      </c>
      <c r="H622">
        <v>78.529619999999994</v>
      </c>
      <c r="J622">
        <v>21.84</v>
      </c>
      <c r="K622">
        <v>4</v>
      </c>
      <c r="L622">
        <v>100</v>
      </c>
      <c r="M622">
        <v>100</v>
      </c>
      <c r="N622">
        <v>28.626370000000001</v>
      </c>
      <c r="P622">
        <v>3.1468813720000002</v>
      </c>
      <c r="Q622">
        <v>52223.696109999997</v>
      </c>
      <c r="R622">
        <v>7.09</v>
      </c>
      <c r="S622">
        <v>9984670</v>
      </c>
      <c r="T622">
        <v>56.130366000000002</v>
      </c>
      <c r="U622">
        <v>-106.346771</v>
      </c>
    </row>
    <row r="623" spans="1:21">
      <c r="A623" t="s">
        <v>50</v>
      </c>
      <c r="B623">
        <v>2012</v>
      </c>
      <c r="C623">
        <v>112586.7</v>
      </c>
      <c r="D623">
        <v>546210.022</v>
      </c>
      <c r="E623">
        <v>124.2</v>
      </c>
      <c r="F623">
        <v>89.49</v>
      </c>
      <c r="G623">
        <v>398.58</v>
      </c>
      <c r="H623">
        <v>79.714830000000006</v>
      </c>
      <c r="J623">
        <v>22.17</v>
      </c>
      <c r="K623">
        <v>4</v>
      </c>
      <c r="L623">
        <v>100</v>
      </c>
      <c r="M623">
        <v>100</v>
      </c>
      <c r="N623">
        <v>28.976913</v>
      </c>
      <c r="P623">
        <v>1.7622225490000001</v>
      </c>
      <c r="Q623">
        <v>52669.089959999998</v>
      </c>
      <c r="R623">
        <v>7.03</v>
      </c>
      <c r="S623">
        <v>9984670</v>
      </c>
      <c r="T623">
        <v>56.130366000000002</v>
      </c>
      <c r="U623">
        <v>-106.346771</v>
      </c>
    </row>
    <row r="624" spans="1:21">
      <c r="A624" t="s">
        <v>50</v>
      </c>
      <c r="B624">
        <v>2013</v>
      </c>
      <c r="C624">
        <v>114051.086</v>
      </c>
      <c r="D624">
        <v>555659.97309999994</v>
      </c>
      <c r="E624">
        <v>122.87</v>
      </c>
      <c r="F624">
        <v>97.58</v>
      </c>
      <c r="G624">
        <v>417.28</v>
      </c>
      <c r="H624">
        <v>80.733230000000006</v>
      </c>
      <c r="J624">
        <v>22.44</v>
      </c>
      <c r="K624">
        <v>4</v>
      </c>
      <c r="L624">
        <v>100</v>
      </c>
      <c r="M624">
        <v>100</v>
      </c>
      <c r="N624">
        <v>28.941828000000001</v>
      </c>
      <c r="P624">
        <v>2.329122506</v>
      </c>
      <c r="Q624">
        <v>52635.174959999997</v>
      </c>
      <c r="R624">
        <v>7.01</v>
      </c>
      <c r="S624">
        <v>9984670</v>
      </c>
      <c r="T624">
        <v>56.130366000000002</v>
      </c>
      <c r="U624">
        <v>-106.346771</v>
      </c>
    </row>
    <row r="625" spans="1:21">
      <c r="A625" t="s">
        <v>50</v>
      </c>
      <c r="B625">
        <v>2014</v>
      </c>
      <c r="C625">
        <v>113198.414</v>
      </c>
      <c r="D625">
        <v>561679.99269999994</v>
      </c>
      <c r="E625">
        <v>122.75</v>
      </c>
      <c r="F625">
        <v>101.21</v>
      </c>
      <c r="G625">
        <v>412.13</v>
      </c>
      <c r="H625">
        <v>80.702415000000002</v>
      </c>
      <c r="J625">
        <v>22.49</v>
      </c>
      <c r="K625">
        <v>4</v>
      </c>
      <c r="L625">
        <v>100</v>
      </c>
      <c r="M625">
        <v>100</v>
      </c>
      <c r="N625">
        <v>28.147760000000002</v>
      </c>
      <c r="P625">
        <v>2.8700360749999998</v>
      </c>
      <c r="Q625">
        <v>50955.998319999999</v>
      </c>
      <c r="R625">
        <v>6.99</v>
      </c>
      <c r="S625">
        <v>9984670</v>
      </c>
      <c r="T625">
        <v>56.130366000000002</v>
      </c>
      <c r="U625">
        <v>-106.346771</v>
      </c>
    </row>
    <row r="626" spans="1:21">
      <c r="A626" t="s">
        <v>50</v>
      </c>
      <c r="B626">
        <v>2015</v>
      </c>
      <c r="C626">
        <v>112891.76</v>
      </c>
      <c r="D626">
        <v>558700.0122</v>
      </c>
      <c r="E626">
        <v>125.7</v>
      </c>
      <c r="F626">
        <v>96.05</v>
      </c>
      <c r="G626">
        <v>417.2</v>
      </c>
      <c r="H626">
        <v>80.327095</v>
      </c>
      <c r="J626">
        <v>22.69</v>
      </c>
      <c r="K626">
        <v>4</v>
      </c>
      <c r="L626">
        <v>100</v>
      </c>
      <c r="M626">
        <v>100</v>
      </c>
      <c r="N626">
        <v>28.764147000000001</v>
      </c>
      <c r="P626">
        <v>0.65917686399999997</v>
      </c>
      <c r="Q626">
        <v>43596.135540000003</v>
      </c>
      <c r="R626">
        <v>6.91</v>
      </c>
      <c r="S626">
        <v>9984670</v>
      </c>
      <c r="T626">
        <v>56.130366000000002</v>
      </c>
      <c r="U626">
        <v>-106.346771</v>
      </c>
    </row>
    <row r="627" spans="1:21">
      <c r="A627" t="s">
        <v>50</v>
      </c>
      <c r="B627">
        <v>2016</v>
      </c>
      <c r="C627">
        <v>110180.79</v>
      </c>
      <c r="D627">
        <v>556830.01710000006</v>
      </c>
      <c r="E627">
        <v>122.35</v>
      </c>
      <c r="F627">
        <v>95.69</v>
      </c>
      <c r="G627">
        <v>426.84</v>
      </c>
      <c r="H627">
        <v>81.027479999999997</v>
      </c>
      <c r="J627">
        <v>22.05</v>
      </c>
      <c r="K627">
        <v>4</v>
      </c>
      <c r="L627">
        <v>100</v>
      </c>
      <c r="M627">
        <v>100</v>
      </c>
      <c r="N627">
        <v>29.6526</v>
      </c>
      <c r="P627">
        <v>1.001394414</v>
      </c>
      <c r="Q627">
        <v>42315.603710000003</v>
      </c>
      <c r="R627">
        <v>7.1</v>
      </c>
      <c r="S627">
        <v>9984670</v>
      </c>
      <c r="T627">
        <v>56.130366000000002</v>
      </c>
      <c r="U627">
        <v>-106.346771</v>
      </c>
    </row>
    <row r="628" spans="1:21">
      <c r="A628" t="s">
        <v>50</v>
      </c>
      <c r="B628">
        <v>2017</v>
      </c>
      <c r="C628">
        <v>110509.586</v>
      </c>
      <c r="D628">
        <v>568080.01710000006</v>
      </c>
      <c r="E628">
        <v>113.7</v>
      </c>
      <c r="F628">
        <v>95.57</v>
      </c>
      <c r="G628">
        <v>435.43</v>
      </c>
      <c r="H628">
        <v>82.363889999999998</v>
      </c>
      <c r="J628">
        <v>22.47</v>
      </c>
      <c r="K628">
        <v>4</v>
      </c>
      <c r="L628">
        <v>100</v>
      </c>
      <c r="M628">
        <v>100</v>
      </c>
      <c r="N628">
        <v>29.673639999999999</v>
      </c>
      <c r="P628">
        <v>3.0398802250000001</v>
      </c>
      <c r="Q628">
        <v>45129.356440000003</v>
      </c>
      <c r="R628">
        <v>7.17</v>
      </c>
      <c r="S628">
        <v>9984670</v>
      </c>
      <c r="T628">
        <v>56.130366000000002</v>
      </c>
      <c r="U628">
        <v>-106.346771</v>
      </c>
    </row>
    <row r="629" spans="1:21">
      <c r="A629" t="s">
        <v>50</v>
      </c>
      <c r="B629">
        <v>2018</v>
      </c>
      <c r="C629">
        <v>110059.28</v>
      </c>
      <c r="D629">
        <v>580090.02690000006</v>
      </c>
      <c r="E629">
        <v>112.47</v>
      </c>
      <c r="F629">
        <v>95.03</v>
      </c>
      <c r="G629">
        <v>428.39</v>
      </c>
      <c r="H629">
        <v>82.312970000000007</v>
      </c>
      <c r="J629">
        <v>21.99</v>
      </c>
      <c r="K629">
        <v>4</v>
      </c>
      <c r="L629">
        <v>100</v>
      </c>
      <c r="M629">
        <v>100</v>
      </c>
      <c r="N629">
        <v>28.814518</v>
      </c>
      <c r="P629">
        <v>2.777040554</v>
      </c>
      <c r="Q629">
        <v>46548.520360000002</v>
      </c>
      <c r="R629">
        <v>7.1</v>
      </c>
      <c r="S629">
        <v>9984670</v>
      </c>
      <c r="T629">
        <v>56.130366000000002</v>
      </c>
      <c r="U629">
        <v>-106.346771</v>
      </c>
    </row>
    <row r="630" spans="1:21">
      <c r="A630" t="s">
        <v>50</v>
      </c>
      <c r="B630">
        <v>2019</v>
      </c>
      <c r="C630">
        <v>107980.76</v>
      </c>
      <c r="D630">
        <v>580210.022</v>
      </c>
      <c r="E630">
        <v>110.65</v>
      </c>
      <c r="F630">
        <v>95.47</v>
      </c>
      <c r="G630">
        <v>421.8</v>
      </c>
      <c r="H630">
        <v>82.378333999999995</v>
      </c>
      <c r="J630">
        <v>22.11</v>
      </c>
      <c r="K630">
        <v>4</v>
      </c>
      <c r="L630">
        <v>100</v>
      </c>
      <c r="M630">
        <v>100</v>
      </c>
      <c r="N630">
        <v>28.586376000000001</v>
      </c>
      <c r="P630">
        <v>1.879592028</v>
      </c>
      <c r="Q630">
        <v>46338.340960000001</v>
      </c>
      <c r="R630">
        <v>6.94</v>
      </c>
      <c r="S630">
        <v>9984670</v>
      </c>
      <c r="T630">
        <v>56.130366000000002</v>
      </c>
      <c r="U630">
        <v>-106.346771</v>
      </c>
    </row>
    <row r="631" spans="1:21">
      <c r="A631" t="s">
        <v>50</v>
      </c>
      <c r="B631">
        <v>2020</v>
      </c>
      <c r="C631">
        <v>100497.28</v>
      </c>
      <c r="E631">
        <v>102.19</v>
      </c>
      <c r="F631">
        <v>92.65</v>
      </c>
      <c r="G631">
        <v>429.24</v>
      </c>
      <c r="H631">
        <v>83.625495999999998</v>
      </c>
      <c r="K631">
        <v>4</v>
      </c>
      <c r="L631">
        <v>100</v>
      </c>
      <c r="M631">
        <v>100</v>
      </c>
      <c r="N631">
        <v>30.542149999999999</v>
      </c>
      <c r="P631">
        <v>-5.2330243029999997</v>
      </c>
      <c r="Q631">
        <v>43294.648159999997</v>
      </c>
      <c r="S631">
        <v>9984670</v>
      </c>
      <c r="T631">
        <v>56.130366000000002</v>
      </c>
      <c r="U631">
        <v>-106.346771</v>
      </c>
    </row>
    <row r="632" spans="1:21">
      <c r="A632" t="s">
        <v>51</v>
      </c>
      <c r="B632">
        <v>2000</v>
      </c>
      <c r="C632">
        <v>52485.707000000002</v>
      </c>
      <c r="D632">
        <v>465.709</v>
      </c>
      <c r="E632">
        <v>0.4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274</v>
      </c>
      <c r="L632">
        <v>100</v>
      </c>
      <c r="R632">
        <v>1.91</v>
      </c>
      <c r="S632">
        <v>264</v>
      </c>
      <c r="T632">
        <v>19.329899999999999</v>
      </c>
      <c r="U632">
        <v>81.252399999999994</v>
      </c>
    </row>
    <row r="633" spans="1:21">
      <c r="A633" t="s">
        <v>51</v>
      </c>
      <c r="B633">
        <v>2001</v>
      </c>
      <c r="C633">
        <v>51350.027000000002</v>
      </c>
      <c r="D633">
        <v>465.709</v>
      </c>
      <c r="E633">
        <v>0.42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274</v>
      </c>
      <c r="L633">
        <v>100</v>
      </c>
      <c r="R633">
        <v>1.91</v>
      </c>
      <c r="S633">
        <v>264</v>
      </c>
      <c r="T633">
        <v>19.329899999999999</v>
      </c>
      <c r="U633">
        <v>81.252399999999994</v>
      </c>
    </row>
    <row r="634" spans="1:21">
      <c r="A634" t="s">
        <v>51</v>
      </c>
      <c r="B634">
        <v>2002</v>
      </c>
      <c r="C634">
        <v>51466.68</v>
      </c>
      <c r="D634">
        <v>484.04399999999998</v>
      </c>
      <c r="E634">
        <v>0.45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274</v>
      </c>
      <c r="L634">
        <v>100</v>
      </c>
      <c r="R634">
        <v>1.96</v>
      </c>
      <c r="S634">
        <v>264</v>
      </c>
      <c r="T634">
        <v>19.329899999999999</v>
      </c>
      <c r="U634">
        <v>81.252399999999994</v>
      </c>
    </row>
    <row r="635" spans="1:21">
      <c r="A635" t="s">
        <v>51</v>
      </c>
      <c r="B635">
        <v>2003</v>
      </c>
      <c r="C635">
        <v>50467.51</v>
      </c>
      <c r="D635">
        <v>484.04399999999998</v>
      </c>
      <c r="E635">
        <v>0.46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274</v>
      </c>
      <c r="L635">
        <v>100</v>
      </c>
      <c r="R635">
        <v>1.93</v>
      </c>
      <c r="S635">
        <v>264</v>
      </c>
      <c r="T635">
        <v>19.329899999999999</v>
      </c>
      <c r="U635">
        <v>81.252399999999994</v>
      </c>
    </row>
    <row r="636" spans="1:21">
      <c r="A636" t="s">
        <v>51</v>
      </c>
      <c r="B636">
        <v>2004</v>
      </c>
      <c r="C636">
        <v>46195.98</v>
      </c>
      <c r="D636">
        <v>462.04199999999997</v>
      </c>
      <c r="E636">
        <v>0.49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274</v>
      </c>
      <c r="L636">
        <v>100</v>
      </c>
      <c r="R636">
        <v>1.8</v>
      </c>
      <c r="S636">
        <v>264</v>
      </c>
      <c r="T636">
        <v>19.329899999999999</v>
      </c>
      <c r="U636">
        <v>81.252399999999994</v>
      </c>
    </row>
    <row r="637" spans="1:21">
      <c r="A637" t="s">
        <v>51</v>
      </c>
      <c r="B637">
        <v>2005</v>
      </c>
      <c r="C637">
        <v>46092.508000000002</v>
      </c>
      <c r="D637">
        <v>473.04300000000001</v>
      </c>
      <c r="E637">
        <v>0.39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274</v>
      </c>
      <c r="L637">
        <v>100</v>
      </c>
      <c r="R637">
        <v>1.75</v>
      </c>
      <c r="S637">
        <v>264</v>
      </c>
      <c r="T637">
        <v>19.329899999999999</v>
      </c>
      <c r="U637">
        <v>81.252399999999994</v>
      </c>
    </row>
    <row r="638" spans="1:21">
      <c r="A638" t="s">
        <v>51</v>
      </c>
      <c r="B638">
        <v>2006</v>
      </c>
      <c r="C638">
        <v>45344.523000000001</v>
      </c>
      <c r="D638">
        <v>484.04399999999998</v>
      </c>
      <c r="E638">
        <v>0.49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274</v>
      </c>
      <c r="L638">
        <v>100</v>
      </c>
      <c r="Q638">
        <v>82801.542660000006</v>
      </c>
      <c r="R638">
        <v>1.69</v>
      </c>
      <c r="S638">
        <v>264</v>
      </c>
      <c r="T638">
        <v>19.329899999999999</v>
      </c>
      <c r="U638">
        <v>81.252399999999994</v>
      </c>
    </row>
    <row r="639" spans="1:21">
      <c r="A639" t="s">
        <v>51</v>
      </c>
      <c r="B639">
        <v>2007</v>
      </c>
      <c r="C639">
        <v>52593.046999999999</v>
      </c>
      <c r="D639">
        <v>572.05200000000002</v>
      </c>
      <c r="E639">
        <v>0.55000000000000004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274</v>
      </c>
      <c r="L639">
        <v>100</v>
      </c>
      <c r="P639">
        <v>3.1626252269999999</v>
      </c>
      <c r="Q639">
        <v>85433.030939999997</v>
      </c>
      <c r="R639">
        <v>1.97</v>
      </c>
      <c r="S639">
        <v>264</v>
      </c>
      <c r="T639">
        <v>19.329899999999999</v>
      </c>
      <c r="U639">
        <v>81.252399999999994</v>
      </c>
    </row>
    <row r="640" spans="1:21">
      <c r="A640" t="s">
        <v>51</v>
      </c>
      <c r="B640">
        <v>2008</v>
      </c>
      <c r="C640">
        <v>52451.508000000002</v>
      </c>
      <c r="D640">
        <v>583.053</v>
      </c>
      <c r="E640">
        <v>0.57999999999999996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274</v>
      </c>
      <c r="L640">
        <v>100</v>
      </c>
      <c r="P640">
        <v>-0.357401201</v>
      </c>
      <c r="Q640">
        <v>85188.337039999999</v>
      </c>
      <c r="R640">
        <v>2.0099999999999998</v>
      </c>
      <c r="S640">
        <v>264</v>
      </c>
      <c r="T640">
        <v>19.329899999999999</v>
      </c>
      <c r="U640">
        <v>81.252399999999994</v>
      </c>
    </row>
    <row r="641" spans="1:21">
      <c r="A641" t="s">
        <v>51</v>
      </c>
      <c r="B641">
        <v>2009</v>
      </c>
      <c r="C641">
        <v>47302.73</v>
      </c>
      <c r="D641">
        <v>557.38400000000001</v>
      </c>
      <c r="E641">
        <v>0.6</v>
      </c>
      <c r="F641">
        <v>0</v>
      </c>
      <c r="G641">
        <v>0</v>
      </c>
      <c r="H641">
        <v>0</v>
      </c>
      <c r="I641">
        <v>0</v>
      </c>
      <c r="J641">
        <v>0.01</v>
      </c>
      <c r="K641">
        <v>274</v>
      </c>
      <c r="L641">
        <v>100</v>
      </c>
      <c r="P641">
        <v>-7.2004824469999997</v>
      </c>
      <c r="Q641">
        <v>77400.421440000006</v>
      </c>
      <c r="R641">
        <v>2.0499999999999998</v>
      </c>
      <c r="S641">
        <v>264</v>
      </c>
      <c r="T641">
        <v>19.329899999999999</v>
      </c>
      <c r="U641">
        <v>81.252399999999994</v>
      </c>
    </row>
    <row r="642" spans="1:21">
      <c r="A642" t="s">
        <v>51</v>
      </c>
      <c r="B642">
        <v>2010</v>
      </c>
      <c r="C642">
        <v>46226.355000000003</v>
      </c>
      <c r="D642">
        <v>557.38400000000001</v>
      </c>
      <c r="E642">
        <v>0.59</v>
      </c>
      <c r="F642">
        <v>0</v>
      </c>
      <c r="G642">
        <v>0</v>
      </c>
      <c r="H642">
        <v>0</v>
      </c>
      <c r="I642">
        <v>0</v>
      </c>
      <c r="J642">
        <v>0.01</v>
      </c>
      <c r="K642">
        <v>274</v>
      </c>
      <c r="L642">
        <v>100</v>
      </c>
      <c r="P642">
        <v>-2.7156352620000002</v>
      </c>
      <c r="Q642">
        <v>73351.756770000007</v>
      </c>
      <c r="R642">
        <v>2.11</v>
      </c>
      <c r="S642">
        <v>264</v>
      </c>
      <c r="T642">
        <v>19.329899999999999</v>
      </c>
      <c r="U642">
        <v>81.252399999999994</v>
      </c>
    </row>
    <row r="643" spans="1:21">
      <c r="A643" t="s">
        <v>51</v>
      </c>
      <c r="B643">
        <v>2011</v>
      </c>
      <c r="C643">
        <v>47423.245999999999</v>
      </c>
      <c r="D643">
        <v>586.72</v>
      </c>
      <c r="E643">
        <v>0.59</v>
      </c>
      <c r="F643">
        <v>0</v>
      </c>
      <c r="G643">
        <v>0</v>
      </c>
      <c r="H643">
        <v>0</v>
      </c>
      <c r="I643">
        <v>0</v>
      </c>
      <c r="J643">
        <v>0.02</v>
      </c>
      <c r="K643">
        <v>274</v>
      </c>
      <c r="L643">
        <v>100</v>
      </c>
      <c r="P643">
        <v>1.169062198</v>
      </c>
      <c r="Q643">
        <v>72329.661330000003</v>
      </c>
      <c r="R643">
        <v>2.2000000000000002</v>
      </c>
      <c r="S643">
        <v>264</v>
      </c>
      <c r="T643">
        <v>19.329899999999999</v>
      </c>
      <c r="U643">
        <v>81.252399999999994</v>
      </c>
    </row>
    <row r="644" spans="1:21">
      <c r="A644" t="s">
        <v>51</v>
      </c>
      <c r="B644">
        <v>2012</v>
      </c>
      <c r="C644">
        <v>42757.976999999999</v>
      </c>
      <c r="D644">
        <v>535.38199999999995</v>
      </c>
      <c r="E644">
        <v>0.59</v>
      </c>
      <c r="F644">
        <v>0</v>
      </c>
      <c r="G644">
        <v>0</v>
      </c>
      <c r="H644">
        <v>0</v>
      </c>
      <c r="I644">
        <v>0</v>
      </c>
      <c r="J644">
        <v>0.01</v>
      </c>
      <c r="K644">
        <v>274</v>
      </c>
      <c r="L644">
        <v>100</v>
      </c>
      <c r="P644">
        <v>1.2297536570000001</v>
      </c>
      <c r="Q644">
        <v>72777.148490000007</v>
      </c>
      <c r="R644">
        <v>2</v>
      </c>
      <c r="S644">
        <v>264</v>
      </c>
      <c r="T644">
        <v>19.329899999999999</v>
      </c>
      <c r="U644">
        <v>81.252399999999994</v>
      </c>
    </row>
    <row r="645" spans="1:21">
      <c r="A645" t="s">
        <v>51</v>
      </c>
      <c r="B645">
        <v>2013</v>
      </c>
      <c r="C645">
        <v>41230.707000000002</v>
      </c>
      <c r="D645">
        <v>535.38199999999995</v>
      </c>
      <c r="E645">
        <v>0.6</v>
      </c>
      <c r="F645">
        <v>0</v>
      </c>
      <c r="G645">
        <v>0</v>
      </c>
      <c r="H645">
        <v>0</v>
      </c>
      <c r="I645">
        <v>0</v>
      </c>
      <c r="J645">
        <v>0.01</v>
      </c>
      <c r="K645">
        <v>274</v>
      </c>
      <c r="L645">
        <v>100</v>
      </c>
      <c r="P645">
        <v>1.2793310200000001</v>
      </c>
      <c r="Q645">
        <v>73514.668680000002</v>
      </c>
      <c r="R645">
        <v>1.95</v>
      </c>
      <c r="S645">
        <v>264</v>
      </c>
      <c r="T645">
        <v>19.329899999999999</v>
      </c>
      <c r="U645">
        <v>81.252399999999994</v>
      </c>
    </row>
    <row r="646" spans="1:21">
      <c r="A646" t="s">
        <v>51</v>
      </c>
      <c r="B646">
        <v>2014</v>
      </c>
      <c r="C646">
        <v>40977.292999999998</v>
      </c>
      <c r="D646">
        <v>546.38300000000004</v>
      </c>
      <c r="E646">
        <v>0.61</v>
      </c>
      <c r="F646">
        <v>0</v>
      </c>
      <c r="G646">
        <v>0</v>
      </c>
      <c r="H646">
        <v>0</v>
      </c>
      <c r="I646">
        <v>0</v>
      </c>
      <c r="J646">
        <v>0.01</v>
      </c>
      <c r="K646">
        <v>274</v>
      </c>
      <c r="L646">
        <v>100</v>
      </c>
      <c r="P646">
        <v>2.6545279850000001</v>
      </c>
      <c r="Q646">
        <v>74990.433220000006</v>
      </c>
      <c r="R646">
        <v>1.94</v>
      </c>
      <c r="S646">
        <v>264</v>
      </c>
      <c r="T646">
        <v>19.329899999999999</v>
      </c>
      <c r="U646">
        <v>81.252399999999994</v>
      </c>
    </row>
    <row r="647" spans="1:21">
      <c r="A647" t="s">
        <v>51</v>
      </c>
      <c r="B647">
        <v>2015</v>
      </c>
      <c r="C647">
        <v>42380.68</v>
      </c>
      <c r="D647">
        <v>557.38400000000001</v>
      </c>
      <c r="E647">
        <v>0.62</v>
      </c>
      <c r="F647">
        <v>0</v>
      </c>
      <c r="G647">
        <v>0</v>
      </c>
      <c r="H647">
        <v>0</v>
      </c>
      <c r="I647">
        <v>0</v>
      </c>
      <c r="J647">
        <v>0.01</v>
      </c>
      <c r="K647">
        <v>274</v>
      </c>
      <c r="L647">
        <v>100</v>
      </c>
      <c r="P647">
        <v>2.833122226</v>
      </c>
      <c r="Q647">
        <v>76284.193929999994</v>
      </c>
      <c r="R647">
        <v>1.93</v>
      </c>
      <c r="S647">
        <v>264</v>
      </c>
      <c r="T647">
        <v>19.329899999999999</v>
      </c>
      <c r="U647">
        <v>81.252399999999994</v>
      </c>
    </row>
    <row r="648" spans="1:21">
      <c r="A648" t="s">
        <v>51</v>
      </c>
      <c r="B648">
        <v>2016</v>
      </c>
      <c r="C648">
        <v>40911.792999999998</v>
      </c>
      <c r="D648">
        <v>546.38300000000004</v>
      </c>
      <c r="E648">
        <v>0.65</v>
      </c>
      <c r="F648">
        <v>0</v>
      </c>
      <c r="G648">
        <v>0</v>
      </c>
      <c r="H648">
        <v>0</v>
      </c>
      <c r="I648">
        <v>44.02</v>
      </c>
      <c r="J648">
        <v>0.01</v>
      </c>
      <c r="K648">
        <v>274</v>
      </c>
      <c r="L648">
        <v>100</v>
      </c>
      <c r="P648">
        <v>3.2399768880000002</v>
      </c>
      <c r="Q648">
        <v>78471.628729999997</v>
      </c>
      <c r="R648">
        <v>1.84</v>
      </c>
      <c r="S648">
        <v>264</v>
      </c>
      <c r="T648">
        <v>19.329899999999999</v>
      </c>
      <c r="U648">
        <v>81.252399999999994</v>
      </c>
    </row>
    <row r="649" spans="1:21">
      <c r="A649" t="s">
        <v>51</v>
      </c>
      <c r="B649">
        <v>2017</v>
      </c>
      <c r="C649">
        <v>46465.98</v>
      </c>
      <c r="E649">
        <v>0.65</v>
      </c>
      <c r="F649">
        <v>0</v>
      </c>
      <c r="G649">
        <v>0.01</v>
      </c>
      <c r="H649">
        <v>1.5151515</v>
      </c>
      <c r="I649">
        <v>138.30000000000001</v>
      </c>
      <c r="J649">
        <v>0.01</v>
      </c>
      <c r="K649">
        <v>274</v>
      </c>
      <c r="L649">
        <v>100</v>
      </c>
      <c r="P649">
        <v>3.184043376</v>
      </c>
      <c r="Q649">
        <v>81513.163020000007</v>
      </c>
      <c r="R649">
        <v>1.87</v>
      </c>
      <c r="S649">
        <v>264</v>
      </c>
      <c r="T649">
        <v>19.329899999999999</v>
      </c>
      <c r="U649">
        <v>81.252399999999994</v>
      </c>
    </row>
    <row r="650" spans="1:21">
      <c r="A650" t="s">
        <v>51</v>
      </c>
      <c r="B650">
        <v>2018</v>
      </c>
      <c r="C650">
        <v>42507.163999999997</v>
      </c>
      <c r="E650">
        <v>0.64</v>
      </c>
      <c r="F650">
        <v>0</v>
      </c>
      <c r="G650">
        <v>0.01</v>
      </c>
      <c r="H650">
        <v>1.5384616</v>
      </c>
      <c r="I650">
        <v>154.54</v>
      </c>
      <c r="J650">
        <v>0.01</v>
      </c>
      <c r="K650">
        <v>274</v>
      </c>
      <c r="L650">
        <v>100</v>
      </c>
      <c r="P650">
        <v>4.1943409100000002</v>
      </c>
      <c r="Q650">
        <v>86059.739220000003</v>
      </c>
      <c r="R650">
        <v>1.9</v>
      </c>
      <c r="S650">
        <v>264</v>
      </c>
      <c r="T650">
        <v>19.329899999999999</v>
      </c>
      <c r="U650">
        <v>81.252399999999994</v>
      </c>
    </row>
    <row r="651" spans="1:21">
      <c r="A651" t="s">
        <v>51</v>
      </c>
      <c r="B651">
        <v>2019</v>
      </c>
      <c r="C651">
        <v>50531.71</v>
      </c>
      <c r="E651">
        <v>0.68</v>
      </c>
      <c r="F651">
        <v>0</v>
      </c>
      <c r="G651">
        <v>0.02</v>
      </c>
      <c r="H651">
        <v>2.8571430000000002</v>
      </c>
      <c r="I651">
        <v>170.81</v>
      </c>
      <c r="J651">
        <v>0</v>
      </c>
      <c r="K651">
        <v>274</v>
      </c>
      <c r="L651">
        <v>100</v>
      </c>
      <c r="P651">
        <v>3.8171004040000001</v>
      </c>
      <c r="Q651">
        <v>91392.642590000003</v>
      </c>
      <c r="R651">
        <v>2.06</v>
      </c>
      <c r="S651">
        <v>264</v>
      </c>
      <c r="T651">
        <v>19.329899999999999</v>
      </c>
      <c r="U651">
        <v>81.252399999999994</v>
      </c>
    </row>
    <row r="652" spans="1:21">
      <c r="A652" t="s">
        <v>51</v>
      </c>
      <c r="B652">
        <v>2020</v>
      </c>
      <c r="C652">
        <v>41981.38</v>
      </c>
      <c r="E652">
        <v>0.67</v>
      </c>
      <c r="F652">
        <v>0</v>
      </c>
      <c r="G652">
        <v>0.02</v>
      </c>
      <c r="H652">
        <v>2.8985506999999999</v>
      </c>
      <c r="I652">
        <v>193.81</v>
      </c>
      <c r="K652">
        <v>274</v>
      </c>
      <c r="L652">
        <v>100</v>
      </c>
      <c r="P652">
        <v>-6.7302874279999996</v>
      </c>
      <c r="Q652">
        <v>85082.526859999998</v>
      </c>
      <c r="S652">
        <v>264</v>
      </c>
      <c r="T652">
        <v>19.329899999999999</v>
      </c>
      <c r="U652">
        <v>81.252399999999994</v>
      </c>
    </row>
    <row r="653" spans="1:21">
      <c r="A653" t="s">
        <v>52</v>
      </c>
      <c r="B653">
        <v>2000</v>
      </c>
      <c r="C653">
        <v>384.72043000000002</v>
      </c>
      <c r="D653">
        <v>240</v>
      </c>
      <c r="E653">
        <v>0.02</v>
      </c>
      <c r="F653">
        <v>0</v>
      </c>
      <c r="G653">
        <v>0.08</v>
      </c>
      <c r="H653">
        <v>80</v>
      </c>
      <c r="I653">
        <v>5.18</v>
      </c>
      <c r="J653">
        <v>88.9</v>
      </c>
      <c r="K653">
        <v>8</v>
      </c>
      <c r="L653">
        <v>6</v>
      </c>
      <c r="M653">
        <v>0.6</v>
      </c>
      <c r="P653">
        <v>-2.4894324399999999</v>
      </c>
      <c r="Q653">
        <v>251.2072914</v>
      </c>
      <c r="R653">
        <v>7.73</v>
      </c>
      <c r="S653">
        <v>622984</v>
      </c>
      <c r="T653">
        <v>6.6111110000000002</v>
      </c>
      <c r="U653">
        <v>20.939444000000002</v>
      </c>
    </row>
    <row r="654" spans="1:21">
      <c r="A654" t="s">
        <v>52</v>
      </c>
      <c r="B654">
        <v>2001</v>
      </c>
      <c r="C654">
        <v>386.34530000000001</v>
      </c>
      <c r="D654">
        <v>250</v>
      </c>
      <c r="E654">
        <v>0.02</v>
      </c>
      <c r="F654">
        <v>0</v>
      </c>
      <c r="G654">
        <v>0.08</v>
      </c>
      <c r="H654">
        <v>80</v>
      </c>
      <c r="I654">
        <v>5.0599999999999996</v>
      </c>
      <c r="J654">
        <v>88.92</v>
      </c>
      <c r="K654">
        <v>8</v>
      </c>
      <c r="L654">
        <v>5.7360519999999999</v>
      </c>
      <c r="M654">
        <v>0.6</v>
      </c>
      <c r="P654">
        <v>4.4647390260000002</v>
      </c>
      <c r="Q654">
        <v>250.35714590000001</v>
      </c>
      <c r="R654">
        <v>7.55</v>
      </c>
      <c r="S654">
        <v>622984</v>
      </c>
      <c r="T654">
        <v>6.6111110000000002</v>
      </c>
      <c r="U654">
        <v>20.939444000000002</v>
      </c>
    </row>
    <row r="655" spans="1:21">
      <c r="A655" t="s">
        <v>52</v>
      </c>
      <c r="B655">
        <v>2002</v>
      </c>
      <c r="C655">
        <v>373.5856</v>
      </c>
      <c r="D655">
        <v>250</v>
      </c>
      <c r="E655">
        <v>0.02</v>
      </c>
      <c r="F655">
        <v>0</v>
      </c>
      <c r="G655">
        <v>0.08</v>
      </c>
      <c r="H655">
        <v>80</v>
      </c>
      <c r="I655">
        <v>4.96</v>
      </c>
      <c r="J655">
        <v>89.22</v>
      </c>
      <c r="K655">
        <v>8</v>
      </c>
      <c r="L655">
        <v>6.177054</v>
      </c>
      <c r="M655">
        <v>0.6</v>
      </c>
      <c r="P655">
        <v>3.6165421919999998</v>
      </c>
      <c r="Q655">
        <v>260.74545869999997</v>
      </c>
      <c r="R655">
        <v>7.38</v>
      </c>
      <c r="S655">
        <v>622984</v>
      </c>
      <c r="T655">
        <v>6.6111110000000002</v>
      </c>
      <c r="U655">
        <v>20.939444000000002</v>
      </c>
    </row>
    <row r="656" spans="1:21">
      <c r="A656" t="s">
        <v>52</v>
      </c>
      <c r="B656">
        <v>2003</v>
      </c>
      <c r="C656">
        <v>342.82562000000001</v>
      </c>
      <c r="D656">
        <v>230.00000420000001</v>
      </c>
      <c r="E656">
        <v>0.02</v>
      </c>
      <c r="F656">
        <v>0</v>
      </c>
      <c r="G656">
        <v>0.08</v>
      </c>
      <c r="H656">
        <v>80</v>
      </c>
      <c r="I656">
        <v>4.8600000000000003</v>
      </c>
      <c r="J656">
        <v>90.25</v>
      </c>
      <c r="K656">
        <v>8</v>
      </c>
      <c r="L656">
        <v>6.6128200000000001</v>
      </c>
      <c r="M656">
        <v>0.6</v>
      </c>
      <c r="P656">
        <v>-5.397485219</v>
      </c>
      <c r="Q656">
        <v>293.66154899999998</v>
      </c>
      <c r="R656">
        <v>7.93</v>
      </c>
      <c r="S656">
        <v>622984</v>
      </c>
      <c r="T656">
        <v>6.6111110000000002</v>
      </c>
      <c r="U656">
        <v>20.939444000000002</v>
      </c>
    </row>
    <row r="657" spans="1:21">
      <c r="A657" t="s">
        <v>52</v>
      </c>
      <c r="B657">
        <v>2004</v>
      </c>
      <c r="C657">
        <v>359.33325000000002</v>
      </c>
      <c r="D657">
        <v>230.00000420000001</v>
      </c>
      <c r="E657">
        <v>0.03</v>
      </c>
      <c r="F657">
        <v>0</v>
      </c>
      <c r="G657">
        <v>0.12</v>
      </c>
      <c r="H657">
        <v>80</v>
      </c>
      <c r="I657">
        <v>4.76</v>
      </c>
      <c r="J657">
        <v>90.64</v>
      </c>
      <c r="K657">
        <v>8</v>
      </c>
      <c r="L657">
        <v>7.0457006</v>
      </c>
      <c r="M657">
        <v>0.5</v>
      </c>
      <c r="P657">
        <v>5.9948842280000001</v>
      </c>
      <c r="Q657">
        <v>320.7368123</v>
      </c>
      <c r="R657">
        <v>7.65</v>
      </c>
      <c r="S657">
        <v>622984</v>
      </c>
      <c r="T657">
        <v>6.6111110000000002</v>
      </c>
      <c r="U657">
        <v>20.939444000000002</v>
      </c>
    </row>
    <row r="658" spans="1:21">
      <c r="A658" t="s">
        <v>52</v>
      </c>
      <c r="B658">
        <v>2005</v>
      </c>
      <c r="C658">
        <v>352.10989999999998</v>
      </c>
      <c r="D658">
        <v>219.99999879999999</v>
      </c>
      <c r="E658">
        <v>0.03</v>
      </c>
      <c r="F658">
        <v>0</v>
      </c>
      <c r="G658">
        <v>0.13</v>
      </c>
      <c r="H658">
        <v>81.25</v>
      </c>
      <c r="I658">
        <v>4.6900000000000004</v>
      </c>
      <c r="J658">
        <v>90.96</v>
      </c>
      <c r="K658">
        <v>8</v>
      </c>
      <c r="L658">
        <v>7.4780445000000002</v>
      </c>
      <c r="M658">
        <v>0.5</v>
      </c>
      <c r="P658">
        <v>0.90821051500000005</v>
      </c>
      <c r="Q658">
        <v>331.1630882</v>
      </c>
      <c r="R658">
        <v>7.74</v>
      </c>
      <c r="S658">
        <v>622984</v>
      </c>
      <c r="T658">
        <v>6.6111110000000002</v>
      </c>
      <c r="U658">
        <v>20.939444000000002</v>
      </c>
    </row>
    <row r="659" spans="1:21">
      <c r="A659" t="s">
        <v>52</v>
      </c>
      <c r="B659">
        <v>2006</v>
      </c>
      <c r="C659">
        <v>358.04586999999998</v>
      </c>
      <c r="D659">
        <v>230.00000420000001</v>
      </c>
      <c r="E659">
        <v>0.03</v>
      </c>
      <c r="F659">
        <v>0</v>
      </c>
      <c r="G659">
        <v>0.14000000000000001</v>
      </c>
      <c r="H659">
        <v>82.352940000000004</v>
      </c>
      <c r="I659">
        <v>4.5999999999999996</v>
      </c>
      <c r="J659">
        <v>90.8</v>
      </c>
      <c r="K659">
        <v>8</v>
      </c>
      <c r="L659">
        <v>7.8051690000000002</v>
      </c>
      <c r="M659">
        <v>0.6</v>
      </c>
      <c r="O659">
        <v>0</v>
      </c>
      <c r="P659">
        <v>4.7710854300000003</v>
      </c>
      <c r="Q659">
        <v>354.67086330000001</v>
      </c>
      <c r="R659">
        <v>7.59</v>
      </c>
      <c r="S659">
        <v>622984</v>
      </c>
      <c r="T659">
        <v>6.6111110000000002</v>
      </c>
      <c r="U659">
        <v>20.939444000000002</v>
      </c>
    </row>
    <row r="660" spans="1:21">
      <c r="A660" t="s">
        <v>52</v>
      </c>
      <c r="B660">
        <v>2007</v>
      </c>
      <c r="C660">
        <v>349.30214999999998</v>
      </c>
      <c r="D660">
        <v>239.99999460000001</v>
      </c>
      <c r="E660">
        <v>0.02</v>
      </c>
      <c r="F660">
        <v>0</v>
      </c>
      <c r="G660">
        <v>0.14000000000000001</v>
      </c>
      <c r="H660">
        <v>87.5</v>
      </c>
      <c r="I660">
        <v>4.51</v>
      </c>
      <c r="J660">
        <v>90.88</v>
      </c>
      <c r="K660">
        <v>8</v>
      </c>
      <c r="L660">
        <v>8.3509980000000006</v>
      </c>
      <c r="M660">
        <v>0.6</v>
      </c>
      <c r="P660">
        <v>4.6075348549999999</v>
      </c>
      <c r="Q660">
        <v>404.37454289999999</v>
      </c>
      <c r="R660">
        <v>7.47</v>
      </c>
      <c r="S660">
        <v>622984</v>
      </c>
      <c r="T660">
        <v>6.6111110000000002</v>
      </c>
      <c r="U660">
        <v>20.939444000000002</v>
      </c>
    </row>
    <row r="661" spans="1:21">
      <c r="A661" t="s">
        <v>52</v>
      </c>
      <c r="B661">
        <v>2008</v>
      </c>
      <c r="C661">
        <v>276.59942999999998</v>
      </c>
      <c r="D661">
        <v>170.00000180000001</v>
      </c>
      <c r="E661">
        <v>0.02</v>
      </c>
      <c r="F661">
        <v>0</v>
      </c>
      <c r="G661">
        <v>0.14000000000000001</v>
      </c>
      <c r="H661">
        <v>87.5</v>
      </c>
      <c r="I661">
        <v>4.43</v>
      </c>
      <c r="J661">
        <v>93.64</v>
      </c>
      <c r="K661">
        <v>8</v>
      </c>
      <c r="L661">
        <v>7.48</v>
      </c>
      <c r="M661">
        <v>0.6</v>
      </c>
      <c r="P661">
        <v>2.0541309619999999</v>
      </c>
      <c r="Q661">
        <v>464.56120470000002</v>
      </c>
      <c r="R661">
        <v>7.33</v>
      </c>
      <c r="S661">
        <v>622984</v>
      </c>
      <c r="T661">
        <v>6.6111110000000002</v>
      </c>
      <c r="U661">
        <v>20.939444000000002</v>
      </c>
    </row>
    <row r="662" spans="1:21">
      <c r="A662" t="s">
        <v>52</v>
      </c>
      <c r="B662">
        <v>2009</v>
      </c>
      <c r="C662">
        <v>260.59473000000003</v>
      </c>
      <c r="D662">
        <v>170.00000180000001</v>
      </c>
      <c r="E662">
        <v>0.02</v>
      </c>
      <c r="F662">
        <v>0</v>
      </c>
      <c r="G662">
        <v>0.14000000000000001</v>
      </c>
      <c r="H662">
        <v>87.5</v>
      </c>
      <c r="I662">
        <v>4.37</v>
      </c>
      <c r="J662">
        <v>93.91</v>
      </c>
      <c r="K662">
        <v>8</v>
      </c>
      <c r="L662">
        <v>9.2528749999999995</v>
      </c>
      <c r="M662">
        <v>0.6</v>
      </c>
      <c r="O662">
        <v>4190000</v>
      </c>
      <c r="P662">
        <v>8.5872604260000003</v>
      </c>
      <c r="Q662">
        <v>474.70562749999999</v>
      </c>
      <c r="R662">
        <v>6.89</v>
      </c>
      <c r="S662">
        <v>622984</v>
      </c>
      <c r="T662">
        <v>6.6111110000000002</v>
      </c>
      <c r="U662">
        <v>20.939444000000002</v>
      </c>
    </row>
    <row r="663" spans="1:21">
      <c r="A663" t="s">
        <v>52</v>
      </c>
      <c r="B663">
        <v>2010</v>
      </c>
      <c r="C663">
        <v>260.01819999999998</v>
      </c>
      <c r="D663">
        <v>170.00000180000001</v>
      </c>
      <c r="E663">
        <v>0.03</v>
      </c>
      <c r="F663">
        <v>0</v>
      </c>
      <c r="G663">
        <v>0.13</v>
      </c>
      <c r="H663">
        <v>81.25</v>
      </c>
      <c r="I663">
        <v>4.32</v>
      </c>
      <c r="J663">
        <v>93.84</v>
      </c>
      <c r="K663">
        <v>8</v>
      </c>
      <c r="L663">
        <v>9.8000000000000007</v>
      </c>
      <c r="M663">
        <v>0.5</v>
      </c>
      <c r="P663">
        <v>4.6308184319999999</v>
      </c>
      <c r="Q663">
        <v>488.42173580000002</v>
      </c>
      <c r="R663">
        <v>6.76</v>
      </c>
      <c r="S663">
        <v>622984</v>
      </c>
      <c r="T663">
        <v>6.6111110000000002</v>
      </c>
      <c r="U663">
        <v>20.939444000000002</v>
      </c>
    </row>
    <row r="664" spans="1:21">
      <c r="A664" t="s">
        <v>52</v>
      </c>
      <c r="B664">
        <v>2011</v>
      </c>
      <c r="C664">
        <v>279.48138</v>
      </c>
      <c r="D664">
        <v>189.9999976</v>
      </c>
      <c r="E664">
        <v>0.03</v>
      </c>
      <c r="F664">
        <v>0</v>
      </c>
      <c r="G664">
        <v>0.15</v>
      </c>
      <c r="H664">
        <v>83.333336000000003</v>
      </c>
      <c r="I664">
        <v>4.3099999999999996</v>
      </c>
      <c r="J664">
        <v>93.33</v>
      </c>
      <c r="K664">
        <v>8</v>
      </c>
      <c r="L664">
        <v>10.246648</v>
      </c>
      <c r="M664">
        <v>0.5</v>
      </c>
      <c r="O664">
        <v>32850000</v>
      </c>
      <c r="P664">
        <v>4.1946153370000001</v>
      </c>
      <c r="Q664">
        <v>551.74972190000005</v>
      </c>
      <c r="R664">
        <v>6.68</v>
      </c>
      <c r="S664">
        <v>622984</v>
      </c>
      <c r="T664">
        <v>6.6111110000000002</v>
      </c>
      <c r="U664">
        <v>20.939444000000002</v>
      </c>
    </row>
    <row r="665" spans="1:21">
      <c r="A665" t="s">
        <v>52</v>
      </c>
      <c r="B665">
        <v>2012</v>
      </c>
      <c r="C665">
        <v>282.51350000000002</v>
      </c>
      <c r="D665">
        <v>200.00000299999999</v>
      </c>
      <c r="E665">
        <v>0.03</v>
      </c>
      <c r="F665">
        <v>0</v>
      </c>
      <c r="G665">
        <v>0.15</v>
      </c>
      <c r="H665">
        <v>83.333336000000003</v>
      </c>
      <c r="I665">
        <v>4.32</v>
      </c>
      <c r="J665">
        <v>93.07</v>
      </c>
      <c r="K665">
        <v>8</v>
      </c>
      <c r="L665">
        <v>10.868861000000001</v>
      </c>
      <c r="M665">
        <v>0.6</v>
      </c>
      <c r="P665">
        <v>5.0537612540000003</v>
      </c>
      <c r="Q665">
        <v>565.80120710000006</v>
      </c>
      <c r="R665">
        <v>6.25</v>
      </c>
      <c r="S665">
        <v>622984</v>
      </c>
      <c r="T665">
        <v>6.6111110000000002</v>
      </c>
      <c r="U665">
        <v>20.939444000000002</v>
      </c>
    </row>
    <row r="666" spans="1:21">
      <c r="A666" t="s">
        <v>52</v>
      </c>
      <c r="B666">
        <v>2013</v>
      </c>
      <c r="C666">
        <v>206.79347000000001</v>
      </c>
      <c r="D666">
        <v>119.9999973</v>
      </c>
      <c r="E666">
        <v>0</v>
      </c>
      <c r="F666">
        <v>0</v>
      </c>
      <c r="G666">
        <v>0.14000000000000001</v>
      </c>
      <c r="H666">
        <v>100</v>
      </c>
      <c r="I666">
        <v>4.3</v>
      </c>
      <c r="J666">
        <v>95.08</v>
      </c>
      <c r="K666">
        <v>8</v>
      </c>
      <c r="L666">
        <v>11.469141</v>
      </c>
      <c r="M666">
        <v>0.6</v>
      </c>
      <c r="P666">
        <v>-36.391977099999998</v>
      </c>
      <c r="Q666">
        <v>380.29791110000002</v>
      </c>
      <c r="R666">
        <v>9.3000000000000007</v>
      </c>
      <c r="S666">
        <v>622984</v>
      </c>
      <c r="T666">
        <v>6.6111110000000002</v>
      </c>
      <c r="U666">
        <v>20.939444000000002</v>
      </c>
    </row>
    <row r="667" spans="1:21">
      <c r="A667" t="s">
        <v>52</v>
      </c>
      <c r="B667">
        <v>2014</v>
      </c>
      <c r="C667">
        <v>238.23832999999999</v>
      </c>
      <c r="D667">
        <v>129.9999952</v>
      </c>
      <c r="E667">
        <v>0</v>
      </c>
      <c r="F667">
        <v>0</v>
      </c>
      <c r="G667">
        <v>0.17</v>
      </c>
      <c r="H667">
        <v>100</v>
      </c>
      <c r="I667">
        <v>4.29</v>
      </c>
      <c r="J667">
        <v>94.82</v>
      </c>
      <c r="K667">
        <v>8</v>
      </c>
      <c r="L667">
        <v>12.057397</v>
      </c>
      <c r="M667">
        <v>0.6</v>
      </c>
      <c r="O667">
        <v>0</v>
      </c>
      <c r="P667">
        <v>8.1070514999999996E-2</v>
      </c>
      <c r="Q667">
        <v>424.44913170000001</v>
      </c>
      <c r="R667">
        <v>9.5500000000000007</v>
      </c>
      <c r="S667">
        <v>622984</v>
      </c>
      <c r="T667">
        <v>6.6111110000000002</v>
      </c>
      <c r="U667">
        <v>20.939444000000002</v>
      </c>
    </row>
    <row r="668" spans="1:21">
      <c r="A668" t="s">
        <v>52</v>
      </c>
      <c r="B668">
        <v>2015</v>
      </c>
      <c r="C668">
        <v>297.00418000000002</v>
      </c>
      <c r="D668">
        <v>189.9999976</v>
      </c>
      <c r="E668">
        <v>0</v>
      </c>
      <c r="F668">
        <v>0</v>
      </c>
      <c r="G668">
        <v>0.17</v>
      </c>
      <c r="H668">
        <v>100</v>
      </c>
      <c r="I668">
        <v>4.26</v>
      </c>
      <c r="J668">
        <v>92.86</v>
      </c>
      <c r="K668">
        <v>8</v>
      </c>
      <c r="L668">
        <v>12.727029999999999</v>
      </c>
      <c r="M668">
        <v>0.6</v>
      </c>
      <c r="O668">
        <v>670000</v>
      </c>
      <c r="P668">
        <v>4.3371210299999996</v>
      </c>
      <c r="Q668">
        <v>377.42291770000003</v>
      </c>
      <c r="R668">
        <v>9.4</v>
      </c>
      <c r="S668">
        <v>622984</v>
      </c>
      <c r="T668">
        <v>6.6111110000000002</v>
      </c>
      <c r="U668">
        <v>20.939444000000002</v>
      </c>
    </row>
    <row r="669" spans="1:21">
      <c r="A669" t="s">
        <v>52</v>
      </c>
      <c r="B669">
        <v>2016</v>
      </c>
      <c r="C669">
        <v>307.30529999999999</v>
      </c>
      <c r="D669">
        <v>209.99999339999999</v>
      </c>
      <c r="E669">
        <v>0</v>
      </c>
      <c r="F669">
        <v>0</v>
      </c>
      <c r="G669">
        <v>0.17</v>
      </c>
      <c r="H669">
        <v>100</v>
      </c>
      <c r="I669">
        <v>4.22</v>
      </c>
      <c r="J669">
        <v>92.11</v>
      </c>
      <c r="K669">
        <v>8</v>
      </c>
      <c r="L669">
        <v>13.533816</v>
      </c>
      <c r="M669">
        <v>0.7</v>
      </c>
      <c r="O669">
        <v>0</v>
      </c>
      <c r="P669">
        <v>4.7503168410000001</v>
      </c>
      <c r="Q669">
        <v>402.19164510000002</v>
      </c>
      <c r="R669">
        <v>9.1199999999999992</v>
      </c>
      <c r="S669">
        <v>622984</v>
      </c>
      <c r="T669">
        <v>6.6111110000000002</v>
      </c>
      <c r="U669">
        <v>20.939444000000002</v>
      </c>
    </row>
    <row r="670" spans="1:21">
      <c r="A670" t="s">
        <v>52</v>
      </c>
      <c r="B670">
        <v>2017</v>
      </c>
      <c r="C670">
        <v>301.66687000000002</v>
      </c>
      <c r="D670">
        <v>219.99999879999999</v>
      </c>
      <c r="E670">
        <v>0</v>
      </c>
      <c r="F670">
        <v>0</v>
      </c>
      <c r="G670">
        <v>0.15</v>
      </c>
      <c r="H670">
        <v>100</v>
      </c>
      <c r="I670">
        <v>4.17</v>
      </c>
      <c r="J670">
        <v>91.58</v>
      </c>
      <c r="K670">
        <v>8</v>
      </c>
      <c r="L670">
        <v>14.299541</v>
      </c>
      <c r="M670">
        <v>0.7</v>
      </c>
      <c r="O670">
        <v>30000</v>
      </c>
      <c r="P670">
        <v>4.5272782129999998</v>
      </c>
      <c r="Q670">
        <v>450.9006579</v>
      </c>
      <c r="R670">
        <v>8.8000000000000007</v>
      </c>
      <c r="S670">
        <v>622984</v>
      </c>
      <c r="T670">
        <v>6.6111110000000002</v>
      </c>
      <c r="U670">
        <v>20.939444000000002</v>
      </c>
    </row>
    <row r="671" spans="1:21">
      <c r="A671" t="s">
        <v>52</v>
      </c>
      <c r="B671">
        <v>2018</v>
      </c>
      <c r="C671">
        <v>302.45891999999998</v>
      </c>
      <c r="D671">
        <v>230.00000420000001</v>
      </c>
      <c r="E671">
        <v>0</v>
      </c>
      <c r="F671">
        <v>0</v>
      </c>
      <c r="G671">
        <v>0.15</v>
      </c>
      <c r="H671">
        <v>100</v>
      </c>
      <c r="I671">
        <v>4.0999999999999996</v>
      </c>
      <c r="J671">
        <v>91.42</v>
      </c>
      <c r="K671">
        <v>8</v>
      </c>
      <c r="L671">
        <v>14.842376</v>
      </c>
      <c r="M671">
        <v>0.7</v>
      </c>
      <c r="O671">
        <v>3730000</v>
      </c>
      <c r="P671">
        <v>3.7894435930000001</v>
      </c>
      <c r="Q671">
        <v>475.9538139</v>
      </c>
      <c r="R671">
        <v>8.56</v>
      </c>
      <c r="S671">
        <v>622984</v>
      </c>
      <c r="T671">
        <v>6.6111110000000002</v>
      </c>
      <c r="U671">
        <v>20.939444000000002</v>
      </c>
    </row>
    <row r="672" spans="1:21">
      <c r="A672" t="s">
        <v>52</v>
      </c>
      <c r="B672">
        <v>2019</v>
      </c>
      <c r="C672">
        <v>299.18007999999998</v>
      </c>
      <c r="D672">
        <v>239.99999460000001</v>
      </c>
      <c r="E672">
        <v>0</v>
      </c>
      <c r="F672">
        <v>0</v>
      </c>
      <c r="G672">
        <v>0.15</v>
      </c>
      <c r="H672">
        <v>100</v>
      </c>
      <c r="I672">
        <v>4.04</v>
      </c>
      <c r="J672">
        <v>91.26</v>
      </c>
      <c r="K672">
        <v>8</v>
      </c>
      <c r="L672">
        <v>14.3</v>
      </c>
      <c r="M672">
        <v>0.7</v>
      </c>
      <c r="O672">
        <v>50050000</v>
      </c>
      <c r="P672">
        <v>3</v>
      </c>
      <c r="Q672">
        <v>467.9080323</v>
      </c>
      <c r="R672">
        <v>8.39</v>
      </c>
      <c r="S672">
        <v>622984</v>
      </c>
      <c r="T672">
        <v>6.6111110000000002</v>
      </c>
      <c r="U672">
        <v>20.939444000000002</v>
      </c>
    </row>
    <row r="673" spans="1:21">
      <c r="A673" t="s">
        <v>52</v>
      </c>
      <c r="B673">
        <v>2020</v>
      </c>
      <c r="C673">
        <v>280.73853000000003</v>
      </c>
      <c r="E673">
        <v>0</v>
      </c>
      <c r="F673">
        <v>0</v>
      </c>
      <c r="G673">
        <v>0.15</v>
      </c>
      <c r="H673">
        <v>100</v>
      </c>
      <c r="I673">
        <v>3.97</v>
      </c>
      <c r="K673">
        <v>8</v>
      </c>
      <c r="L673">
        <v>15.465083999999999</v>
      </c>
      <c r="M673">
        <v>0.8</v>
      </c>
      <c r="P673">
        <v>0.82901000300000005</v>
      </c>
      <c r="Q673">
        <v>492.79587120000002</v>
      </c>
      <c r="S673">
        <v>622984</v>
      </c>
      <c r="T673">
        <v>6.6111110000000002</v>
      </c>
      <c r="U673">
        <v>20.939444000000002</v>
      </c>
    </row>
    <row r="674" spans="1:21">
      <c r="A674" t="s">
        <v>53</v>
      </c>
      <c r="B674">
        <v>2000</v>
      </c>
      <c r="C674">
        <v>124.966064</v>
      </c>
      <c r="D674">
        <v>290</v>
      </c>
      <c r="E674">
        <v>0.08</v>
      </c>
      <c r="F674">
        <v>0</v>
      </c>
      <c r="G674">
        <v>0.01</v>
      </c>
      <c r="H674">
        <v>11.111110999999999</v>
      </c>
      <c r="I674">
        <v>0.24</v>
      </c>
      <c r="J674">
        <v>88.7</v>
      </c>
      <c r="K674">
        <v>13</v>
      </c>
      <c r="L674">
        <v>3.1798812999999999</v>
      </c>
      <c r="M674">
        <v>3</v>
      </c>
      <c r="P674">
        <v>-0.87968102500000001</v>
      </c>
      <c r="Q674">
        <v>166.17570889999999</v>
      </c>
      <c r="R674">
        <v>8.2100000000000009</v>
      </c>
      <c r="S674">
        <v>1284000</v>
      </c>
      <c r="T674">
        <v>15.454166000000001</v>
      </c>
      <c r="U674">
        <v>18.732206999999999</v>
      </c>
    </row>
    <row r="675" spans="1:21">
      <c r="A675" t="s">
        <v>53</v>
      </c>
      <c r="B675">
        <v>2001</v>
      </c>
      <c r="C675">
        <v>116.015</v>
      </c>
      <c r="D675">
        <v>340</v>
      </c>
      <c r="E675">
        <v>0.09</v>
      </c>
      <c r="F675">
        <v>0</v>
      </c>
      <c r="G675">
        <v>0.01</v>
      </c>
      <c r="H675">
        <v>10</v>
      </c>
      <c r="I675">
        <v>0.23</v>
      </c>
      <c r="J675">
        <v>88.6</v>
      </c>
      <c r="K675">
        <v>13</v>
      </c>
      <c r="L675">
        <v>3.5271143999999999</v>
      </c>
      <c r="M675">
        <v>2.8</v>
      </c>
      <c r="O675">
        <v>5880000</v>
      </c>
      <c r="P675">
        <v>11.658134649999999</v>
      </c>
      <c r="Q675">
        <v>197.1460821</v>
      </c>
      <c r="R675">
        <v>7.51</v>
      </c>
      <c r="S675">
        <v>1284000</v>
      </c>
      <c r="T675">
        <v>15.454166000000001</v>
      </c>
      <c r="U675">
        <v>18.732206999999999</v>
      </c>
    </row>
    <row r="676" spans="1:21">
      <c r="A676" t="s">
        <v>53</v>
      </c>
      <c r="B676">
        <v>2002</v>
      </c>
      <c r="C676">
        <v>110.641914</v>
      </c>
      <c r="D676">
        <v>400.00000599999998</v>
      </c>
      <c r="E676">
        <v>0.09</v>
      </c>
      <c r="F676">
        <v>0</v>
      </c>
      <c r="G676">
        <v>0.01</v>
      </c>
      <c r="H676">
        <v>10</v>
      </c>
      <c r="I676">
        <v>0.22</v>
      </c>
      <c r="J676">
        <v>88.53</v>
      </c>
      <c r="K676">
        <v>13</v>
      </c>
      <c r="L676">
        <v>3.8667628999999999</v>
      </c>
      <c r="M676">
        <v>2.5</v>
      </c>
      <c r="P676">
        <v>8.4912098189999998</v>
      </c>
      <c r="Q676">
        <v>221.41653690000001</v>
      </c>
      <c r="R676">
        <v>7.05</v>
      </c>
      <c r="S676">
        <v>1284000</v>
      </c>
      <c r="T676">
        <v>15.454166000000001</v>
      </c>
      <c r="U676">
        <v>18.732206999999999</v>
      </c>
    </row>
    <row r="677" spans="1:21">
      <c r="A677" t="s">
        <v>53</v>
      </c>
      <c r="B677">
        <v>2003</v>
      </c>
      <c r="C677">
        <v>105.11011999999999</v>
      </c>
      <c r="D677">
        <v>449.9999881</v>
      </c>
      <c r="E677">
        <v>0.1</v>
      </c>
      <c r="F677">
        <v>0</v>
      </c>
      <c r="G677">
        <v>0.01</v>
      </c>
      <c r="H677">
        <v>9.0909089999999999</v>
      </c>
      <c r="I677">
        <v>0.21</v>
      </c>
      <c r="J677">
        <v>83.91</v>
      </c>
      <c r="K677">
        <v>13</v>
      </c>
      <c r="L677">
        <v>4.2011760000000002</v>
      </c>
      <c r="M677">
        <v>2.5</v>
      </c>
      <c r="P677">
        <v>14.721667010000001</v>
      </c>
      <c r="Q677">
        <v>292.60088020000001</v>
      </c>
      <c r="R677">
        <v>6.56</v>
      </c>
      <c r="S677">
        <v>1284000</v>
      </c>
      <c r="T677">
        <v>15.454166000000001</v>
      </c>
      <c r="U677">
        <v>18.732206999999999</v>
      </c>
    </row>
    <row r="678" spans="1:21">
      <c r="A678" t="s">
        <v>53</v>
      </c>
      <c r="B678">
        <v>2004</v>
      </c>
      <c r="C678">
        <v>105.9355</v>
      </c>
      <c r="D678">
        <v>449.9999881</v>
      </c>
      <c r="E678">
        <v>0.11</v>
      </c>
      <c r="F678">
        <v>0</v>
      </c>
      <c r="G678">
        <v>0.01</v>
      </c>
      <c r="H678">
        <v>8.3333340000000007</v>
      </c>
      <c r="I678">
        <v>0.2</v>
      </c>
      <c r="J678">
        <v>84</v>
      </c>
      <c r="K678">
        <v>13</v>
      </c>
      <c r="L678">
        <v>3.5</v>
      </c>
      <c r="M678">
        <v>2.4500000000000002</v>
      </c>
      <c r="P678">
        <v>33.629371849999998</v>
      </c>
      <c r="Q678">
        <v>454.33636519999999</v>
      </c>
      <c r="R678">
        <v>5</v>
      </c>
      <c r="S678">
        <v>1284000</v>
      </c>
      <c r="T678">
        <v>15.454166000000001</v>
      </c>
      <c r="U678">
        <v>18.732206999999999</v>
      </c>
    </row>
    <row r="679" spans="1:21">
      <c r="A679" t="s">
        <v>53</v>
      </c>
      <c r="B679">
        <v>2005</v>
      </c>
      <c r="C679">
        <v>109.55552</v>
      </c>
      <c r="D679">
        <v>479.99998929999998</v>
      </c>
      <c r="E679">
        <v>0.11</v>
      </c>
      <c r="F679">
        <v>0</v>
      </c>
      <c r="G679">
        <v>0.01</v>
      </c>
      <c r="H679">
        <v>8.3333340000000007</v>
      </c>
      <c r="I679">
        <v>0.2</v>
      </c>
      <c r="J679">
        <v>83.82</v>
      </c>
      <c r="K679">
        <v>13</v>
      </c>
      <c r="L679">
        <v>4.8636936999999998</v>
      </c>
      <c r="M679">
        <v>2.4</v>
      </c>
      <c r="P679">
        <v>17.332533739999999</v>
      </c>
      <c r="Q679">
        <v>658.56697299999996</v>
      </c>
      <c r="R679">
        <v>4.3499999999999996</v>
      </c>
      <c r="S679">
        <v>1284000</v>
      </c>
      <c r="T679">
        <v>15.454166000000001</v>
      </c>
      <c r="U679">
        <v>18.732206999999999</v>
      </c>
    </row>
    <row r="680" spans="1:21">
      <c r="A680" t="s">
        <v>53</v>
      </c>
      <c r="B680">
        <v>2006</v>
      </c>
      <c r="C680">
        <v>107.34139999999999</v>
      </c>
      <c r="D680">
        <v>509.99999050000002</v>
      </c>
      <c r="E680">
        <v>0.12</v>
      </c>
      <c r="F680">
        <v>0</v>
      </c>
      <c r="G680">
        <v>0.01</v>
      </c>
      <c r="H680">
        <v>7.6923079999999997</v>
      </c>
      <c r="I680">
        <v>0.19</v>
      </c>
      <c r="J680">
        <v>83.74</v>
      </c>
      <c r="K680">
        <v>13</v>
      </c>
      <c r="L680">
        <v>5.1965566000000001</v>
      </c>
      <c r="M680">
        <v>2.4</v>
      </c>
      <c r="P680">
        <v>0.64826201400000005</v>
      </c>
      <c r="Q680">
        <v>710.39639869999996</v>
      </c>
      <c r="R680">
        <v>4.4000000000000004</v>
      </c>
      <c r="S680">
        <v>1284000</v>
      </c>
      <c r="T680">
        <v>15.454166000000001</v>
      </c>
      <c r="U680">
        <v>18.732206999999999</v>
      </c>
    </row>
    <row r="681" spans="1:21">
      <c r="A681" t="s">
        <v>53</v>
      </c>
      <c r="B681">
        <v>2007</v>
      </c>
      <c r="C681">
        <v>114.51404599999999</v>
      </c>
      <c r="D681">
        <v>500</v>
      </c>
      <c r="E681">
        <v>0.12</v>
      </c>
      <c r="F681">
        <v>0</v>
      </c>
      <c r="G681">
        <v>0</v>
      </c>
      <c r="H681">
        <v>0</v>
      </c>
      <c r="I681">
        <v>0.19</v>
      </c>
      <c r="J681">
        <v>82.8</v>
      </c>
      <c r="K681">
        <v>13</v>
      </c>
      <c r="L681">
        <v>5.5339410000000004</v>
      </c>
      <c r="M681">
        <v>2.2999999999999998</v>
      </c>
      <c r="O681">
        <v>25860000</v>
      </c>
      <c r="P681">
        <v>3.2714995789999999</v>
      </c>
      <c r="Q681">
        <v>799.60374200000001</v>
      </c>
      <c r="R681">
        <v>4.38</v>
      </c>
      <c r="S681">
        <v>1284000</v>
      </c>
      <c r="T681">
        <v>15.454166000000001</v>
      </c>
      <c r="U681">
        <v>18.732206999999999</v>
      </c>
    </row>
    <row r="682" spans="1:21">
      <c r="A682" t="s">
        <v>53</v>
      </c>
      <c r="B682">
        <v>2008</v>
      </c>
      <c r="C682">
        <v>116.01666</v>
      </c>
      <c r="D682">
        <v>540.0000215</v>
      </c>
      <c r="E682">
        <v>0.14000000000000001</v>
      </c>
      <c r="F682">
        <v>0</v>
      </c>
      <c r="G682">
        <v>0</v>
      </c>
      <c r="H682">
        <v>0</v>
      </c>
      <c r="I682">
        <v>0.18</v>
      </c>
      <c r="J682">
        <v>80.63</v>
      </c>
      <c r="K682">
        <v>13</v>
      </c>
      <c r="L682">
        <v>5.8785562999999996</v>
      </c>
      <c r="M682">
        <v>2.2999999999999998</v>
      </c>
      <c r="P682">
        <v>3.0526915319999999</v>
      </c>
      <c r="Q682">
        <v>929.38275190000002</v>
      </c>
      <c r="R682">
        <v>4.43</v>
      </c>
      <c r="S682">
        <v>1284000</v>
      </c>
      <c r="T682">
        <v>15.454166000000001</v>
      </c>
      <c r="U682">
        <v>18.732206999999999</v>
      </c>
    </row>
    <row r="683" spans="1:21">
      <c r="A683" t="s">
        <v>53</v>
      </c>
      <c r="B683">
        <v>2009</v>
      </c>
      <c r="C683">
        <v>122.113625</v>
      </c>
      <c r="D683">
        <v>790.0000215</v>
      </c>
      <c r="E683">
        <v>0.17</v>
      </c>
      <c r="F683">
        <v>0</v>
      </c>
      <c r="G683">
        <v>0.01</v>
      </c>
      <c r="H683">
        <v>5.5555553</v>
      </c>
      <c r="I683">
        <v>0.17</v>
      </c>
      <c r="J683">
        <v>79.78</v>
      </c>
      <c r="K683">
        <v>13</v>
      </c>
      <c r="L683">
        <v>6.2331114000000003</v>
      </c>
      <c r="M683">
        <v>2.5</v>
      </c>
      <c r="P683">
        <v>4.2176955520000003</v>
      </c>
      <c r="Q683">
        <v>803.68638840000006</v>
      </c>
      <c r="R683">
        <v>4.37</v>
      </c>
      <c r="S683">
        <v>1284000</v>
      </c>
      <c r="T683">
        <v>15.454166000000001</v>
      </c>
      <c r="U683">
        <v>18.732206999999999</v>
      </c>
    </row>
    <row r="684" spans="1:21">
      <c r="A684" t="s">
        <v>53</v>
      </c>
      <c r="B684">
        <v>2010</v>
      </c>
      <c r="C684">
        <v>130.90942000000001</v>
      </c>
      <c r="D684">
        <v>1240.00001</v>
      </c>
      <c r="E684">
        <v>0.18</v>
      </c>
      <c r="F684">
        <v>0</v>
      </c>
      <c r="G684">
        <v>0.01</v>
      </c>
      <c r="H684">
        <v>5.2631579999999998</v>
      </c>
      <c r="I684">
        <v>0.17</v>
      </c>
      <c r="J684">
        <v>79.010000000000005</v>
      </c>
      <c r="K684">
        <v>13</v>
      </c>
      <c r="L684">
        <v>6.4</v>
      </c>
      <c r="M684">
        <v>2.6</v>
      </c>
      <c r="P684">
        <v>13.550100860000001</v>
      </c>
      <c r="Q684">
        <v>892.56886970000005</v>
      </c>
      <c r="R684">
        <v>3.95</v>
      </c>
      <c r="S684">
        <v>1284000</v>
      </c>
      <c r="T684">
        <v>15.454166000000001</v>
      </c>
      <c r="U684">
        <v>18.732206999999999</v>
      </c>
    </row>
    <row r="685" spans="1:21">
      <c r="A685" t="s">
        <v>53</v>
      </c>
      <c r="B685">
        <v>2011</v>
      </c>
      <c r="C685">
        <v>180.93430000000001</v>
      </c>
      <c r="D685">
        <v>1100.0000239999999</v>
      </c>
      <c r="E685">
        <v>0.18</v>
      </c>
      <c r="F685">
        <v>0</v>
      </c>
      <c r="G685">
        <v>0.01</v>
      </c>
      <c r="H685">
        <v>5.2631579999999998</v>
      </c>
      <c r="I685">
        <v>0.16</v>
      </c>
      <c r="J685">
        <v>82.37</v>
      </c>
      <c r="K685">
        <v>13</v>
      </c>
      <c r="L685">
        <v>8.98</v>
      </c>
      <c r="M685">
        <v>2.8</v>
      </c>
      <c r="O685">
        <v>0</v>
      </c>
      <c r="P685">
        <v>8.2869797999999995E-2</v>
      </c>
      <c r="Q685">
        <v>984.73613049999994</v>
      </c>
      <c r="R685">
        <v>4.08</v>
      </c>
      <c r="S685">
        <v>1284000</v>
      </c>
      <c r="T685">
        <v>15.454166000000001</v>
      </c>
      <c r="U685">
        <v>18.732206999999999</v>
      </c>
    </row>
    <row r="686" spans="1:21">
      <c r="A686" t="s">
        <v>53</v>
      </c>
      <c r="B686">
        <v>2012</v>
      </c>
      <c r="C686">
        <v>302.57126</v>
      </c>
      <c r="D686">
        <v>1860.000014</v>
      </c>
      <c r="E686">
        <v>0.23</v>
      </c>
      <c r="F686">
        <v>0</v>
      </c>
      <c r="G686">
        <v>0</v>
      </c>
      <c r="H686">
        <v>0</v>
      </c>
      <c r="I686">
        <v>0.16</v>
      </c>
      <c r="J686">
        <v>79.73</v>
      </c>
      <c r="K686">
        <v>13</v>
      </c>
      <c r="L686">
        <v>7.8354059999999999</v>
      </c>
      <c r="M686">
        <v>2.9</v>
      </c>
      <c r="P686">
        <v>8.8825760720000009</v>
      </c>
      <c r="Q686">
        <v>967.35294880000004</v>
      </c>
      <c r="R686">
        <v>3.62</v>
      </c>
      <c r="S686">
        <v>1284000</v>
      </c>
      <c r="T686">
        <v>15.454166000000001</v>
      </c>
      <c r="U686">
        <v>18.732206999999999</v>
      </c>
    </row>
    <row r="687" spans="1:21">
      <c r="A687" t="s">
        <v>53</v>
      </c>
      <c r="B687">
        <v>2013</v>
      </c>
      <c r="C687">
        <v>302.86110000000002</v>
      </c>
      <c r="D687">
        <v>2190.0000570000002</v>
      </c>
      <c r="E687">
        <v>0.26</v>
      </c>
      <c r="F687">
        <v>0</v>
      </c>
      <c r="G687">
        <v>0</v>
      </c>
      <c r="H687">
        <v>0</v>
      </c>
      <c r="I687">
        <v>0.16</v>
      </c>
      <c r="J687">
        <v>76.45</v>
      </c>
      <c r="K687">
        <v>13</v>
      </c>
      <c r="L687">
        <v>8.1265579999999993</v>
      </c>
      <c r="M687">
        <v>3.3</v>
      </c>
      <c r="O687">
        <v>30000</v>
      </c>
      <c r="P687">
        <v>5.7000013630000002</v>
      </c>
      <c r="Q687">
        <v>979.8117426</v>
      </c>
      <c r="R687">
        <v>3.55</v>
      </c>
      <c r="S687">
        <v>1284000</v>
      </c>
      <c r="T687">
        <v>15.454166000000001</v>
      </c>
      <c r="U687">
        <v>18.732206999999999</v>
      </c>
    </row>
    <row r="688" spans="1:21">
      <c r="A688" t="s">
        <v>53</v>
      </c>
      <c r="B688">
        <v>2014</v>
      </c>
      <c r="C688">
        <v>303.73856000000001</v>
      </c>
      <c r="D688">
        <v>2259.9999899999998</v>
      </c>
      <c r="E688">
        <v>0.27</v>
      </c>
      <c r="F688">
        <v>0</v>
      </c>
      <c r="G688">
        <v>0</v>
      </c>
      <c r="H688">
        <v>0</v>
      </c>
      <c r="I688">
        <v>0.15</v>
      </c>
      <c r="J688">
        <v>76.86</v>
      </c>
      <c r="K688">
        <v>13</v>
      </c>
      <c r="L688">
        <v>8.4056850000000001</v>
      </c>
      <c r="M688">
        <v>3.7</v>
      </c>
      <c r="O688">
        <v>20000</v>
      </c>
      <c r="P688">
        <v>6.8999850450000002</v>
      </c>
      <c r="Q688">
        <v>1020.287979</v>
      </c>
      <c r="R688">
        <v>3.53</v>
      </c>
      <c r="S688">
        <v>1284000</v>
      </c>
      <c r="T688">
        <v>15.454166000000001</v>
      </c>
      <c r="U688">
        <v>18.732206999999999</v>
      </c>
    </row>
    <row r="689" spans="1:21">
      <c r="A689" t="s">
        <v>53</v>
      </c>
      <c r="B689">
        <v>2015</v>
      </c>
      <c r="C689">
        <v>298.34582999999998</v>
      </c>
      <c r="D689">
        <v>2390.0001050000001</v>
      </c>
      <c r="E689">
        <v>0.28000000000000003</v>
      </c>
      <c r="F689">
        <v>0</v>
      </c>
      <c r="G689">
        <v>0</v>
      </c>
      <c r="H689">
        <v>0</v>
      </c>
      <c r="I689">
        <v>0.15</v>
      </c>
      <c r="J689">
        <v>77.349999999999994</v>
      </c>
      <c r="K689">
        <v>13</v>
      </c>
      <c r="L689">
        <v>7.7</v>
      </c>
      <c r="M689">
        <v>4.0999999999999996</v>
      </c>
      <c r="O689">
        <v>20000</v>
      </c>
      <c r="P689">
        <v>2.7676756849999999</v>
      </c>
      <c r="Q689">
        <v>776.01975230000005</v>
      </c>
      <c r="R689">
        <v>3.31</v>
      </c>
      <c r="S689">
        <v>1284000</v>
      </c>
      <c r="T689">
        <v>15.454166000000001</v>
      </c>
      <c r="U689">
        <v>18.732206999999999</v>
      </c>
    </row>
    <row r="690" spans="1:21">
      <c r="A690" t="s">
        <v>53</v>
      </c>
      <c r="B690">
        <v>2016</v>
      </c>
      <c r="C690">
        <v>286.59064000000001</v>
      </c>
      <c r="D690">
        <v>2210.0000380000001</v>
      </c>
      <c r="E690">
        <v>0.28000000000000003</v>
      </c>
      <c r="F690">
        <v>0</v>
      </c>
      <c r="G690">
        <v>0.01</v>
      </c>
      <c r="H690">
        <v>3.4482759999999999</v>
      </c>
      <c r="I690">
        <v>0.22</v>
      </c>
      <c r="J690">
        <v>77.77</v>
      </c>
      <c r="K690">
        <v>13</v>
      </c>
      <c r="L690">
        <v>9.2638470000000002</v>
      </c>
      <c r="M690">
        <v>4.5999999999999996</v>
      </c>
      <c r="O690">
        <v>41330000</v>
      </c>
      <c r="P690">
        <v>-6.2555270849999998</v>
      </c>
      <c r="Q690">
        <v>693.44976740000004</v>
      </c>
      <c r="R690">
        <v>3.72</v>
      </c>
      <c r="S690">
        <v>1284000</v>
      </c>
      <c r="T690">
        <v>15.454166000000001</v>
      </c>
      <c r="U690">
        <v>18.732206999999999</v>
      </c>
    </row>
    <row r="691" spans="1:21">
      <c r="A691" t="s">
        <v>53</v>
      </c>
      <c r="B691">
        <v>2017</v>
      </c>
      <c r="C691">
        <v>446.25546000000003</v>
      </c>
      <c r="D691">
        <v>2150.0000949999999</v>
      </c>
      <c r="E691">
        <v>0.28999999999999998</v>
      </c>
      <c r="F691">
        <v>0</v>
      </c>
      <c r="G691">
        <v>0.01</v>
      </c>
      <c r="H691">
        <v>3.3333333000000001</v>
      </c>
      <c r="I691">
        <v>0.22</v>
      </c>
      <c r="J691">
        <v>78.27</v>
      </c>
      <c r="K691">
        <v>13</v>
      </c>
      <c r="L691">
        <v>10.9</v>
      </c>
      <c r="M691">
        <v>5.0999999999999996</v>
      </c>
      <c r="O691">
        <v>10000</v>
      </c>
      <c r="P691">
        <v>-2.9886959860000002</v>
      </c>
      <c r="Q691">
        <v>665.94888490000005</v>
      </c>
      <c r="R691">
        <v>3.87</v>
      </c>
      <c r="S691">
        <v>1284000</v>
      </c>
      <c r="T691">
        <v>15.454166000000001</v>
      </c>
      <c r="U691">
        <v>18.732206999999999</v>
      </c>
    </row>
    <row r="692" spans="1:21">
      <c r="A692" t="s">
        <v>53</v>
      </c>
      <c r="B692">
        <v>2018</v>
      </c>
      <c r="C692">
        <v>457.11847</v>
      </c>
      <c r="D692">
        <v>2190.0000570000002</v>
      </c>
      <c r="E692">
        <v>0.28999999999999998</v>
      </c>
      <c r="F692">
        <v>0</v>
      </c>
      <c r="G692">
        <v>0.01</v>
      </c>
      <c r="H692">
        <v>3.3333333000000001</v>
      </c>
      <c r="I692">
        <v>0.21</v>
      </c>
      <c r="J692">
        <v>77.7</v>
      </c>
      <c r="K692">
        <v>13</v>
      </c>
      <c r="L692">
        <v>10.114039999999999</v>
      </c>
      <c r="M692">
        <v>5.5</v>
      </c>
      <c r="P692">
        <v>2.3740378</v>
      </c>
      <c r="Q692">
        <v>726.15100710000002</v>
      </c>
      <c r="R692">
        <v>3.85</v>
      </c>
      <c r="S692">
        <v>1284000</v>
      </c>
      <c r="T692">
        <v>15.454166000000001</v>
      </c>
      <c r="U692">
        <v>18.732206999999999</v>
      </c>
    </row>
    <row r="693" spans="1:21">
      <c r="A693" t="s">
        <v>53</v>
      </c>
      <c r="B693">
        <v>2019</v>
      </c>
      <c r="C693">
        <v>458.18085000000002</v>
      </c>
      <c r="D693">
        <v>2250</v>
      </c>
      <c r="E693">
        <v>0.3</v>
      </c>
      <c r="F693">
        <v>0</v>
      </c>
      <c r="G693">
        <v>0.01</v>
      </c>
      <c r="H693">
        <v>3.2258065</v>
      </c>
      <c r="I693">
        <v>0.21</v>
      </c>
      <c r="J693">
        <v>77.790000000000006</v>
      </c>
      <c r="K693">
        <v>13</v>
      </c>
      <c r="L693">
        <v>8.4</v>
      </c>
      <c r="M693">
        <v>6.1</v>
      </c>
      <c r="P693">
        <v>3.2471819169999998</v>
      </c>
      <c r="Q693">
        <v>709.54004320000001</v>
      </c>
      <c r="R693">
        <v>3.77</v>
      </c>
      <c r="S693">
        <v>1284000</v>
      </c>
      <c r="T693">
        <v>15.454166000000001</v>
      </c>
      <c r="U693">
        <v>18.732206999999999</v>
      </c>
    </row>
    <row r="694" spans="1:21">
      <c r="A694" t="s">
        <v>53</v>
      </c>
      <c r="B694">
        <v>2020</v>
      </c>
      <c r="C694">
        <v>372.51089999999999</v>
      </c>
      <c r="E694">
        <v>0.28000000000000003</v>
      </c>
      <c r="F694">
        <v>0</v>
      </c>
      <c r="G694">
        <v>0.01</v>
      </c>
      <c r="H694">
        <v>3.4482759999999999</v>
      </c>
      <c r="I694">
        <v>0.2</v>
      </c>
      <c r="K694">
        <v>13</v>
      </c>
      <c r="L694">
        <v>11.080117</v>
      </c>
      <c r="M694">
        <v>6.8</v>
      </c>
      <c r="P694">
        <v>-0.94730488499999999</v>
      </c>
      <c r="Q694">
        <v>659.27004499999998</v>
      </c>
      <c r="S694">
        <v>1284000</v>
      </c>
      <c r="T694">
        <v>15.454166000000001</v>
      </c>
      <c r="U694">
        <v>18.732206999999999</v>
      </c>
    </row>
    <row r="695" spans="1:21">
      <c r="A695" t="s">
        <v>54</v>
      </c>
      <c r="B695">
        <v>2000</v>
      </c>
      <c r="C695">
        <v>20023.134999999998</v>
      </c>
      <c r="D695">
        <v>50420</v>
      </c>
      <c r="E695">
        <v>20.420000000000002</v>
      </c>
      <c r="G695">
        <v>18.48</v>
      </c>
      <c r="H695">
        <v>47.506424000000003</v>
      </c>
      <c r="I695">
        <v>290.18</v>
      </c>
      <c r="J695">
        <v>31.36</v>
      </c>
      <c r="K695">
        <v>26</v>
      </c>
      <c r="L695">
        <v>97.938689999999994</v>
      </c>
      <c r="M695">
        <v>100</v>
      </c>
      <c r="N695">
        <v>19.573402000000002</v>
      </c>
      <c r="O695">
        <v>460000</v>
      </c>
      <c r="P695">
        <v>5.3269384190000002</v>
      </c>
      <c r="Q695">
        <v>5074.9026160000003</v>
      </c>
      <c r="R695">
        <v>4.3899999999999997</v>
      </c>
      <c r="S695">
        <v>756096</v>
      </c>
      <c r="T695">
        <v>-35.675147000000003</v>
      </c>
      <c r="U695">
        <v>-71.542968999999999</v>
      </c>
    </row>
    <row r="696" spans="1:21">
      <c r="A696" t="s">
        <v>54</v>
      </c>
      <c r="B696">
        <v>2001</v>
      </c>
      <c r="C696">
        <v>20184.580000000002</v>
      </c>
      <c r="D696">
        <v>48430</v>
      </c>
      <c r="E696">
        <v>19.59</v>
      </c>
      <c r="G696">
        <v>21.03</v>
      </c>
      <c r="H696">
        <v>51.772525999999999</v>
      </c>
      <c r="I696">
        <v>286.86</v>
      </c>
      <c r="J696">
        <v>32.15</v>
      </c>
      <c r="K696">
        <v>26</v>
      </c>
      <c r="L696">
        <v>97.115809999999996</v>
      </c>
      <c r="M696">
        <v>100</v>
      </c>
      <c r="N696">
        <v>22.047360000000001</v>
      </c>
      <c r="O696">
        <v>150000</v>
      </c>
      <c r="P696">
        <v>3.303047313</v>
      </c>
      <c r="Q696">
        <v>4574.5947159999996</v>
      </c>
      <c r="R696">
        <v>4.17</v>
      </c>
      <c r="S696">
        <v>756096</v>
      </c>
      <c r="T696">
        <v>-35.675147000000003</v>
      </c>
      <c r="U696">
        <v>-71.542968999999999</v>
      </c>
    </row>
    <row r="697" spans="1:21">
      <c r="A697" t="s">
        <v>54</v>
      </c>
      <c r="B697">
        <v>2002</v>
      </c>
      <c r="C697">
        <v>20441.285</v>
      </c>
      <c r="D697">
        <v>49119.998930000002</v>
      </c>
      <c r="E697">
        <v>19.87</v>
      </c>
      <c r="G697">
        <v>22.5</v>
      </c>
      <c r="H697">
        <v>53.103610000000003</v>
      </c>
      <c r="I697">
        <v>285.57</v>
      </c>
      <c r="J697">
        <v>33.07</v>
      </c>
      <c r="K697">
        <v>26</v>
      </c>
      <c r="L697">
        <v>97.283680000000004</v>
      </c>
      <c r="M697">
        <v>100</v>
      </c>
      <c r="N697">
        <v>22.617270000000001</v>
      </c>
      <c r="O697">
        <v>30000</v>
      </c>
      <c r="P697">
        <v>3.1069705320000001</v>
      </c>
      <c r="Q697">
        <v>4446.2493709999999</v>
      </c>
      <c r="R697">
        <v>4.1900000000000004</v>
      </c>
      <c r="S697">
        <v>756096</v>
      </c>
      <c r="T697">
        <v>-35.675147000000003</v>
      </c>
      <c r="U697">
        <v>-71.542968999999999</v>
      </c>
    </row>
    <row r="698" spans="1:21">
      <c r="A698" t="s">
        <v>54</v>
      </c>
      <c r="B698">
        <v>2003</v>
      </c>
      <c r="C698">
        <v>20334.662</v>
      </c>
      <c r="D698">
        <v>50200.000760000003</v>
      </c>
      <c r="E698">
        <v>23.3</v>
      </c>
      <c r="G698">
        <v>21.84</v>
      </c>
      <c r="H698">
        <v>48.382809999999999</v>
      </c>
      <c r="I698">
        <v>283.29000000000002</v>
      </c>
      <c r="J698">
        <v>31.62</v>
      </c>
      <c r="K698">
        <v>26</v>
      </c>
      <c r="L698">
        <v>98.782325999999998</v>
      </c>
      <c r="M698">
        <v>100</v>
      </c>
      <c r="N698">
        <v>22.010808999999998</v>
      </c>
      <c r="O698">
        <v>70000</v>
      </c>
      <c r="P698">
        <v>4.0910476850000004</v>
      </c>
      <c r="Q698">
        <v>4772.5637230000002</v>
      </c>
      <c r="R698">
        <v>4.07</v>
      </c>
      <c r="S698">
        <v>756096</v>
      </c>
      <c r="T698">
        <v>-35.675147000000003</v>
      </c>
      <c r="U698">
        <v>-71.542968999999999</v>
      </c>
    </row>
    <row r="699" spans="1:21">
      <c r="A699" t="s">
        <v>54</v>
      </c>
      <c r="B699">
        <v>2004</v>
      </c>
      <c r="C699">
        <v>21494.553</v>
      </c>
      <c r="D699">
        <v>54970.001219999998</v>
      </c>
      <c r="E699">
        <v>27.79</v>
      </c>
      <c r="G699">
        <v>20.87</v>
      </c>
      <c r="H699">
        <v>42.88944</v>
      </c>
      <c r="I699">
        <v>327.57</v>
      </c>
      <c r="J699">
        <v>31.44</v>
      </c>
      <c r="K699">
        <v>26</v>
      </c>
      <c r="L699">
        <v>97.606089999999995</v>
      </c>
      <c r="M699">
        <v>100</v>
      </c>
      <c r="N699">
        <v>19.768446000000001</v>
      </c>
      <c r="O699">
        <v>2790000</v>
      </c>
      <c r="P699">
        <v>7.2095397090000004</v>
      </c>
      <c r="Q699">
        <v>6194.8527199999999</v>
      </c>
      <c r="R699">
        <v>4.04</v>
      </c>
      <c r="S699">
        <v>756096</v>
      </c>
      <c r="T699">
        <v>-35.675147000000003</v>
      </c>
      <c r="U699">
        <v>-71.542968999999999</v>
      </c>
    </row>
    <row r="700" spans="1:21">
      <c r="A700" t="s">
        <v>54</v>
      </c>
      <c r="B700">
        <v>2005</v>
      </c>
      <c r="C700">
        <v>22090.879000000001</v>
      </c>
      <c r="D700">
        <v>55970.001219999998</v>
      </c>
      <c r="E700">
        <v>25.2</v>
      </c>
      <c r="G700">
        <v>25.42</v>
      </c>
      <c r="H700">
        <v>50.217308000000003</v>
      </c>
      <c r="I700">
        <v>325.16000000000003</v>
      </c>
      <c r="J700">
        <v>32.26</v>
      </c>
      <c r="K700">
        <v>26</v>
      </c>
      <c r="L700">
        <v>97.765309999999999</v>
      </c>
      <c r="M700">
        <v>100</v>
      </c>
      <c r="N700">
        <v>22.415243</v>
      </c>
      <c r="O700">
        <v>50460000</v>
      </c>
      <c r="P700">
        <v>5.7428304890000001</v>
      </c>
      <c r="Q700">
        <v>7598.5288769999997</v>
      </c>
      <c r="R700">
        <v>3.94</v>
      </c>
      <c r="S700">
        <v>756096</v>
      </c>
      <c r="T700">
        <v>-35.675147000000003</v>
      </c>
      <c r="U700">
        <v>-71.542968999999999</v>
      </c>
    </row>
    <row r="701" spans="1:21">
      <c r="A701" t="s">
        <v>54</v>
      </c>
      <c r="B701">
        <v>2006</v>
      </c>
      <c r="C701">
        <v>22631.893</v>
      </c>
      <c r="D701">
        <v>57150.001530000001</v>
      </c>
      <c r="E701">
        <v>25.54</v>
      </c>
      <c r="G701">
        <v>28.03</v>
      </c>
      <c r="H701">
        <v>52.324061999999998</v>
      </c>
      <c r="I701">
        <v>322.11</v>
      </c>
      <c r="J701">
        <v>32.909999999999997</v>
      </c>
      <c r="K701">
        <v>26</v>
      </c>
      <c r="L701">
        <v>99.368110000000001</v>
      </c>
      <c r="M701">
        <v>100</v>
      </c>
      <c r="N701">
        <v>22.566658</v>
      </c>
      <c r="O701">
        <v>110000</v>
      </c>
      <c r="P701">
        <v>6.3171763429999999</v>
      </c>
      <c r="Q701">
        <v>9464.5485069999995</v>
      </c>
      <c r="R701">
        <v>3.86</v>
      </c>
      <c r="S701">
        <v>756096</v>
      </c>
      <c r="T701">
        <v>-35.675147000000003</v>
      </c>
      <c r="U701">
        <v>-71.542968999999999</v>
      </c>
    </row>
    <row r="702" spans="1:21">
      <c r="A702" t="s">
        <v>54</v>
      </c>
      <c r="B702">
        <v>2007</v>
      </c>
      <c r="C702">
        <v>22387.78</v>
      </c>
      <c r="D702">
        <v>64569.999689999997</v>
      </c>
      <c r="E702">
        <v>33.69</v>
      </c>
      <c r="G702">
        <v>22.29</v>
      </c>
      <c r="H702">
        <v>39.817790000000002</v>
      </c>
      <c r="I702">
        <v>327.89</v>
      </c>
      <c r="J702">
        <v>30.46</v>
      </c>
      <c r="K702">
        <v>26</v>
      </c>
      <c r="L702">
        <v>98.092020000000005</v>
      </c>
      <c r="M702">
        <v>100</v>
      </c>
      <c r="N702">
        <v>18.706136999999998</v>
      </c>
      <c r="O702">
        <v>93230000</v>
      </c>
      <c r="P702">
        <v>4.9053245040000002</v>
      </c>
      <c r="Q702">
        <v>10502.350710000001</v>
      </c>
      <c r="R702">
        <v>3.81</v>
      </c>
      <c r="S702">
        <v>756096</v>
      </c>
      <c r="T702">
        <v>-35.675147000000003</v>
      </c>
      <c r="U702">
        <v>-71.542968999999999</v>
      </c>
    </row>
    <row r="703" spans="1:21">
      <c r="A703" t="s">
        <v>54</v>
      </c>
      <c r="B703">
        <v>2008</v>
      </c>
      <c r="C703">
        <v>22165.26</v>
      </c>
      <c r="D703">
        <v>67989.997860000003</v>
      </c>
      <c r="E703">
        <v>32.590000000000003</v>
      </c>
      <c r="G703">
        <v>23.78</v>
      </c>
      <c r="H703">
        <v>42.185561999999997</v>
      </c>
      <c r="I703">
        <v>331.26</v>
      </c>
      <c r="J703">
        <v>30.83</v>
      </c>
      <c r="K703">
        <v>26</v>
      </c>
      <c r="L703">
        <v>98.264870000000002</v>
      </c>
      <c r="M703">
        <v>100</v>
      </c>
      <c r="N703">
        <v>20.915376999999999</v>
      </c>
      <c r="O703">
        <v>65320000</v>
      </c>
      <c r="P703">
        <v>3.5295305529999998</v>
      </c>
      <c r="Q703">
        <v>10751.481599999999</v>
      </c>
      <c r="R703">
        <v>3.65</v>
      </c>
      <c r="S703">
        <v>756096</v>
      </c>
      <c r="T703">
        <v>-35.675147000000003</v>
      </c>
      <c r="U703">
        <v>-71.542968999999999</v>
      </c>
    </row>
    <row r="704" spans="1:21">
      <c r="A704" t="s">
        <v>54</v>
      </c>
      <c r="B704">
        <v>2009</v>
      </c>
      <c r="C704">
        <v>21051.678</v>
      </c>
      <c r="D704">
        <v>65449.996950000001</v>
      </c>
      <c r="E704">
        <v>32.119999999999997</v>
      </c>
      <c r="G704">
        <v>24.57</v>
      </c>
      <c r="H704">
        <v>43.340977000000002</v>
      </c>
      <c r="I704">
        <v>361.58</v>
      </c>
      <c r="J704">
        <v>31.53</v>
      </c>
      <c r="K704">
        <v>26</v>
      </c>
      <c r="L704">
        <v>99.59366</v>
      </c>
      <c r="M704">
        <v>100</v>
      </c>
      <c r="N704">
        <v>21.777431</v>
      </c>
      <c r="O704">
        <v>56220000</v>
      </c>
      <c r="P704">
        <v>-1.564239443</v>
      </c>
      <c r="Q704">
        <v>10208.90797</v>
      </c>
      <c r="R704">
        <v>3.61</v>
      </c>
      <c r="S704">
        <v>756096</v>
      </c>
      <c r="T704">
        <v>-35.675147000000003</v>
      </c>
      <c r="U704">
        <v>-71.542968999999999</v>
      </c>
    </row>
    <row r="705" spans="1:21">
      <c r="A705" t="s">
        <v>54</v>
      </c>
      <c r="B705">
        <v>2010</v>
      </c>
      <c r="C705">
        <v>21403.439999999999</v>
      </c>
      <c r="D705">
        <v>69750</v>
      </c>
      <c r="E705">
        <v>36.71</v>
      </c>
      <c r="G705">
        <v>21.55</v>
      </c>
      <c r="H705">
        <v>36.989359999999998</v>
      </c>
      <c r="I705">
        <v>360.95</v>
      </c>
      <c r="J705">
        <v>27.04</v>
      </c>
      <c r="K705">
        <v>26</v>
      </c>
      <c r="L705">
        <v>99.538390000000007</v>
      </c>
      <c r="M705">
        <v>100</v>
      </c>
      <c r="N705">
        <v>19.264341000000002</v>
      </c>
      <c r="O705">
        <v>3200000</v>
      </c>
      <c r="P705">
        <v>5.8441772959999998</v>
      </c>
      <c r="Q705">
        <v>12808.038339999999</v>
      </c>
      <c r="R705">
        <v>3.56</v>
      </c>
      <c r="S705">
        <v>756096</v>
      </c>
      <c r="T705">
        <v>-35.675147000000003</v>
      </c>
      <c r="U705">
        <v>-71.542968999999999</v>
      </c>
    </row>
    <row r="706" spans="1:21">
      <c r="A706" t="s">
        <v>54</v>
      </c>
      <c r="B706">
        <v>2011</v>
      </c>
      <c r="C706">
        <v>22459.62</v>
      </c>
      <c r="D706">
        <v>76470.001220000006</v>
      </c>
      <c r="E706">
        <v>41</v>
      </c>
      <c r="G706">
        <v>21.04</v>
      </c>
      <c r="H706">
        <v>33.913604999999997</v>
      </c>
      <c r="I706">
        <v>388.65</v>
      </c>
      <c r="J706">
        <v>28.79</v>
      </c>
      <c r="K706">
        <v>26</v>
      </c>
      <c r="L706">
        <v>99.588195999999996</v>
      </c>
      <c r="M706">
        <v>100</v>
      </c>
      <c r="N706">
        <v>17.502324999999999</v>
      </c>
      <c r="O706">
        <v>68530000</v>
      </c>
      <c r="P706">
        <v>6.1109188290000001</v>
      </c>
      <c r="Q706">
        <v>14637.23344</v>
      </c>
      <c r="R706">
        <v>3.66</v>
      </c>
      <c r="S706">
        <v>756096</v>
      </c>
      <c r="T706">
        <v>-35.675147000000003</v>
      </c>
      <c r="U706">
        <v>-71.542968999999999</v>
      </c>
    </row>
    <row r="707" spans="1:21">
      <c r="A707" t="s">
        <v>54</v>
      </c>
      <c r="B707">
        <v>2012</v>
      </c>
      <c r="C707">
        <v>23224.074000000001</v>
      </c>
      <c r="D707">
        <v>78410.003660000002</v>
      </c>
      <c r="E707">
        <v>45.17</v>
      </c>
      <c r="G707">
        <v>20.59</v>
      </c>
      <c r="H707">
        <v>31.310825000000001</v>
      </c>
      <c r="I707">
        <v>405.49</v>
      </c>
      <c r="J707">
        <v>30.31</v>
      </c>
      <c r="K707">
        <v>26</v>
      </c>
      <c r="L707">
        <v>100</v>
      </c>
      <c r="M707">
        <v>100</v>
      </c>
      <c r="N707">
        <v>18.095960000000002</v>
      </c>
      <c r="O707">
        <v>1003530000</v>
      </c>
      <c r="P707">
        <v>5.3186280000000004</v>
      </c>
      <c r="Q707">
        <v>15351.54074</v>
      </c>
      <c r="R707">
        <v>3.84</v>
      </c>
      <c r="S707">
        <v>756096</v>
      </c>
      <c r="T707">
        <v>-35.675147000000003</v>
      </c>
      <c r="U707">
        <v>-71.542968999999999</v>
      </c>
    </row>
    <row r="708" spans="1:21">
      <c r="A708" t="s">
        <v>54</v>
      </c>
      <c r="B708">
        <v>2013</v>
      </c>
      <c r="C708">
        <v>23629.986000000001</v>
      </c>
      <c r="D708">
        <v>83000</v>
      </c>
      <c r="E708">
        <v>48</v>
      </c>
      <c r="G708">
        <v>20.170000000000002</v>
      </c>
      <c r="H708">
        <v>29.587795</v>
      </c>
      <c r="I708">
        <v>436.94</v>
      </c>
      <c r="J708">
        <v>30.23</v>
      </c>
      <c r="K708">
        <v>26</v>
      </c>
      <c r="L708">
        <v>99.6</v>
      </c>
      <c r="M708">
        <v>100</v>
      </c>
      <c r="N708">
        <v>18.432414999999999</v>
      </c>
      <c r="O708">
        <v>1352650000</v>
      </c>
      <c r="P708">
        <v>4.0450042980000003</v>
      </c>
      <c r="Q708">
        <v>15842.93648</v>
      </c>
      <c r="R708">
        <v>3.82</v>
      </c>
      <c r="S708">
        <v>756096</v>
      </c>
      <c r="T708">
        <v>-35.675147000000003</v>
      </c>
      <c r="U708">
        <v>-71.542968999999999</v>
      </c>
    </row>
    <row r="709" spans="1:21">
      <c r="A709" t="s">
        <v>54</v>
      </c>
      <c r="B709">
        <v>2014</v>
      </c>
      <c r="C709">
        <v>23154.375</v>
      </c>
      <c r="D709">
        <v>76559.997560000003</v>
      </c>
      <c r="E709">
        <v>44.51</v>
      </c>
      <c r="G709">
        <v>25.44</v>
      </c>
      <c r="H709">
        <v>36.368834999999997</v>
      </c>
      <c r="I709">
        <v>468.99</v>
      </c>
      <c r="J709">
        <v>26.95</v>
      </c>
      <c r="K709">
        <v>26</v>
      </c>
      <c r="L709">
        <v>100</v>
      </c>
      <c r="M709">
        <v>100</v>
      </c>
      <c r="N709">
        <v>20.193162999999998</v>
      </c>
      <c r="O709">
        <v>1263800000</v>
      </c>
      <c r="P709">
        <v>1.7667397840000001</v>
      </c>
      <c r="Q709">
        <v>14670.98891</v>
      </c>
      <c r="R709">
        <v>3.39</v>
      </c>
      <c r="S709">
        <v>756096</v>
      </c>
      <c r="T709">
        <v>-35.675147000000003</v>
      </c>
      <c r="U709">
        <v>-71.542968999999999</v>
      </c>
    </row>
    <row r="710" spans="1:21">
      <c r="A710" t="s">
        <v>54</v>
      </c>
      <c r="B710">
        <v>2015</v>
      </c>
      <c r="C710">
        <v>23180.021000000001</v>
      </c>
      <c r="D710">
        <v>82230.003360000002</v>
      </c>
      <c r="E710">
        <v>44.37</v>
      </c>
      <c r="G710">
        <v>27.38</v>
      </c>
      <c r="H710">
        <v>38.16028</v>
      </c>
      <c r="I710">
        <v>470.34</v>
      </c>
      <c r="J710">
        <v>25.07</v>
      </c>
      <c r="K710">
        <v>26</v>
      </c>
      <c r="L710">
        <v>99.714839999999995</v>
      </c>
      <c r="M710">
        <v>100</v>
      </c>
      <c r="N710">
        <v>21.427672999999999</v>
      </c>
      <c r="O710">
        <v>113310000</v>
      </c>
      <c r="P710">
        <v>2.303767036</v>
      </c>
      <c r="Q710">
        <v>13574.169239999999</v>
      </c>
      <c r="R710">
        <v>3.39</v>
      </c>
      <c r="S710">
        <v>756096</v>
      </c>
      <c r="T710">
        <v>-35.675147000000003</v>
      </c>
      <c r="U710">
        <v>-71.542968999999999</v>
      </c>
    </row>
    <row r="711" spans="1:21">
      <c r="A711" t="s">
        <v>54</v>
      </c>
      <c r="B711">
        <v>2016</v>
      </c>
      <c r="C711">
        <v>23993.93</v>
      </c>
      <c r="D711">
        <v>86489.997860000003</v>
      </c>
      <c r="E711">
        <v>49.09</v>
      </c>
      <c r="G711">
        <v>24.27</v>
      </c>
      <c r="H711">
        <v>33.083424000000001</v>
      </c>
      <c r="I711">
        <v>510.67</v>
      </c>
      <c r="J711">
        <v>24.55</v>
      </c>
      <c r="K711">
        <v>26</v>
      </c>
      <c r="L711">
        <v>100</v>
      </c>
      <c r="M711">
        <v>100</v>
      </c>
      <c r="N711">
        <v>19.706334999999999</v>
      </c>
      <c r="O711">
        <v>300130000</v>
      </c>
      <c r="P711">
        <v>1.711089289</v>
      </c>
      <c r="Q711">
        <v>13753.59215</v>
      </c>
      <c r="R711">
        <v>3.54</v>
      </c>
      <c r="S711">
        <v>756096</v>
      </c>
      <c r="T711">
        <v>-35.675147000000003</v>
      </c>
      <c r="U711">
        <v>-71.542968999999999</v>
      </c>
    </row>
    <row r="712" spans="1:21">
      <c r="A712" t="s">
        <v>54</v>
      </c>
      <c r="B712">
        <v>2017</v>
      </c>
      <c r="C712">
        <v>24517.238000000001</v>
      </c>
      <c r="D712">
        <v>87069.999689999997</v>
      </c>
      <c r="E712">
        <v>44.9</v>
      </c>
      <c r="G712">
        <v>29.32</v>
      </c>
      <c r="H712">
        <v>39.504176999999999</v>
      </c>
      <c r="I712">
        <v>557.03</v>
      </c>
      <c r="J712">
        <v>24.11</v>
      </c>
      <c r="K712">
        <v>26</v>
      </c>
      <c r="L712">
        <v>99.7</v>
      </c>
      <c r="M712">
        <v>100</v>
      </c>
      <c r="N712">
        <v>22.405031000000001</v>
      </c>
      <c r="O712">
        <v>209270000</v>
      </c>
      <c r="P712">
        <v>1.1845447069999999</v>
      </c>
      <c r="Q712">
        <v>14998.817059999999</v>
      </c>
      <c r="R712">
        <v>3.55</v>
      </c>
      <c r="S712">
        <v>756096</v>
      </c>
      <c r="T712">
        <v>-35.675147000000003</v>
      </c>
      <c r="U712">
        <v>-71.542968999999999</v>
      </c>
    </row>
    <row r="713" spans="1:21">
      <c r="A713" t="s">
        <v>54</v>
      </c>
      <c r="B713">
        <v>2018</v>
      </c>
      <c r="C713">
        <v>25039.64</v>
      </c>
      <c r="D713">
        <v>86610.000610000003</v>
      </c>
      <c r="E713">
        <v>43.85</v>
      </c>
      <c r="G713">
        <v>32.89</v>
      </c>
      <c r="H713">
        <v>42.859005000000003</v>
      </c>
      <c r="I713">
        <v>584.91999999999996</v>
      </c>
      <c r="J713">
        <v>25.46</v>
      </c>
      <c r="K713">
        <v>26</v>
      </c>
      <c r="L713">
        <v>100</v>
      </c>
      <c r="M713">
        <v>100</v>
      </c>
      <c r="N713">
        <v>24.343295999999999</v>
      </c>
      <c r="P713">
        <v>3.7138591769999998</v>
      </c>
      <c r="Q713">
        <v>15888.14436</v>
      </c>
      <c r="R713">
        <v>3.49</v>
      </c>
      <c r="S713">
        <v>756096</v>
      </c>
      <c r="T713">
        <v>-35.675147000000003</v>
      </c>
      <c r="U713">
        <v>-71.542968999999999</v>
      </c>
    </row>
    <row r="714" spans="1:21">
      <c r="A714" t="s">
        <v>54</v>
      </c>
      <c r="B714">
        <v>2019</v>
      </c>
      <c r="C714">
        <v>24894.513999999999</v>
      </c>
      <c r="D714">
        <v>91370.00275</v>
      </c>
      <c r="E714">
        <v>45.16</v>
      </c>
      <c r="G714">
        <v>32.229999999999997</v>
      </c>
      <c r="H714">
        <v>41.646210000000004</v>
      </c>
      <c r="I714">
        <v>606.69000000000005</v>
      </c>
      <c r="J714">
        <v>25.26</v>
      </c>
      <c r="K714">
        <v>26</v>
      </c>
      <c r="L714">
        <v>100</v>
      </c>
      <c r="M714">
        <v>100</v>
      </c>
      <c r="N714">
        <v>24.144995000000002</v>
      </c>
      <c r="P714">
        <v>0.94200530699999996</v>
      </c>
      <c r="Q714">
        <v>14741.714400000001</v>
      </c>
      <c r="R714">
        <v>3.66</v>
      </c>
      <c r="S714">
        <v>756096</v>
      </c>
      <c r="T714">
        <v>-35.675147000000003</v>
      </c>
      <c r="U714">
        <v>-71.542968999999999</v>
      </c>
    </row>
    <row r="715" spans="1:21">
      <c r="A715" t="s">
        <v>54</v>
      </c>
      <c r="B715">
        <v>2020</v>
      </c>
      <c r="C715">
        <v>22925.925999999999</v>
      </c>
      <c r="E715">
        <v>43.69</v>
      </c>
      <c r="G715">
        <v>34.06</v>
      </c>
      <c r="H715">
        <v>43.807076000000002</v>
      </c>
      <c r="I715">
        <v>669.29</v>
      </c>
      <c r="K715">
        <v>26</v>
      </c>
      <c r="L715">
        <v>100</v>
      </c>
      <c r="M715">
        <v>100</v>
      </c>
      <c r="N715">
        <v>26.557531000000001</v>
      </c>
      <c r="P715">
        <v>-5.7715016690000001</v>
      </c>
      <c r="Q715">
        <v>13231.70421</v>
      </c>
      <c r="S715">
        <v>756096</v>
      </c>
      <c r="T715">
        <v>-35.675147000000003</v>
      </c>
      <c r="U715">
        <v>-71.542968999999999</v>
      </c>
    </row>
    <row r="716" spans="1:21">
      <c r="A716" t="s">
        <v>55</v>
      </c>
      <c r="B716">
        <v>2000</v>
      </c>
      <c r="C716">
        <v>9334.9359999999997</v>
      </c>
      <c r="D716">
        <v>3346530</v>
      </c>
      <c r="E716">
        <v>1113.3</v>
      </c>
      <c r="F716">
        <v>16.739999999999998</v>
      </c>
      <c r="G716">
        <v>225.56</v>
      </c>
      <c r="H716">
        <v>17.874003999999999</v>
      </c>
      <c r="I716">
        <v>58.78</v>
      </c>
      <c r="J716">
        <v>29.63</v>
      </c>
      <c r="K716">
        <v>153</v>
      </c>
      <c r="L716">
        <v>97.021799999999999</v>
      </c>
      <c r="M716">
        <v>42</v>
      </c>
      <c r="N716">
        <v>5.6569250000000002</v>
      </c>
      <c r="O716">
        <v>243620000</v>
      </c>
      <c r="P716">
        <v>8.4900934059999997</v>
      </c>
      <c r="Q716">
        <v>959.37248360000001</v>
      </c>
      <c r="R716">
        <v>10.85</v>
      </c>
      <c r="S716">
        <v>9596960</v>
      </c>
      <c r="T716">
        <v>35.861660000000001</v>
      </c>
      <c r="U716">
        <v>104.195397</v>
      </c>
    </row>
    <row r="717" spans="1:21">
      <c r="A717" t="s">
        <v>55</v>
      </c>
      <c r="B717">
        <v>2001</v>
      </c>
      <c r="C717">
        <v>9797.8119999999999</v>
      </c>
      <c r="D717">
        <v>3529080</v>
      </c>
      <c r="E717">
        <v>1182.5899999999999</v>
      </c>
      <c r="F717">
        <v>17.47</v>
      </c>
      <c r="G717">
        <v>280.73</v>
      </c>
      <c r="H717">
        <v>20.137899999999998</v>
      </c>
      <c r="I717">
        <v>61.01</v>
      </c>
      <c r="J717">
        <v>28.36</v>
      </c>
      <c r="K717">
        <v>153</v>
      </c>
      <c r="L717">
        <v>97.272790000000001</v>
      </c>
      <c r="M717">
        <v>42.3</v>
      </c>
      <c r="N717">
        <v>6.6186239999999996</v>
      </c>
      <c r="O717">
        <v>325050000</v>
      </c>
      <c r="P717">
        <v>8.3357334779999999</v>
      </c>
      <c r="Q717">
        <v>1053.1082429999999</v>
      </c>
      <c r="R717">
        <v>10.36</v>
      </c>
      <c r="S717">
        <v>9596960</v>
      </c>
      <c r="T717">
        <v>35.861660000000001</v>
      </c>
      <c r="U717">
        <v>104.195397</v>
      </c>
    </row>
    <row r="718" spans="1:21">
      <c r="A718" t="s">
        <v>55</v>
      </c>
      <c r="B718">
        <v>2002</v>
      </c>
      <c r="C718">
        <v>10602.087</v>
      </c>
      <c r="D718">
        <v>3810060.0589999999</v>
      </c>
      <c r="E718">
        <v>1337.46</v>
      </c>
      <c r="F718">
        <v>25.13</v>
      </c>
      <c r="G718">
        <v>291.41000000000003</v>
      </c>
      <c r="H718">
        <v>19.137848000000002</v>
      </c>
      <c r="I718">
        <v>63.68</v>
      </c>
      <c r="J718">
        <v>27</v>
      </c>
      <c r="K718">
        <v>153</v>
      </c>
      <c r="L718">
        <v>97.516204999999999</v>
      </c>
      <c r="M718">
        <v>43.1</v>
      </c>
      <c r="N718">
        <v>6.2804884999999997</v>
      </c>
      <c r="O718">
        <v>218270000</v>
      </c>
      <c r="P718">
        <v>9.1336307899999998</v>
      </c>
      <c r="Q718">
        <v>1148.50829</v>
      </c>
      <c r="R718">
        <v>10.119999999999999</v>
      </c>
      <c r="S718">
        <v>9596960</v>
      </c>
      <c r="T718">
        <v>35.861660000000001</v>
      </c>
      <c r="U718">
        <v>104.195397</v>
      </c>
    </row>
    <row r="719" spans="1:21">
      <c r="A719" t="s">
        <v>55</v>
      </c>
      <c r="B719">
        <v>2003</v>
      </c>
      <c r="C719">
        <v>12273.32</v>
      </c>
      <c r="D719">
        <v>4415910.1560000004</v>
      </c>
      <c r="E719">
        <v>1579.96</v>
      </c>
      <c r="F719">
        <v>43.34</v>
      </c>
      <c r="G719">
        <v>287.27999999999997</v>
      </c>
      <c r="H719">
        <v>17.304693</v>
      </c>
      <c r="I719">
        <v>70.239999999999995</v>
      </c>
      <c r="J719">
        <v>23.86</v>
      </c>
      <c r="K719">
        <v>153</v>
      </c>
      <c r="L719">
        <v>97.754379999999998</v>
      </c>
      <c r="M719">
        <v>43.4</v>
      </c>
      <c r="N719">
        <v>5.3011093000000002</v>
      </c>
      <c r="O719">
        <v>22510000</v>
      </c>
      <c r="P719">
        <v>10.03803048</v>
      </c>
      <c r="Q719">
        <v>1288.6432520000001</v>
      </c>
      <c r="R719">
        <v>10.48</v>
      </c>
      <c r="S719">
        <v>9596960</v>
      </c>
      <c r="T719">
        <v>35.861660000000001</v>
      </c>
      <c r="U719">
        <v>104.195397</v>
      </c>
    </row>
    <row r="720" spans="1:21">
      <c r="A720" t="s">
        <v>55</v>
      </c>
      <c r="B720">
        <v>2004</v>
      </c>
      <c r="C720">
        <v>14272.745000000001</v>
      </c>
      <c r="D720">
        <v>5124819.824</v>
      </c>
      <c r="E720">
        <v>1795.41</v>
      </c>
      <c r="F720">
        <v>50.47</v>
      </c>
      <c r="G720">
        <v>357.43</v>
      </c>
      <c r="H720">
        <v>18.513055999999999</v>
      </c>
      <c r="I720">
        <v>77.849999999999994</v>
      </c>
      <c r="J720">
        <v>20.170000000000002</v>
      </c>
      <c r="K720">
        <v>153</v>
      </c>
      <c r="L720">
        <v>97.989670000000004</v>
      </c>
      <c r="M720">
        <v>44.9</v>
      </c>
      <c r="N720">
        <v>5.6009399999999996</v>
      </c>
      <c r="O720">
        <v>32680000</v>
      </c>
      <c r="P720">
        <v>10.11362138</v>
      </c>
      <c r="Q720">
        <v>1508.6680980000001</v>
      </c>
      <c r="R720">
        <v>10.83</v>
      </c>
      <c r="S720">
        <v>9596960</v>
      </c>
      <c r="T720">
        <v>35.861660000000001</v>
      </c>
      <c r="U720">
        <v>104.195397</v>
      </c>
    </row>
    <row r="721" spans="1:21">
      <c r="A721" t="s">
        <v>55</v>
      </c>
      <c r="B721">
        <v>2005</v>
      </c>
      <c r="C721">
        <v>16114.157999999999</v>
      </c>
      <c r="D721">
        <v>5824629.8830000004</v>
      </c>
      <c r="E721">
        <v>2042.8</v>
      </c>
      <c r="F721">
        <v>53.09</v>
      </c>
      <c r="G721">
        <v>404.37</v>
      </c>
      <c r="H721">
        <v>18.296496999999999</v>
      </c>
      <c r="I721">
        <v>86.43</v>
      </c>
      <c r="J721">
        <v>17.440000000000001</v>
      </c>
      <c r="K721">
        <v>153</v>
      </c>
      <c r="L721">
        <v>98.224429999999998</v>
      </c>
      <c r="M721">
        <v>46.3</v>
      </c>
      <c r="N721">
        <v>5.554481</v>
      </c>
      <c r="O721">
        <v>155060000</v>
      </c>
      <c r="P721">
        <v>11.39459181</v>
      </c>
      <c r="Q721">
        <v>1753.417829</v>
      </c>
      <c r="R721">
        <v>10.72</v>
      </c>
      <c r="S721">
        <v>9596960</v>
      </c>
      <c r="T721">
        <v>35.861660000000001</v>
      </c>
      <c r="U721">
        <v>104.195397</v>
      </c>
    </row>
    <row r="722" spans="1:21">
      <c r="A722" t="s">
        <v>55</v>
      </c>
      <c r="B722">
        <v>2006</v>
      </c>
      <c r="C722">
        <v>17552.815999999999</v>
      </c>
      <c r="D722">
        <v>6437470.2149999999</v>
      </c>
      <c r="E722">
        <v>2364.16</v>
      </c>
      <c r="F722">
        <v>54.84</v>
      </c>
      <c r="G722">
        <v>446.72</v>
      </c>
      <c r="H722">
        <v>17.50206</v>
      </c>
      <c r="I722">
        <v>96.27</v>
      </c>
      <c r="J722">
        <v>16.39</v>
      </c>
      <c r="K722">
        <v>153</v>
      </c>
      <c r="L722">
        <v>98.46105</v>
      </c>
      <c r="M722">
        <v>47.7</v>
      </c>
      <c r="N722">
        <v>5.5779823999999998</v>
      </c>
      <c r="O722">
        <v>127720000</v>
      </c>
      <c r="P722">
        <v>12.72095567</v>
      </c>
      <c r="Q722">
        <v>2099.2294350000002</v>
      </c>
      <c r="R722">
        <v>10.41</v>
      </c>
      <c r="S722">
        <v>9596960</v>
      </c>
      <c r="T722">
        <v>35.861660000000001</v>
      </c>
      <c r="U722">
        <v>104.195397</v>
      </c>
    </row>
    <row r="723" spans="1:21">
      <c r="A723" t="s">
        <v>55</v>
      </c>
      <c r="B723">
        <v>2007</v>
      </c>
      <c r="C723">
        <v>18955.008000000002</v>
      </c>
      <c r="D723">
        <v>6993180.176</v>
      </c>
      <c r="E723">
        <v>2718.7</v>
      </c>
      <c r="F723">
        <v>62.13</v>
      </c>
      <c r="G723">
        <v>500.71</v>
      </c>
      <c r="H723">
        <v>17.151705</v>
      </c>
      <c r="I723">
        <v>109</v>
      </c>
      <c r="J723">
        <v>14.88</v>
      </c>
      <c r="K723">
        <v>153</v>
      </c>
      <c r="L723">
        <v>98.702200000000005</v>
      </c>
      <c r="M723">
        <v>49.4</v>
      </c>
      <c r="N723">
        <v>5.7185350000000001</v>
      </c>
      <c r="O723">
        <v>24770000</v>
      </c>
      <c r="P723">
        <v>14.23086093</v>
      </c>
      <c r="Q723">
        <v>2693.9700630000002</v>
      </c>
      <c r="R723">
        <v>9.81</v>
      </c>
      <c r="S723">
        <v>9596960</v>
      </c>
      <c r="T723">
        <v>35.861660000000001</v>
      </c>
      <c r="U723">
        <v>104.195397</v>
      </c>
    </row>
    <row r="724" spans="1:21">
      <c r="A724" t="s">
        <v>55</v>
      </c>
      <c r="B724">
        <v>2008</v>
      </c>
      <c r="C724">
        <v>19560.7</v>
      </c>
      <c r="D724">
        <v>7199600.0980000002</v>
      </c>
      <c r="E724">
        <v>2762.29</v>
      </c>
      <c r="F724">
        <v>68.39</v>
      </c>
      <c r="G724">
        <v>665.08</v>
      </c>
      <c r="H724">
        <v>20.981703</v>
      </c>
      <c r="I724">
        <v>128.80000000000001</v>
      </c>
      <c r="J724">
        <v>14.14</v>
      </c>
      <c r="K724">
        <v>153</v>
      </c>
      <c r="L724">
        <v>98.950580000000002</v>
      </c>
      <c r="M724">
        <v>51.1</v>
      </c>
      <c r="N724">
        <v>7.2686669999999998</v>
      </c>
      <c r="O724">
        <v>142770000</v>
      </c>
      <c r="P724">
        <v>9.6506789200000007</v>
      </c>
      <c r="Q724">
        <v>3468.3046020000002</v>
      </c>
      <c r="R724">
        <v>9.18</v>
      </c>
      <c r="S724">
        <v>9596960</v>
      </c>
      <c r="T724">
        <v>35.861660000000001</v>
      </c>
      <c r="U724">
        <v>104.195397</v>
      </c>
    </row>
    <row r="725" spans="1:21">
      <c r="A725" t="s">
        <v>55</v>
      </c>
      <c r="B725">
        <v>2009</v>
      </c>
      <c r="C725">
        <v>20281.067999999999</v>
      </c>
      <c r="D725">
        <v>7719069.824</v>
      </c>
      <c r="E725">
        <v>2980.2</v>
      </c>
      <c r="F725">
        <v>70.05</v>
      </c>
      <c r="G725">
        <v>664.39</v>
      </c>
      <c r="H725">
        <v>19.7715</v>
      </c>
      <c r="I725">
        <v>150.78</v>
      </c>
      <c r="J725">
        <v>13.43</v>
      </c>
      <c r="K725">
        <v>153</v>
      </c>
      <c r="L725">
        <v>99.2089</v>
      </c>
      <c r="M725">
        <v>53.5</v>
      </c>
      <c r="N725">
        <v>6.9355316</v>
      </c>
      <c r="O725">
        <v>58540000</v>
      </c>
      <c r="P725">
        <v>9.3987256319999997</v>
      </c>
      <c r="Q725">
        <v>3832.2364320000001</v>
      </c>
      <c r="R725">
        <v>8.9499999999999993</v>
      </c>
      <c r="S725">
        <v>9596960</v>
      </c>
      <c r="T725">
        <v>35.861660000000001</v>
      </c>
      <c r="U725">
        <v>104.195397</v>
      </c>
    </row>
    <row r="726" spans="1:21">
      <c r="A726" t="s">
        <v>55</v>
      </c>
      <c r="B726">
        <v>2010</v>
      </c>
      <c r="C726">
        <v>21551.546999999999</v>
      </c>
      <c r="D726">
        <v>8474919.9220000003</v>
      </c>
      <c r="E726">
        <v>3326.19</v>
      </c>
      <c r="F726">
        <v>74.739999999999995</v>
      </c>
      <c r="G726">
        <v>786.38</v>
      </c>
      <c r="H726">
        <v>20.564993000000001</v>
      </c>
      <c r="I726">
        <v>170.41</v>
      </c>
      <c r="J726">
        <v>12.26</v>
      </c>
      <c r="K726">
        <v>153</v>
      </c>
      <c r="L726">
        <v>99.7</v>
      </c>
      <c r="M726">
        <v>55.6</v>
      </c>
      <c r="N726">
        <v>7.6159980000000003</v>
      </c>
      <c r="O726">
        <v>131240000</v>
      </c>
      <c r="P726">
        <v>10.635871059999999</v>
      </c>
      <c r="Q726">
        <v>4550.4531079999997</v>
      </c>
      <c r="R726">
        <v>8.93</v>
      </c>
      <c r="S726">
        <v>9596960</v>
      </c>
      <c r="T726">
        <v>35.861660000000001</v>
      </c>
      <c r="U726">
        <v>104.195397</v>
      </c>
    </row>
    <row r="727" spans="1:21">
      <c r="A727" t="s">
        <v>55</v>
      </c>
      <c r="B727">
        <v>2011</v>
      </c>
      <c r="C727">
        <v>23090.884999999998</v>
      </c>
      <c r="D727">
        <v>9282549.8049999997</v>
      </c>
      <c r="E727">
        <v>3811.77</v>
      </c>
      <c r="F727">
        <v>87.2</v>
      </c>
      <c r="G727">
        <v>792.38</v>
      </c>
      <c r="H727">
        <v>18.748974</v>
      </c>
      <c r="I727">
        <v>194.62</v>
      </c>
      <c r="J727">
        <v>11.34</v>
      </c>
      <c r="K727">
        <v>153</v>
      </c>
      <c r="L727">
        <v>99.848724000000004</v>
      </c>
      <c r="M727">
        <v>58</v>
      </c>
      <c r="N727">
        <v>7.0842039999999997</v>
      </c>
      <c r="O727">
        <v>43040000</v>
      </c>
      <c r="P727">
        <v>9.5508321790000004</v>
      </c>
      <c r="Q727">
        <v>5614.3521350000001</v>
      </c>
      <c r="R727">
        <v>8.75</v>
      </c>
      <c r="S727">
        <v>9596960</v>
      </c>
      <c r="T727">
        <v>35.861660000000001</v>
      </c>
      <c r="U727">
        <v>104.195397</v>
      </c>
    </row>
    <row r="728" spans="1:21">
      <c r="A728" t="s">
        <v>55</v>
      </c>
      <c r="B728">
        <v>2012</v>
      </c>
      <c r="C728">
        <v>23873.234</v>
      </c>
      <c r="D728">
        <v>9541870.1170000006</v>
      </c>
      <c r="E728">
        <v>3869.38</v>
      </c>
      <c r="F728">
        <v>98.32</v>
      </c>
      <c r="G728">
        <v>999.56</v>
      </c>
      <c r="H728">
        <v>22.102326999999999</v>
      </c>
      <c r="I728">
        <v>218.25</v>
      </c>
      <c r="J728">
        <v>11.53</v>
      </c>
      <c r="K728">
        <v>153</v>
      </c>
      <c r="L728">
        <v>99.961929999999995</v>
      </c>
      <c r="M728">
        <v>60.7</v>
      </c>
      <c r="N728">
        <v>8.5225969999999993</v>
      </c>
      <c r="O728">
        <v>100650000</v>
      </c>
      <c r="P728">
        <v>7.8637364490000001</v>
      </c>
      <c r="Q728">
        <v>6300.6151179999997</v>
      </c>
      <c r="R728">
        <v>8.41</v>
      </c>
      <c r="S728">
        <v>9596960</v>
      </c>
      <c r="T728">
        <v>35.861660000000001</v>
      </c>
      <c r="U728">
        <v>104.195397</v>
      </c>
    </row>
    <row r="729" spans="1:21">
      <c r="A729" t="s">
        <v>55</v>
      </c>
      <c r="B729">
        <v>2013</v>
      </c>
      <c r="C729">
        <v>24600.36</v>
      </c>
      <c r="D729">
        <v>9984570.3129999992</v>
      </c>
      <c r="E729">
        <v>4203.7700000000004</v>
      </c>
      <c r="F729">
        <v>111.5</v>
      </c>
      <c r="G729">
        <v>1093.3699999999999</v>
      </c>
      <c r="H729">
        <v>22.276764</v>
      </c>
      <c r="I729">
        <v>258.3</v>
      </c>
      <c r="J729">
        <v>11.45</v>
      </c>
      <c r="K729">
        <v>153</v>
      </c>
      <c r="L729">
        <v>99.996444999999994</v>
      </c>
      <c r="M729">
        <v>63.2</v>
      </c>
      <c r="N729">
        <v>8.9594210000000007</v>
      </c>
      <c r="O729">
        <v>301710000</v>
      </c>
      <c r="P729">
        <v>7.7661500979999998</v>
      </c>
      <c r="Q729">
        <v>7020.3384850000002</v>
      </c>
      <c r="R729">
        <v>8.0500000000000007</v>
      </c>
      <c r="S729">
        <v>9596960</v>
      </c>
      <c r="T729">
        <v>35.861660000000001</v>
      </c>
      <c r="U729">
        <v>104.195397</v>
      </c>
    </row>
    <row r="730" spans="1:21">
      <c r="A730" t="s">
        <v>55</v>
      </c>
      <c r="B730">
        <v>2014</v>
      </c>
      <c r="C730">
        <v>25072.023000000001</v>
      </c>
      <c r="D730">
        <v>10006669.92</v>
      </c>
      <c r="E730">
        <v>4345.8599999999997</v>
      </c>
      <c r="F730">
        <v>133.22</v>
      </c>
      <c r="G730">
        <v>1289.23</v>
      </c>
      <c r="H730">
        <v>24.659735000000001</v>
      </c>
      <c r="I730">
        <v>296.29000000000002</v>
      </c>
      <c r="J730">
        <v>11.94</v>
      </c>
      <c r="K730">
        <v>153</v>
      </c>
      <c r="L730">
        <v>100</v>
      </c>
      <c r="M730">
        <v>66</v>
      </c>
      <c r="N730">
        <v>10.197329999999999</v>
      </c>
      <c r="O730">
        <v>229420000</v>
      </c>
      <c r="P730">
        <v>7.425763656</v>
      </c>
      <c r="Q730">
        <v>7636.1166009999997</v>
      </c>
      <c r="R730">
        <v>7.69</v>
      </c>
      <c r="S730">
        <v>9596960</v>
      </c>
      <c r="T730">
        <v>35.861660000000001</v>
      </c>
      <c r="U730">
        <v>104.195397</v>
      </c>
    </row>
    <row r="731" spans="1:21">
      <c r="A731" t="s">
        <v>55</v>
      </c>
      <c r="B731">
        <v>2015</v>
      </c>
      <c r="C731">
        <v>25209.49</v>
      </c>
      <c r="D731">
        <v>9861099.6089999992</v>
      </c>
      <c r="E731">
        <v>4222.76</v>
      </c>
      <c r="F731">
        <v>171.38</v>
      </c>
      <c r="G731">
        <v>1393.66</v>
      </c>
      <c r="H731">
        <v>27.040327000000001</v>
      </c>
      <c r="I731">
        <v>340.55</v>
      </c>
      <c r="J731">
        <v>12.18</v>
      </c>
      <c r="K731">
        <v>153</v>
      </c>
      <c r="L731">
        <v>100</v>
      </c>
      <c r="M731">
        <v>68.400000000000006</v>
      </c>
      <c r="N731">
        <v>10.787497999999999</v>
      </c>
      <c r="O731">
        <v>92000000</v>
      </c>
      <c r="P731">
        <v>7.0413288789999999</v>
      </c>
      <c r="Q731">
        <v>8016.4314350000004</v>
      </c>
      <c r="R731">
        <v>7.21</v>
      </c>
      <c r="S731">
        <v>9596960</v>
      </c>
      <c r="T731">
        <v>35.861660000000001</v>
      </c>
      <c r="U731">
        <v>104.195397</v>
      </c>
    </row>
    <row r="732" spans="1:21">
      <c r="A732" t="s">
        <v>55</v>
      </c>
      <c r="B732">
        <v>2016</v>
      </c>
      <c r="C732">
        <v>25164.803</v>
      </c>
      <c r="D732">
        <v>9874660.1559999995</v>
      </c>
      <c r="E732">
        <v>4355</v>
      </c>
      <c r="F732">
        <v>213.18</v>
      </c>
      <c r="G732">
        <v>1522.79</v>
      </c>
      <c r="H732">
        <v>28.500713000000001</v>
      </c>
      <c r="I732">
        <v>382.59</v>
      </c>
      <c r="J732">
        <v>12.56</v>
      </c>
      <c r="K732">
        <v>153</v>
      </c>
      <c r="L732">
        <v>100</v>
      </c>
      <c r="M732">
        <v>70.599999999999994</v>
      </c>
      <c r="N732">
        <v>11.530946999999999</v>
      </c>
      <c r="O732">
        <v>1245180000</v>
      </c>
      <c r="P732">
        <v>6.8487622049999999</v>
      </c>
      <c r="Q732">
        <v>8094.3633669999999</v>
      </c>
      <c r="R732">
        <v>6.71</v>
      </c>
      <c r="S732">
        <v>9596960</v>
      </c>
      <c r="T732">
        <v>35.861660000000001</v>
      </c>
      <c r="U732">
        <v>104.195397</v>
      </c>
    </row>
    <row r="733" spans="1:21">
      <c r="A733" t="s">
        <v>55</v>
      </c>
      <c r="B733">
        <v>2017</v>
      </c>
      <c r="C733">
        <v>25987.611000000001</v>
      </c>
      <c r="D733">
        <v>10096009.77</v>
      </c>
      <c r="E733">
        <v>4643.1000000000004</v>
      </c>
      <c r="F733">
        <v>248.1</v>
      </c>
      <c r="G733">
        <v>1667.06</v>
      </c>
      <c r="H733">
        <v>29.202259999999999</v>
      </c>
      <c r="I733">
        <v>436.9</v>
      </c>
      <c r="J733">
        <v>13.13</v>
      </c>
      <c r="K733">
        <v>153</v>
      </c>
      <c r="L733">
        <v>100</v>
      </c>
      <c r="M733">
        <v>73.2</v>
      </c>
      <c r="N733">
        <v>12.138821</v>
      </c>
      <c r="O733">
        <v>372490000</v>
      </c>
      <c r="P733">
        <v>6.9472007930000004</v>
      </c>
      <c r="Q733">
        <v>8816.9869049999998</v>
      </c>
      <c r="R733">
        <v>6.51</v>
      </c>
      <c r="S733">
        <v>9596960</v>
      </c>
      <c r="T733">
        <v>35.861660000000001</v>
      </c>
      <c r="U733">
        <v>104.195397</v>
      </c>
    </row>
    <row r="734" spans="1:21">
      <c r="A734" t="s">
        <v>55</v>
      </c>
      <c r="B734">
        <v>2018</v>
      </c>
      <c r="C734">
        <v>27109.42</v>
      </c>
      <c r="D734">
        <v>10502929.689999999</v>
      </c>
      <c r="E734">
        <v>4990.28</v>
      </c>
      <c r="F734">
        <v>295</v>
      </c>
      <c r="G734">
        <v>1835.32</v>
      </c>
      <c r="H734">
        <v>29.917704000000001</v>
      </c>
      <c r="I734">
        <v>487.16</v>
      </c>
      <c r="J734">
        <v>13.71</v>
      </c>
      <c r="K734">
        <v>153</v>
      </c>
      <c r="L734">
        <v>100</v>
      </c>
      <c r="M734">
        <v>75.599999999999994</v>
      </c>
      <c r="N734">
        <v>12.807392999999999</v>
      </c>
      <c r="O734">
        <v>318260000</v>
      </c>
      <c r="P734">
        <v>6.7497738319999998</v>
      </c>
      <c r="Q734">
        <v>9905.3420040000001</v>
      </c>
      <c r="R734">
        <v>6.39</v>
      </c>
      <c r="S734">
        <v>9596960</v>
      </c>
      <c r="T734">
        <v>35.861660000000001</v>
      </c>
      <c r="U734">
        <v>104.195397</v>
      </c>
    </row>
    <row r="735" spans="1:21">
      <c r="A735" t="s">
        <v>55</v>
      </c>
      <c r="B735">
        <v>2019</v>
      </c>
      <c r="C735">
        <v>28277.445</v>
      </c>
      <c r="D735">
        <v>10707219.73</v>
      </c>
      <c r="E735">
        <v>5098.22</v>
      </c>
      <c r="F735">
        <v>348.7</v>
      </c>
      <c r="G735">
        <v>2014.57</v>
      </c>
      <c r="H735">
        <v>31.672895</v>
      </c>
      <c r="I735">
        <v>529.28</v>
      </c>
      <c r="J735">
        <v>14.45</v>
      </c>
      <c r="K735">
        <v>153</v>
      </c>
      <c r="L735">
        <v>100</v>
      </c>
      <c r="M735">
        <v>77.599999999999994</v>
      </c>
      <c r="N735">
        <v>13.51596</v>
      </c>
      <c r="O735">
        <v>201540000</v>
      </c>
      <c r="P735">
        <v>5.9497142329999999</v>
      </c>
      <c r="Q735">
        <v>10143.838170000001</v>
      </c>
      <c r="R735">
        <v>6.31</v>
      </c>
      <c r="S735">
        <v>9596960</v>
      </c>
      <c r="T735">
        <v>35.861660000000001</v>
      </c>
      <c r="U735">
        <v>104.195397</v>
      </c>
    </row>
    <row r="736" spans="1:21">
      <c r="A736" t="s">
        <v>55</v>
      </c>
      <c r="B736">
        <v>2020</v>
      </c>
      <c r="C736">
        <v>29133.936000000002</v>
      </c>
      <c r="E736">
        <v>5184.13</v>
      </c>
      <c r="F736">
        <v>366.2</v>
      </c>
      <c r="G736">
        <v>2184.94</v>
      </c>
      <c r="H736">
        <v>32.980618</v>
      </c>
      <c r="I736">
        <v>621.74</v>
      </c>
      <c r="K736">
        <v>153</v>
      </c>
      <c r="L736">
        <v>100</v>
      </c>
      <c r="M736">
        <v>79.400000000000006</v>
      </c>
      <c r="N736">
        <v>14.242872</v>
      </c>
      <c r="P736">
        <v>2.3475135730000001</v>
      </c>
      <c r="Q736">
        <v>10434.77519</v>
      </c>
      <c r="S736">
        <v>9596960</v>
      </c>
      <c r="T736">
        <v>35.861660000000001</v>
      </c>
      <c r="U736">
        <v>104.195397</v>
      </c>
    </row>
    <row r="737" spans="1:21">
      <c r="A737" t="s">
        <v>56</v>
      </c>
      <c r="B737">
        <v>2000</v>
      </c>
      <c r="C737">
        <v>8011.8125</v>
      </c>
      <c r="D737">
        <v>58340</v>
      </c>
      <c r="E737">
        <v>10.210000000000001</v>
      </c>
      <c r="F737">
        <v>0</v>
      </c>
      <c r="G737">
        <v>31.98</v>
      </c>
      <c r="H737">
        <v>75.799959999999999</v>
      </c>
      <c r="I737">
        <v>210.84</v>
      </c>
      <c r="J737">
        <v>28.03</v>
      </c>
      <c r="K737">
        <v>46</v>
      </c>
      <c r="L737">
        <v>95.2</v>
      </c>
      <c r="M737">
        <v>78.099999999999994</v>
      </c>
      <c r="N737">
        <v>29.556066999999999</v>
      </c>
      <c r="P737">
        <v>2.9248614829999999</v>
      </c>
      <c r="Q737">
        <v>2520.4810889999999</v>
      </c>
      <c r="R737">
        <v>3</v>
      </c>
      <c r="S737">
        <v>1138910</v>
      </c>
      <c r="T737">
        <v>4.5708679999999999</v>
      </c>
      <c r="U737">
        <v>-74.297332999999995</v>
      </c>
    </row>
    <row r="738" spans="1:21">
      <c r="A738" t="s">
        <v>56</v>
      </c>
      <c r="B738">
        <v>2001</v>
      </c>
      <c r="C738">
        <v>7953.8549999999996</v>
      </c>
      <c r="D738">
        <v>58940</v>
      </c>
      <c r="E738">
        <v>10.78</v>
      </c>
      <c r="F738">
        <v>0</v>
      </c>
      <c r="G738">
        <v>31.69</v>
      </c>
      <c r="H738">
        <v>74.617379999999997</v>
      </c>
      <c r="I738">
        <v>217.68</v>
      </c>
      <c r="J738">
        <v>27.24</v>
      </c>
      <c r="K738">
        <v>46</v>
      </c>
      <c r="L738">
        <v>98.47</v>
      </c>
      <c r="M738">
        <v>78.900000000000006</v>
      </c>
      <c r="N738">
        <v>30.604485</v>
      </c>
      <c r="P738">
        <v>1.6778983080000001</v>
      </c>
      <c r="Q738">
        <v>2439.682456</v>
      </c>
      <c r="R738">
        <v>2.95</v>
      </c>
      <c r="S738">
        <v>1138910</v>
      </c>
      <c r="T738">
        <v>4.5708679999999999</v>
      </c>
      <c r="U738">
        <v>-74.297332999999995</v>
      </c>
    </row>
    <row r="739" spans="1:21">
      <c r="A739" t="s">
        <v>56</v>
      </c>
      <c r="B739">
        <v>2002</v>
      </c>
      <c r="C739">
        <v>7834.4709999999995</v>
      </c>
      <c r="D739">
        <v>56770.000460000003</v>
      </c>
      <c r="E739">
        <v>10.25</v>
      </c>
      <c r="F739">
        <v>0</v>
      </c>
      <c r="G739">
        <v>33.83</v>
      </c>
      <c r="H739">
        <v>76.746825999999999</v>
      </c>
      <c r="I739">
        <v>223.19</v>
      </c>
      <c r="J739">
        <v>28.8</v>
      </c>
      <c r="K739">
        <v>46</v>
      </c>
      <c r="L739">
        <v>94.905500000000004</v>
      </c>
      <c r="M739">
        <v>79.7</v>
      </c>
      <c r="N739">
        <v>32.692554000000001</v>
      </c>
      <c r="O739">
        <v>90000</v>
      </c>
      <c r="P739">
        <v>2.5039804659999998</v>
      </c>
      <c r="Q739">
        <v>2396.6271270000002</v>
      </c>
      <c r="R739">
        <v>2.83</v>
      </c>
      <c r="S739">
        <v>1138910</v>
      </c>
      <c r="T739">
        <v>4.5708679999999999</v>
      </c>
      <c r="U739">
        <v>-74.297332999999995</v>
      </c>
    </row>
    <row r="740" spans="1:21">
      <c r="A740" t="s">
        <v>56</v>
      </c>
      <c r="B740">
        <v>2003</v>
      </c>
      <c r="C740">
        <v>7863.652</v>
      </c>
      <c r="D740">
        <v>56110.000610000003</v>
      </c>
      <c r="E740">
        <v>9.6</v>
      </c>
      <c r="F740">
        <v>0</v>
      </c>
      <c r="G740">
        <v>36</v>
      </c>
      <c r="H740">
        <v>78.947370000000006</v>
      </c>
      <c r="I740">
        <v>215.58</v>
      </c>
      <c r="J740">
        <v>30.7</v>
      </c>
      <c r="K740">
        <v>46</v>
      </c>
      <c r="L740">
        <v>95.129350000000002</v>
      </c>
      <c r="M740">
        <v>80.7</v>
      </c>
      <c r="N740">
        <v>33.389133000000001</v>
      </c>
      <c r="O740">
        <v>10000</v>
      </c>
      <c r="P740">
        <v>3.918271904</v>
      </c>
      <c r="Q740">
        <v>2281.401762</v>
      </c>
      <c r="R740">
        <v>2.78</v>
      </c>
      <c r="S740">
        <v>1138910</v>
      </c>
      <c r="T740">
        <v>4.5708679999999999</v>
      </c>
      <c r="U740">
        <v>-74.297332999999995</v>
      </c>
    </row>
    <row r="741" spans="1:21">
      <c r="A741" t="s">
        <v>56</v>
      </c>
      <c r="B741">
        <v>2004</v>
      </c>
      <c r="C741">
        <v>8152.3344999999999</v>
      </c>
      <c r="D741">
        <v>56110.000610000003</v>
      </c>
      <c r="E741">
        <v>8.8699999999999992</v>
      </c>
      <c r="F741">
        <v>0</v>
      </c>
      <c r="G741">
        <v>39.909999999999997</v>
      </c>
      <c r="H741">
        <v>81.816320000000005</v>
      </c>
      <c r="I741">
        <v>214.54</v>
      </c>
      <c r="J741">
        <v>29.18</v>
      </c>
      <c r="K741">
        <v>46</v>
      </c>
      <c r="L741">
        <v>95.350309999999993</v>
      </c>
      <c r="M741">
        <v>81.5</v>
      </c>
      <c r="N741">
        <v>34.505454999999998</v>
      </c>
      <c r="P741">
        <v>5.3330220669999999</v>
      </c>
      <c r="Q741">
        <v>2782.6231849999999</v>
      </c>
      <c r="R741">
        <v>2.66</v>
      </c>
      <c r="S741">
        <v>1138910</v>
      </c>
      <c r="T741">
        <v>4.5708679999999999</v>
      </c>
      <c r="U741">
        <v>-74.297332999999995</v>
      </c>
    </row>
    <row r="742" spans="1:21">
      <c r="A742" t="s">
        <v>56</v>
      </c>
      <c r="B742">
        <v>2005</v>
      </c>
      <c r="C742">
        <v>7917.9070000000002</v>
      </c>
      <c r="D742">
        <v>57639.999389999997</v>
      </c>
      <c r="E742">
        <v>9.7100000000000009</v>
      </c>
      <c r="F742">
        <v>0</v>
      </c>
      <c r="G742">
        <v>39.64</v>
      </c>
      <c r="H742">
        <v>80.324219999999997</v>
      </c>
      <c r="I742">
        <v>211.95</v>
      </c>
      <c r="J742">
        <v>29.08</v>
      </c>
      <c r="K742">
        <v>46</v>
      </c>
      <c r="L742">
        <v>96.8</v>
      </c>
      <c r="M742">
        <v>82.4</v>
      </c>
      <c r="N742">
        <v>35.053530000000002</v>
      </c>
      <c r="O742">
        <v>223460000</v>
      </c>
      <c r="P742">
        <v>4.8287611080000001</v>
      </c>
      <c r="Q742">
        <v>3414.465158</v>
      </c>
      <c r="R742">
        <v>2.65</v>
      </c>
      <c r="S742">
        <v>1138910</v>
      </c>
      <c r="T742">
        <v>4.5708679999999999</v>
      </c>
      <c r="U742">
        <v>-74.297332999999995</v>
      </c>
    </row>
    <row r="743" spans="1:21">
      <c r="A743" t="s">
        <v>56</v>
      </c>
      <c r="B743">
        <v>2006</v>
      </c>
      <c r="C743">
        <v>9024.0930000000008</v>
      </c>
      <c r="D743">
        <v>57689.998630000002</v>
      </c>
      <c r="E743">
        <v>10.130000000000001</v>
      </c>
      <c r="F743">
        <v>0</v>
      </c>
      <c r="G743">
        <v>42.6</v>
      </c>
      <c r="H743">
        <v>80.788925000000006</v>
      </c>
      <c r="I743">
        <v>209.72</v>
      </c>
      <c r="J743">
        <v>29.69</v>
      </c>
      <c r="K743">
        <v>46</v>
      </c>
      <c r="L743">
        <v>95.793030000000002</v>
      </c>
      <c r="M743">
        <v>83</v>
      </c>
      <c r="N743">
        <v>34.142719999999997</v>
      </c>
      <c r="O743">
        <v>1940000</v>
      </c>
      <c r="P743">
        <v>6.7168686979999999</v>
      </c>
      <c r="Q743">
        <v>3741.0928370000001</v>
      </c>
      <c r="R743">
        <v>2.62</v>
      </c>
      <c r="S743">
        <v>1138910</v>
      </c>
      <c r="T743">
        <v>4.5708679999999999</v>
      </c>
      <c r="U743">
        <v>-74.297332999999995</v>
      </c>
    </row>
    <row r="744" spans="1:21">
      <c r="A744" t="s">
        <v>56</v>
      </c>
      <c r="B744">
        <v>2007</v>
      </c>
      <c r="C744">
        <v>9058.0020000000004</v>
      </c>
      <c r="D744">
        <v>59180.000310000003</v>
      </c>
      <c r="E744">
        <v>9.93</v>
      </c>
      <c r="F744">
        <v>0</v>
      </c>
      <c r="G744">
        <v>44.27</v>
      </c>
      <c r="H744">
        <v>81.678960000000004</v>
      </c>
      <c r="I744">
        <v>208.15</v>
      </c>
      <c r="J744">
        <v>30.42</v>
      </c>
      <c r="K744">
        <v>46</v>
      </c>
      <c r="L744">
        <v>96.019844000000006</v>
      </c>
      <c r="M744">
        <v>83.8</v>
      </c>
      <c r="N744">
        <v>35.182761999999997</v>
      </c>
      <c r="O744">
        <v>790000</v>
      </c>
      <c r="P744">
        <v>6.7381946910000003</v>
      </c>
      <c r="Q744">
        <v>4714.0730549999998</v>
      </c>
      <c r="R744">
        <v>2.44</v>
      </c>
      <c r="S744">
        <v>1138910</v>
      </c>
      <c r="T744">
        <v>4.5708679999999999</v>
      </c>
      <c r="U744">
        <v>-74.297332999999995</v>
      </c>
    </row>
    <row r="745" spans="1:21">
      <c r="A745" t="s">
        <v>56</v>
      </c>
      <c r="B745">
        <v>2008</v>
      </c>
      <c r="C745">
        <v>9322.7669999999998</v>
      </c>
      <c r="D745">
        <v>59779.998780000002</v>
      </c>
      <c r="E745">
        <v>8.77</v>
      </c>
      <c r="F745">
        <v>0</v>
      </c>
      <c r="G745">
        <v>46.19</v>
      </c>
      <c r="H745">
        <v>84.042940000000002</v>
      </c>
      <c r="I745">
        <v>205.86</v>
      </c>
      <c r="J745">
        <v>29.97</v>
      </c>
      <c r="K745">
        <v>46</v>
      </c>
      <c r="L745">
        <v>96.806759999999997</v>
      </c>
      <c r="M745">
        <v>84.6</v>
      </c>
      <c r="N745">
        <v>33.941409999999998</v>
      </c>
      <c r="O745">
        <v>15930000</v>
      </c>
      <c r="P745">
        <v>3.2834461859999999</v>
      </c>
      <c r="Q745">
        <v>5472.5365300000003</v>
      </c>
      <c r="R745">
        <v>2.48</v>
      </c>
      <c r="S745">
        <v>1138910</v>
      </c>
      <c r="T745">
        <v>4.5708679999999999</v>
      </c>
      <c r="U745">
        <v>-74.297332999999995</v>
      </c>
    </row>
    <row r="746" spans="1:21">
      <c r="A746" t="s">
        <v>56</v>
      </c>
      <c r="B746">
        <v>2009</v>
      </c>
      <c r="C746">
        <v>9111.8610000000008</v>
      </c>
      <c r="D746">
        <v>62009.998319999999</v>
      </c>
      <c r="E746">
        <v>14.77</v>
      </c>
      <c r="F746">
        <v>0</v>
      </c>
      <c r="G746">
        <v>41.08</v>
      </c>
      <c r="H746">
        <v>73.554169999999999</v>
      </c>
      <c r="I746">
        <v>204.03</v>
      </c>
      <c r="J746">
        <v>30.91</v>
      </c>
      <c r="K746">
        <v>46</v>
      </c>
      <c r="L746">
        <v>96.057230000000004</v>
      </c>
      <c r="M746">
        <v>85.4</v>
      </c>
      <c r="N746">
        <v>31.377745000000001</v>
      </c>
      <c r="O746">
        <v>10000</v>
      </c>
      <c r="P746">
        <v>1.1396486450000001</v>
      </c>
      <c r="Q746">
        <v>5193.2414580000004</v>
      </c>
      <c r="R746">
        <v>2.5499999999999998</v>
      </c>
      <c r="S746">
        <v>1138910</v>
      </c>
      <c r="T746">
        <v>4.5708679999999999</v>
      </c>
      <c r="U746">
        <v>-74.297332999999995</v>
      </c>
    </row>
    <row r="747" spans="1:21">
      <c r="A747" t="s">
        <v>56</v>
      </c>
      <c r="B747">
        <v>2010</v>
      </c>
      <c r="C747">
        <v>9474.2960000000003</v>
      </c>
      <c r="D747">
        <v>63560.001369999998</v>
      </c>
      <c r="E747">
        <v>15.96</v>
      </c>
      <c r="F747">
        <v>0</v>
      </c>
      <c r="G747">
        <v>40.659999999999997</v>
      </c>
      <c r="H747">
        <v>71.812079999999995</v>
      </c>
      <c r="I747">
        <v>208.97</v>
      </c>
      <c r="J747">
        <v>29.75</v>
      </c>
      <c r="K747">
        <v>46</v>
      </c>
      <c r="L747">
        <v>96.788994000000002</v>
      </c>
      <c r="M747">
        <v>86.3</v>
      </c>
      <c r="N747">
        <v>30.092037000000001</v>
      </c>
      <c r="O747">
        <v>3470000</v>
      </c>
      <c r="P747">
        <v>4.4946589709999998</v>
      </c>
      <c r="Q747">
        <v>6336.7094740000002</v>
      </c>
      <c r="R747">
        <v>2.4</v>
      </c>
      <c r="S747">
        <v>1138910</v>
      </c>
      <c r="T747">
        <v>4.5708679999999999</v>
      </c>
      <c r="U747">
        <v>-74.297332999999995</v>
      </c>
    </row>
    <row r="748" spans="1:21">
      <c r="A748" t="s">
        <v>56</v>
      </c>
      <c r="B748">
        <v>2011</v>
      </c>
      <c r="C748">
        <v>9794.9110000000001</v>
      </c>
      <c r="D748">
        <v>69099.998470000006</v>
      </c>
      <c r="E748">
        <v>10.11</v>
      </c>
      <c r="F748">
        <v>0</v>
      </c>
      <c r="G748">
        <v>48.81</v>
      </c>
      <c r="H748">
        <v>82.841139999999996</v>
      </c>
      <c r="I748">
        <v>217.2</v>
      </c>
      <c r="J748">
        <v>28.91</v>
      </c>
      <c r="K748">
        <v>46</v>
      </c>
      <c r="L748">
        <v>96.693600000000004</v>
      </c>
      <c r="M748">
        <v>87</v>
      </c>
      <c r="N748">
        <v>34.515675000000002</v>
      </c>
      <c r="O748">
        <v>780000</v>
      </c>
      <c r="P748">
        <v>6.9478919819999998</v>
      </c>
      <c r="Q748">
        <v>7335.1669339999999</v>
      </c>
      <c r="R748">
        <v>2.2999999999999998</v>
      </c>
      <c r="S748">
        <v>1138910</v>
      </c>
      <c r="T748">
        <v>4.5708679999999999</v>
      </c>
      <c r="U748">
        <v>-74.297332999999995</v>
      </c>
    </row>
    <row r="749" spans="1:21">
      <c r="A749" t="s">
        <v>56</v>
      </c>
      <c r="B749">
        <v>2012</v>
      </c>
      <c r="C749">
        <v>10308.172</v>
      </c>
      <c r="D749">
        <v>69699.996950000001</v>
      </c>
      <c r="E749">
        <v>12.96</v>
      </c>
      <c r="F749">
        <v>0</v>
      </c>
      <c r="G749">
        <v>47.58</v>
      </c>
      <c r="H749">
        <v>78.592669999999998</v>
      </c>
      <c r="I749">
        <v>216.6</v>
      </c>
      <c r="J749">
        <v>28.9</v>
      </c>
      <c r="K749">
        <v>46</v>
      </c>
      <c r="L749">
        <v>97.032169999999994</v>
      </c>
      <c r="M749">
        <v>87.6</v>
      </c>
      <c r="N749">
        <v>31.746134000000001</v>
      </c>
      <c r="O749">
        <v>1840000</v>
      </c>
      <c r="P749">
        <v>3.9126357669999998</v>
      </c>
      <c r="Q749">
        <v>8050.2553719999996</v>
      </c>
      <c r="R749">
        <v>2.14</v>
      </c>
      <c r="S749">
        <v>1138910</v>
      </c>
      <c r="T749">
        <v>4.5708679999999999</v>
      </c>
      <c r="U749">
        <v>-74.297332999999995</v>
      </c>
    </row>
    <row r="750" spans="1:21">
      <c r="A750" t="s">
        <v>56</v>
      </c>
      <c r="B750">
        <v>2013</v>
      </c>
      <c r="C750">
        <v>10490.081</v>
      </c>
      <c r="D750">
        <v>76860.000610000003</v>
      </c>
      <c r="E750">
        <v>21.71</v>
      </c>
      <c r="F750">
        <v>0</v>
      </c>
      <c r="G750">
        <v>50.48</v>
      </c>
      <c r="H750">
        <v>69.926580000000001</v>
      </c>
      <c r="I750">
        <v>216.82</v>
      </c>
      <c r="J750">
        <v>32.29</v>
      </c>
      <c r="K750">
        <v>46</v>
      </c>
      <c r="L750">
        <v>97.779420000000002</v>
      </c>
      <c r="M750">
        <v>88.45</v>
      </c>
      <c r="N750">
        <v>29.385107000000001</v>
      </c>
      <c r="O750">
        <v>310000</v>
      </c>
      <c r="P750">
        <v>5.1339935199999998</v>
      </c>
      <c r="Q750">
        <v>8218.3478439999999</v>
      </c>
      <c r="R750">
        <v>2.66</v>
      </c>
      <c r="S750">
        <v>1138910</v>
      </c>
      <c r="T750">
        <v>4.5708679999999999</v>
      </c>
      <c r="U750">
        <v>-74.297332999999995</v>
      </c>
    </row>
    <row r="751" spans="1:21">
      <c r="A751" t="s">
        <v>56</v>
      </c>
      <c r="B751">
        <v>2014</v>
      </c>
      <c r="C751">
        <v>10938.481</v>
      </c>
      <c r="D751">
        <v>79199.996950000001</v>
      </c>
      <c r="E751">
        <v>20.99</v>
      </c>
      <c r="F751">
        <v>0</v>
      </c>
      <c r="G751">
        <v>48.06</v>
      </c>
      <c r="H751">
        <v>69.601740000000007</v>
      </c>
      <c r="I751">
        <v>237.49</v>
      </c>
      <c r="J751">
        <v>32.380000000000003</v>
      </c>
      <c r="K751">
        <v>46</v>
      </c>
      <c r="L751">
        <v>97.790940000000006</v>
      </c>
      <c r="M751">
        <v>89.1</v>
      </c>
      <c r="N751">
        <v>28.364685000000001</v>
      </c>
      <c r="O751">
        <v>55290000</v>
      </c>
      <c r="P751">
        <v>4.4990300010000004</v>
      </c>
      <c r="Q751">
        <v>8114.3439209999997</v>
      </c>
      <c r="R751">
        <v>2.58</v>
      </c>
      <c r="S751">
        <v>1138910</v>
      </c>
      <c r="T751">
        <v>4.5708679999999999</v>
      </c>
      <c r="U751">
        <v>-74.297332999999995</v>
      </c>
    </row>
    <row r="752" spans="1:21">
      <c r="A752" t="s">
        <v>56</v>
      </c>
      <c r="B752">
        <v>2015</v>
      </c>
      <c r="C752">
        <v>10259.040000000001</v>
      </c>
      <c r="D752">
        <v>80230.003360000002</v>
      </c>
      <c r="E752">
        <v>27.22</v>
      </c>
      <c r="F752">
        <v>0</v>
      </c>
      <c r="G752">
        <v>49</v>
      </c>
      <c r="H752">
        <v>64.287589999999994</v>
      </c>
      <c r="I752">
        <v>247.42</v>
      </c>
      <c r="J752">
        <v>31.6</v>
      </c>
      <c r="K752">
        <v>46</v>
      </c>
      <c r="L752">
        <v>98.186899999999994</v>
      </c>
      <c r="M752">
        <v>89.75</v>
      </c>
      <c r="N752">
        <v>28.021618</v>
      </c>
      <c r="O752">
        <v>23220000</v>
      </c>
      <c r="P752">
        <v>2.9559013749999998</v>
      </c>
      <c r="Q752">
        <v>6175.8760300000004</v>
      </c>
      <c r="R752">
        <v>2.5299999999999998</v>
      </c>
      <c r="S752">
        <v>1138910</v>
      </c>
      <c r="T752">
        <v>4.5708679999999999</v>
      </c>
      <c r="U752">
        <v>-74.297332999999995</v>
      </c>
    </row>
    <row r="753" spans="1:21">
      <c r="A753" t="s">
        <v>56</v>
      </c>
      <c r="B753">
        <v>2016</v>
      </c>
      <c r="C753">
        <v>11435.303</v>
      </c>
      <c r="D753">
        <v>82680.000310000003</v>
      </c>
      <c r="E753">
        <v>25.02</v>
      </c>
      <c r="F753">
        <v>0</v>
      </c>
      <c r="G753">
        <v>49.54</v>
      </c>
      <c r="H753">
        <v>66.44314</v>
      </c>
      <c r="I753">
        <v>246.63</v>
      </c>
      <c r="J753">
        <v>30.74</v>
      </c>
      <c r="K753">
        <v>46</v>
      </c>
      <c r="L753">
        <v>98.4</v>
      </c>
      <c r="M753">
        <v>90.7</v>
      </c>
      <c r="N753">
        <v>27.708812999999999</v>
      </c>
      <c r="O753">
        <v>1454760000</v>
      </c>
      <c r="P753">
        <v>2.0873825020000001</v>
      </c>
      <c r="Q753">
        <v>5870.7779570000002</v>
      </c>
      <c r="R753">
        <v>2.58</v>
      </c>
      <c r="S753">
        <v>1138910</v>
      </c>
      <c r="T753">
        <v>4.5708679999999999</v>
      </c>
      <c r="U753">
        <v>-74.297332999999995</v>
      </c>
    </row>
    <row r="754" spans="1:21">
      <c r="A754" t="s">
        <v>56</v>
      </c>
      <c r="B754">
        <v>2017</v>
      </c>
      <c r="C754">
        <v>11368.834000000001</v>
      </c>
      <c r="D754">
        <v>74989.997860000003</v>
      </c>
      <c r="E754">
        <v>16.07</v>
      </c>
      <c r="F754">
        <v>0</v>
      </c>
      <c r="G754">
        <v>61.39</v>
      </c>
      <c r="H754">
        <v>79.253810000000001</v>
      </c>
      <c r="I754">
        <v>246.81</v>
      </c>
      <c r="J754">
        <v>32.53</v>
      </c>
      <c r="K754">
        <v>46</v>
      </c>
      <c r="L754">
        <v>98.5</v>
      </c>
      <c r="M754">
        <v>91.2</v>
      </c>
      <c r="N754">
        <v>32.829059999999998</v>
      </c>
      <c r="O754">
        <v>184770000</v>
      </c>
      <c r="P754">
        <v>1.359360868</v>
      </c>
      <c r="Q754">
        <v>6376.7067159999997</v>
      </c>
      <c r="R754">
        <v>2.44</v>
      </c>
      <c r="S754">
        <v>1138910</v>
      </c>
      <c r="T754">
        <v>4.5708679999999999</v>
      </c>
      <c r="U754">
        <v>-74.297332999999995</v>
      </c>
    </row>
    <row r="755" spans="1:21">
      <c r="A755" t="s">
        <v>56</v>
      </c>
      <c r="B755">
        <v>2018</v>
      </c>
      <c r="C755">
        <v>11332.246999999999</v>
      </c>
      <c r="D755">
        <v>78589.996339999998</v>
      </c>
      <c r="E755">
        <v>19.11</v>
      </c>
      <c r="F755">
        <v>0</v>
      </c>
      <c r="G755">
        <v>60.08</v>
      </c>
      <c r="H755">
        <v>75.868163999999993</v>
      </c>
      <c r="I755">
        <v>247.06</v>
      </c>
      <c r="J755">
        <v>30.72</v>
      </c>
      <c r="K755">
        <v>46</v>
      </c>
      <c r="L755">
        <v>98.5</v>
      </c>
      <c r="M755">
        <v>92</v>
      </c>
      <c r="N755">
        <v>31.999549999999999</v>
      </c>
      <c r="O755">
        <v>144250000</v>
      </c>
      <c r="P755">
        <v>2.5643242829999999</v>
      </c>
      <c r="Q755">
        <v>6729.5833320000002</v>
      </c>
      <c r="R755">
        <v>2.29</v>
      </c>
      <c r="S755">
        <v>1138910</v>
      </c>
      <c r="T755">
        <v>4.5708679999999999</v>
      </c>
      <c r="U755">
        <v>-74.297332999999995</v>
      </c>
    </row>
    <row r="756" spans="1:21">
      <c r="A756" t="s">
        <v>56</v>
      </c>
      <c r="B756">
        <v>2019</v>
      </c>
      <c r="C756">
        <v>11221.787</v>
      </c>
      <c r="D756">
        <v>81040.000920000006</v>
      </c>
      <c r="E756">
        <v>23.84</v>
      </c>
      <c r="F756">
        <v>0</v>
      </c>
      <c r="G756">
        <v>54.31</v>
      </c>
      <c r="H756">
        <v>69.494560000000007</v>
      </c>
      <c r="I756">
        <v>245.49</v>
      </c>
      <c r="J756">
        <v>30.72</v>
      </c>
      <c r="K756">
        <v>46</v>
      </c>
      <c r="L756">
        <v>99.755920000000003</v>
      </c>
      <c r="M756">
        <v>92.5</v>
      </c>
      <c r="N756">
        <v>29.890343000000001</v>
      </c>
      <c r="O756">
        <v>152510000</v>
      </c>
      <c r="P756">
        <v>3.2811168049999999</v>
      </c>
      <c r="Q756">
        <v>6424.9794920000004</v>
      </c>
      <c r="R756">
        <v>2.5099999999999998</v>
      </c>
      <c r="S756">
        <v>1138910</v>
      </c>
      <c r="T756">
        <v>4.5708679999999999</v>
      </c>
      <c r="U756">
        <v>-74.297332999999995</v>
      </c>
    </row>
    <row r="757" spans="1:21">
      <c r="A757" t="s">
        <v>56</v>
      </c>
      <c r="B757">
        <v>2020</v>
      </c>
      <c r="C757">
        <v>10064.388999999999</v>
      </c>
      <c r="E757">
        <v>27.17</v>
      </c>
      <c r="F757">
        <v>0</v>
      </c>
      <c r="G757">
        <v>49.97</v>
      </c>
      <c r="H757">
        <v>64.778329999999997</v>
      </c>
      <c r="I757">
        <v>266.33</v>
      </c>
      <c r="K757">
        <v>46</v>
      </c>
      <c r="L757">
        <v>100</v>
      </c>
      <c r="M757">
        <v>93.2</v>
      </c>
      <c r="N757">
        <v>30.772787000000001</v>
      </c>
      <c r="P757">
        <v>-6.7957581070000002</v>
      </c>
      <c r="Q757">
        <v>5334.5560420000002</v>
      </c>
      <c r="S757">
        <v>1138910</v>
      </c>
      <c r="T757">
        <v>4.5708679999999999</v>
      </c>
      <c r="U757">
        <v>-74.297332999999995</v>
      </c>
    </row>
    <row r="758" spans="1:21">
      <c r="A758" t="s">
        <v>57</v>
      </c>
      <c r="B758">
        <v>2000</v>
      </c>
      <c r="C758">
        <v>816.70209999999997</v>
      </c>
      <c r="D758">
        <v>100</v>
      </c>
      <c r="E758">
        <v>0.02</v>
      </c>
      <c r="F758">
        <v>0</v>
      </c>
      <c r="G758">
        <v>0</v>
      </c>
      <c r="H758">
        <v>0</v>
      </c>
      <c r="I758">
        <v>0</v>
      </c>
      <c r="J758">
        <v>69.87</v>
      </c>
      <c r="K758">
        <v>467</v>
      </c>
      <c r="L758">
        <v>39.715355000000002</v>
      </c>
      <c r="M758">
        <v>0.6</v>
      </c>
      <c r="P758">
        <v>10.847878619999999</v>
      </c>
      <c r="Q758">
        <v>647.42581180000002</v>
      </c>
      <c r="R758">
        <v>2.66</v>
      </c>
      <c r="S758">
        <v>2235</v>
      </c>
      <c r="T758">
        <v>-11.6455</v>
      </c>
      <c r="U758">
        <v>43.333300000000001</v>
      </c>
    </row>
    <row r="759" spans="1:21">
      <c r="A759" t="s">
        <v>57</v>
      </c>
      <c r="B759">
        <v>2001</v>
      </c>
      <c r="C759">
        <v>835.32465000000002</v>
      </c>
      <c r="D759">
        <v>110</v>
      </c>
      <c r="E759">
        <v>0.03</v>
      </c>
      <c r="F759">
        <v>0</v>
      </c>
      <c r="G759">
        <v>0</v>
      </c>
      <c r="H759">
        <v>0</v>
      </c>
      <c r="I759">
        <v>0</v>
      </c>
      <c r="J759">
        <v>69.510000000000005</v>
      </c>
      <c r="K759">
        <v>467</v>
      </c>
      <c r="L759">
        <v>42.018664999999999</v>
      </c>
      <c r="M759">
        <v>0.7</v>
      </c>
      <c r="P759">
        <v>2.3329071020000001</v>
      </c>
      <c r="Q759">
        <v>680.90557279999996</v>
      </c>
      <c r="R759">
        <v>2.68</v>
      </c>
      <c r="S759">
        <v>2235</v>
      </c>
      <c r="T759">
        <v>-11.6455</v>
      </c>
      <c r="U759">
        <v>43.333300000000001</v>
      </c>
    </row>
    <row r="760" spans="1:21">
      <c r="A760" t="s">
        <v>57</v>
      </c>
      <c r="B760">
        <v>2002</v>
      </c>
      <c r="C760">
        <v>823.61162999999999</v>
      </c>
      <c r="D760">
        <v>109.99999939999999</v>
      </c>
      <c r="E760">
        <v>0.03</v>
      </c>
      <c r="F760">
        <v>0</v>
      </c>
      <c r="G760">
        <v>0</v>
      </c>
      <c r="H760">
        <v>0</v>
      </c>
      <c r="I760">
        <v>1.07</v>
      </c>
      <c r="J760">
        <v>70.31</v>
      </c>
      <c r="K760">
        <v>467</v>
      </c>
      <c r="L760">
        <v>44.8</v>
      </c>
      <c r="M760">
        <v>0.8</v>
      </c>
      <c r="P760">
        <v>2.3249448610000001</v>
      </c>
      <c r="Q760">
        <v>747.98886249999998</v>
      </c>
      <c r="R760">
        <v>2.65</v>
      </c>
      <c r="S760">
        <v>2235</v>
      </c>
      <c r="T760">
        <v>-11.6455</v>
      </c>
      <c r="U760">
        <v>43.333300000000001</v>
      </c>
    </row>
    <row r="761" spans="1:21">
      <c r="A761" t="s">
        <v>57</v>
      </c>
      <c r="B761">
        <v>2003</v>
      </c>
      <c r="C761">
        <v>1032.1368</v>
      </c>
      <c r="D761">
        <v>140.00000059999999</v>
      </c>
      <c r="E761">
        <v>0.03</v>
      </c>
      <c r="F761">
        <v>0</v>
      </c>
      <c r="G761">
        <v>0</v>
      </c>
      <c r="H761">
        <v>0</v>
      </c>
      <c r="I761">
        <v>1.05</v>
      </c>
      <c r="J761">
        <v>64.39</v>
      </c>
      <c r="K761">
        <v>467</v>
      </c>
      <c r="L761">
        <v>46.604880000000001</v>
      </c>
      <c r="M761">
        <v>1</v>
      </c>
      <c r="P761">
        <v>2.103871636</v>
      </c>
      <c r="Q761">
        <v>937.71089629999994</v>
      </c>
      <c r="R761">
        <v>2.88</v>
      </c>
      <c r="S761">
        <v>2235</v>
      </c>
      <c r="T761">
        <v>-11.6455</v>
      </c>
      <c r="U761">
        <v>43.333300000000001</v>
      </c>
    </row>
    <row r="762" spans="1:21">
      <c r="A762" t="s">
        <v>57</v>
      </c>
      <c r="B762">
        <v>2004</v>
      </c>
      <c r="C762">
        <v>1111.6261999999999</v>
      </c>
      <c r="D762">
        <v>150.00000600000001</v>
      </c>
      <c r="E762">
        <v>0.04</v>
      </c>
      <c r="F762">
        <v>0</v>
      </c>
      <c r="G762">
        <v>0</v>
      </c>
      <c r="H762">
        <v>0</v>
      </c>
      <c r="I762">
        <v>2.42</v>
      </c>
      <c r="J762">
        <v>63.52</v>
      </c>
      <c r="K762">
        <v>467</v>
      </c>
      <c r="L762">
        <v>48.892487000000003</v>
      </c>
      <c r="M762">
        <v>1.2</v>
      </c>
      <c r="P762">
        <v>1.9196598069999999</v>
      </c>
      <c r="Q762">
        <v>1061.075548</v>
      </c>
      <c r="R762">
        <v>2.97</v>
      </c>
      <c r="S762">
        <v>2235</v>
      </c>
      <c r="T762">
        <v>-11.6455</v>
      </c>
      <c r="U762">
        <v>43.333300000000001</v>
      </c>
    </row>
    <row r="763" spans="1:21">
      <c r="A763" t="s">
        <v>57</v>
      </c>
      <c r="B763">
        <v>2005</v>
      </c>
      <c r="C763">
        <v>1046.9846</v>
      </c>
      <c r="D763">
        <v>150.00000600000001</v>
      </c>
      <c r="E763">
        <v>0.04</v>
      </c>
      <c r="F763">
        <v>0</v>
      </c>
      <c r="G763">
        <v>0</v>
      </c>
      <c r="H763">
        <v>0</v>
      </c>
      <c r="I763">
        <v>2.37</v>
      </c>
      <c r="J763">
        <v>65.739999999999995</v>
      </c>
      <c r="K763">
        <v>467</v>
      </c>
      <c r="L763">
        <v>51.179554000000003</v>
      </c>
      <c r="M763">
        <v>1.4</v>
      </c>
      <c r="P763">
        <v>2.8375478699999999</v>
      </c>
      <c r="Q763">
        <v>1069.0294260000001</v>
      </c>
      <c r="R763">
        <v>2.87</v>
      </c>
      <c r="S763">
        <v>2235</v>
      </c>
      <c r="T763">
        <v>-11.6455</v>
      </c>
      <c r="U763">
        <v>43.333300000000001</v>
      </c>
    </row>
    <row r="764" spans="1:21">
      <c r="A764" t="s">
        <v>57</v>
      </c>
      <c r="B764">
        <v>2006</v>
      </c>
      <c r="C764">
        <v>1194.3715</v>
      </c>
      <c r="D764">
        <v>170.00000180000001</v>
      </c>
      <c r="E764">
        <v>0.04</v>
      </c>
      <c r="F764">
        <v>0</v>
      </c>
      <c r="G764">
        <v>0</v>
      </c>
      <c r="H764">
        <v>0</v>
      </c>
      <c r="I764">
        <v>2.31</v>
      </c>
      <c r="J764">
        <v>61.81</v>
      </c>
      <c r="K764">
        <v>467</v>
      </c>
      <c r="L764">
        <v>53.468494</v>
      </c>
      <c r="M764">
        <v>1.7</v>
      </c>
      <c r="P764">
        <v>2.646955476</v>
      </c>
      <c r="Q764">
        <v>1114.945281</v>
      </c>
      <c r="R764">
        <v>3.02</v>
      </c>
      <c r="S764">
        <v>2235</v>
      </c>
      <c r="T764">
        <v>-11.6455</v>
      </c>
      <c r="U764">
        <v>43.333300000000001</v>
      </c>
    </row>
    <row r="765" spans="1:21">
      <c r="A765" t="s">
        <v>57</v>
      </c>
      <c r="B765">
        <v>2007</v>
      </c>
      <c r="C765">
        <v>773.59</v>
      </c>
      <c r="D765">
        <v>109.99999939999999</v>
      </c>
      <c r="E765">
        <v>0.04</v>
      </c>
      <c r="F765">
        <v>0</v>
      </c>
      <c r="G765">
        <v>0</v>
      </c>
      <c r="H765">
        <v>0</v>
      </c>
      <c r="I765">
        <v>2.2599999999999998</v>
      </c>
      <c r="J765">
        <v>74.36</v>
      </c>
      <c r="K765">
        <v>467</v>
      </c>
      <c r="L765">
        <v>55.761955</v>
      </c>
      <c r="M765">
        <v>2</v>
      </c>
      <c r="P765">
        <v>0.80004234900000004</v>
      </c>
      <c r="Q765">
        <v>1240.0925279999999</v>
      </c>
      <c r="R765">
        <v>2.57</v>
      </c>
      <c r="S765">
        <v>2235</v>
      </c>
      <c r="T765">
        <v>-11.6455</v>
      </c>
      <c r="U765">
        <v>43.333300000000001</v>
      </c>
    </row>
    <row r="766" spans="1:21">
      <c r="A766" t="s">
        <v>57</v>
      </c>
      <c r="B766">
        <v>2008</v>
      </c>
      <c r="C766">
        <v>772.85850000000005</v>
      </c>
      <c r="D766">
        <v>109.99999939999999</v>
      </c>
      <c r="E766">
        <v>0.04</v>
      </c>
      <c r="F766">
        <v>0</v>
      </c>
      <c r="G766">
        <v>0</v>
      </c>
      <c r="H766">
        <v>0</v>
      </c>
      <c r="I766">
        <v>2.2000000000000002</v>
      </c>
      <c r="J766">
        <v>73.44</v>
      </c>
      <c r="K766">
        <v>467</v>
      </c>
      <c r="L766">
        <v>58.062649999999998</v>
      </c>
      <c r="M766">
        <v>2.4</v>
      </c>
      <c r="P766">
        <v>3.9999719909999998</v>
      </c>
      <c r="Q766">
        <v>1393.216032</v>
      </c>
      <c r="R766">
        <v>2.5099999999999998</v>
      </c>
      <c r="S766">
        <v>2235</v>
      </c>
      <c r="T766">
        <v>-11.6455</v>
      </c>
      <c r="U766">
        <v>43.333300000000001</v>
      </c>
    </row>
    <row r="767" spans="1:21">
      <c r="A767" t="s">
        <v>57</v>
      </c>
      <c r="B767">
        <v>2009</v>
      </c>
      <c r="C767">
        <v>923.48040000000003</v>
      </c>
      <c r="D767">
        <v>140.00000059999999</v>
      </c>
      <c r="E767">
        <v>0.04</v>
      </c>
      <c r="F767">
        <v>0</v>
      </c>
      <c r="G767">
        <v>0</v>
      </c>
      <c r="H767">
        <v>0</v>
      </c>
      <c r="I767">
        <v>2.15</v>
      </c>
      <c r="J767">
        <v>68.53</v>
      </c>
      <c r="K767">
        <v>467</v>
      </c>
      <c r="L767">
        <v>60.373283000000001</v>
      </c>
      <c r="M767">
        <v>2.8</v>
      </c>
      <c r="P767">
        <v>3.2001131119999999</v>
      </c>
      <c r="Q767">
        <v>1344.7304059999999</v>
      </c>
      <c r="R767">
        <v>2.65</v>
      </c>
      <c r="S767">
        <v>2235</v>
      </c>
      <c r="T767">
        <v>-11.6455</v>
      </c>
      <c r="U767">
        <v>43.333300000000001</v>
      </c>
    </row>
    <row r="768" spans="1:21">
      <c r="A768" t="s">
        <v>57</v>
      </c>
      <c r="B768">
        <v>2010</v>
      </c>
      <c r="C768">
        <v>1074.1965</v>
      </c>
      <c r="D768">
        <v>170.00000180000001</v>
      </c>
      <c r="E768">
        <v>0.04</v>
      </c>
      <c r="F768">
        <v>0</v>
      </c>
      <c r="G768">
        <v>0</v>
      </c>
      <c r="H768">
        <v>0</v>
      </c>
      <c r="I768">
        <v>2.1</v>
      </c>
      <c r="J768">
        <v>66.39</v>
      </c>
      <c r="K768">
        <v>467</v>
      </c>
      <c r="L768">
        <v>69.80771</v>
      </c>
      <c r="M768">
        <v>3.2</v>
      </c>
      <c r="P768">
        <v>3.7999334550000001</v>
      </c>
      <c r="Q768">
        <v>1316.491213</v>
      </c>
      <c r="R768">
        <v>2.78</v>
      </c>
      <c r="S768">
        <v>2235</v>
      </c>
      <c r="T768">
        <v>-11.6455</v>
      </c>
      <c r="U768">
        <v>43.333300000000001</v>
      </c>
    </row>
    <row r="769" spans="1:21">
      <c r="A769" t="s">
        <v>57</v>
      </c>
      <c r="B769">
        <v>2011</v>
      </c>
      <c r="C769">
        <v>944.77610000000004</v>
      </c>
      <c r="D769">
        <v>150.00000600000001</v>
      </c>
      <c r="E769">
        <v>0.05</v>
      </c>
      <c r="F769">
        <v>0</v>
      </c>
      <c r="G769">
        <v>0</v>
      </c>
      <c r="H769">
        <v>0</v>
      </c>
      <c r="I769">
        <v>2.0499999999999998</v>
      </c>
      <c r="J769">
        <v>69.349999999999994</v>
      </c>
      <c r="K769">
        <v>467</v>
      </c>
      <c r="L769">
        <v>69.425803999999999</v>
      </c>
      <c r="M769">
        <v>3.7</v>
      </c>
      <c r="P769">
        <v>4.0998469550000003</v>
      </c>
      <c r="Q769">
        <v>1447.945144</v>
      </c>
      <c r="R769">
        <v>2.58</v>
      </c>
      <c r="S769">
        <v>2235</v>
      </c>
      <c r="T769">
        <v>-11.6455</v>
      </c>
      <c r="U769">
        <v>43.333300000000001</v>
      </c>
    </row>
    <row r="770" spans="1:21">
      <c r="A770" t="s">
        <v>57</v>
      </c>
      <c r="B770">
        <v>2012</v>
      </c>
      <c r="C770">
        <v>961.38009999999997</v>
      </c>
      <c r="D770">
        <v>159.99999639999999</v>
      </c>
      <c r="E770">
        <v>0.05</v>
      </c>
      <c r="F770">
        <v>0</v>
      </c>
      <c r="G770">
        <v>0</v>
      </c>
      <c r="H770">
        <v>0</v>
      </c>
      <c r="I770">
        <v>2</v>
      </c>
      <c r="J770">
        <v>67.849999999999994</v>
      </c>
      <c r="K770">
        <v>467</v>
      </c>
      <c r="L770">
        <v>69.3</v>
      </c>
      <c r="M770">
        <v>4.2</v>
      </c>
      <c r="O770">
        <v>310000</v>
      </c>
      <c r="P770">
        <v>3.2002729030000001</v>
      </c>
      <c r="Q770">
        <v>1403.3602519999999</v>
      </c>
      <c r="R770">
        <v>2.59</v>
      </c>
      <c r="S770">
        <v>2235</v>
      </c>
      <c r="T770">
        <v>-11.6455</v>
      </c>
      <c r="U770">
        <v>43.333300000000001</v>
      </c>
    </row>
    <row r="771" spans="1:21">
      <c r="A771" t="s">
        <v>57</v>
      </c>
      <c r="B771">
        <v>2013</v>
      </c>
      <c r="C771">
        <v>1122.8318999999999</v>
      </c>
      <c r="D771">
        <v>189.9999976</v>
      </c>
      <c r="E771">
        <v>0.05</v>
      </c>
      <c r="F771">
        <v>0</v>
      </c>
      <c r="G771">
        <v>0</v>
      </c>
      <c r="H771">
        <v>0</v>
      </c>
      <c r="I771">
        <v>1.95</v>
      </c>
      <c r="J771">
        <v>62.51</v>
      </c>
      <c r="K771">
        <v>467</v>
      </c>
      <c r="L771">
        <v>69.768450000000001</v>
      </c>
      <c r="M771">
        <v>4.8</v>
      </c>
      <c r="O771">
        <v>20000</v>
      </c>
      <c r="P771">
        <v>4.4998742150000002</v>
      </c>
      <c r="Q771">
        <v>1505.3372919999999</v>
      </c>
      <c r="R771">
        <v>2.72</v>
      </c>
      <c r="S771">
        <v>2235</v>
      </c>
      <c r="T771">
        <v>-11.6455</v>
      </c>
      <c r="U771">
        <v>43.333300000000001</v>
      </c>
    </row>
    <row r="772" spans="1:21">
      <c r="A772" t="s">
        <v>57</v>
      </c>
      <c r="B772">
        <v>2014</v>
      </c>
      <c r="C772">
        <v>981.59100000000001</v>
      </c>
      <c r="D772">
        <v>170.00000180000001</v>
      </c>
      <c r="E772">
        <v>0.05</v>
      </c>
      <c r="F772">
        <v>0</v>
      </c>
      <c r="G772">
        <v>0</v>
      </c>
      <c r="H772">
        <v>0</v>
      </c>
      <c r="I772">
        <v>1.91</v>
      </c>
      <c r="J772">
        <v>66.02</v>
      </c>
      <c r="K772">
        <v>467</v>
      </c>
      <c r="L772">
        <v>72.162796</v>
      </c>
      <c r="M772">
        <v>5.3</v>
      </c>
      <c r="O772">
        <v>120000</v>
      </c>
      <c r="P772">
        <v>2.1000064379999999</v>
      </c>
      <c r="Q772">
        <v>1513.830379</v>
      </c>
      <c r="R772">
        <v>2.57</v>
      </c>
      <c r="S772">
        <v>2235</v>
      </c>
      <c r="T772">
        <v>-11.6455</v>
      </c>
      <c r="U772">
        <v>43.333300000000001</v>
      </c>
    </row>
    <row r="773" spans="1:21">
      <c r="A773" t="s">
        <v>57</v>
      </c>
      <c r="B773">
        <v>2015</v>
      </c>
      <c r="C773">
        <v>1036.3783000000001</v>
      </c>
      <c r="D773">
        <v>189.9999976</v>
      </c>
      <c r="E773">
        <v>0.05</v>
      </c>
      <c r="F773">
        <v>0</v>
      </c>
      <c r="G773">
        <v>0</v>
      </c>
      <c r="H773">
        <v>0</v>
      </c>
      <c r="I773">
        <v>1.86</v>
      </c>
      <c r="J773">
        <v>64.17</v>
      </c>
      <c r="K773">
        <v>467</v>
      </c>
      <c r="L773">
        <v>74.571979999999996</v>
      </c>
      <c r="M773">
        <v>5.7</v>
      </c>
      <c r="O773">
        <v>970000</v>
      </c>
      <c r="P773">
        <v>1.116140583</v>
      </c>
      <c r="Q773">
        <v>1242.5856080000001</v>
      </c>
      <c r="R773">
        <v>2.66</v>
      </c>
      <c r="S773">
        <v>2235</v>
      </c>
      <c r="T773">
        <v>-11.6455</v>
      </c>
      <c r="U773">
        <v>43.333300000000001</v>
      </c>
    </row>
    <row r="774" spans="1:21">
      <c r="A774" t="s">
        <v>57</v>
      </c>
      <c r="B774">
        <v>2016</v>
      </c>
      <c r="C774">
        <v>1189.0542</v>
      </c>
      <c r="D774">
        <v>219.99999879999999</v>
      </c>
      <c r="E774">
        <v>0.05</v>
      </c>
      <c r="F774">
        <v>0</v>
      </c>
      <c r="G774">
        <v>0</v>
      </c>
      <c r="H774">
        <v>0</v>
      </c>
      <c r="I774">
        <v>1.82</v>
      </c>
      <c r="J774">
        <v>60.5</v>
      </c>
      <c r="K774">
        <v>467</v>
      </c>
      <c r="L774">
        <v>76.993039999999993</v>
      </c>
      <c r="M774">
        <v>6.3</v>
      </c>
      <c r="O774">
        <v>10000</v>
      </c>
      <c r="P774">
        <v>3.3206800250000001</v>
      </c>
      <c r="Q774">
        <v>1273.0509520000001</v>
      </c>
      <c r="R774">
        <v>2.79</v>
      </c>
      <c r="S774">
        <v>2235</v>
      </c>
      <c r="T774">
        <v>-11.6455</v>
      </c>
      <c r="U774">
        <v>43.333300000000001</v>
      </c>
    </row>
    <row r="775" spans="1:21">
      <c r="A775" t="s">
        <v>57</v>
      </c>
      <c r="B775">
        <v>2017</v>
      </c>
      <c r="C775">
        <v>1492.4838</v>
      </c>
      <c r="D775">
        <v>280.00000119999999</v>
      </c>
      <c r="E775">
        <v>0.09</v>
      </c>
      <c r="F775">
        <v>0</v>
      </c>
      <c r="G775">
        <v>0</v>
      </c>
      <c r="H775">
        <v>0</v>
      </c>
      <c r="I775">
        <v>1.78</v>
      </c>
      <c r="J775">
        <v>56.42</v>
      </c>
      <c r="K775">
        <v>467</v>
      </c>
      <c r="L775">
        <v>79.423004000000006</v>
      </c>
      <c r="M775">
        <v>6.8</v>
      </c>
      <c r="O775">
        <v>11180000</v>
      </c>
      <c r="P775">
        <v>3.815702113</v>
      </c>
      <c r="Q775">
        <v>1323.8148430000001</v>
      </c>
      <c r="R775">
        <v>3.06</v>
      </c>
      <c r="S775">
        <v>2235</v>
      </c>
      <c r="T775">
        <v>-11.6455</v>
      </c>
      <c r="U775">
        <v>43.333300000000001</v>
      </c>
    </row>
    <row r="776" spans="1:21">
      <c r="A776" t="s">
        <v>57</v>
      </c>
      <c r="B776">
        <v>2018</v>
      </c>
      <c r="C776">
        <v>1593.2855999999999</v>
      </c>
      <c r="D776">
        <v>300.0000119</v>
      </c>
      <c r="E776">
        <v>0.09</v>
      </c>
      <c r="F776">
        <v>0</v>
      </c>
      <c r="G776">
        <v>0</v>
      </c>
      <c r="H776">
        <v>0</v>
      </c>
      <c r="I776">
        <v>1.74</v>
      </c>
      <c r="J776">
        <v>55.01</v>
      </c>
      <c r="K776">
        <v>467</v>
      </c>
      <c r="L776">
        <v>81.858909999999995</v>
      </c>
      <c r="M776">
        <v>7.3</v>
      </c>
      <c r="P776">
        <v>3.6425250189999998</v>
      </c>
      <c r="Q776">
        <v>1428.290463</v>
      </c>
      <c r="R776">
        <v>3.12</v>
      </c>
      <c r="S776">
        <v>2235</v>
      </c>
      <c r="T776">
        <v>-11.6455</v>
      </c>
      <c r="U776">
        <v>43.333300000000001</v>
      </c>
    </row>
    <row r="777" spans="1:21">
      <c r="A777" t="s">
        <v>57</v>
      </c>
      <c r="B777">
        <v>2019</v>
      </c>
      <c r="C777">
        <v>1685.7295999999999</v>
      </c>
      <c r="D777">
        <v>319.99999279999997</v>
      </c>
      <c r="E777">
        <v>0.1</v>
      </c>
      <c r="F777">
        <v>0</v>
      </c>
      <c r="G777">
        <v>0</v>
      </c>
      <c r="H777">
        <v>0</v>
      </c>
      <c r="I777">
        <v>1.7</v>
      </c>
      <c r="J777">
        <v>53.43</v>
      </c>
      <c r="K777">
        <v>467</v>
      </c>
      <c r="L777">
        <v>84.297775000000001</v>
      </c>
      <c r="M777">
        <v>7.8</v>
      </c>
      <c r="P777">
        <v>1.7553282800000001</v>
      </c>
      <c r="Q777">
        <v>1401.542312</v>
      </c>
      <c r="R777">
        <v>3.19</v>
      </c>
      <c r="S777">
        <v>2235</v>
      </c>
      <c r="T777">
        <v>-11.6455</v>
      </c>
      <c r="U777">
        <v>43.333300000000001</v>
      </c>
    </row>
    <row r="778" spans="1:21">
      <c r="A778" t="s">
        <v>57</v>
      </c>
      <c r="B778">
        <v>2020</v>
      </c>
      <c r="C778">
        <v>1578.0628999999999</v>
      </c>
      <c r="E778">
        <v>0.13</v>
      </c>
      <c r="F778">
        <v>0</v>
      </c>
      <c r="G778">
        <v>0</v>
      </c>
      <c r="H778">
        <v>0</v>
      </c>
      <c r="I778">
        <v>1.66</v>
      </c>
      <c r="K778">
        <v>467</v>
      </c>
      <c r="L778">
        <v>86.737139999999997</v>
      </c>
      <c r="M778">
        <v>8.4</v>
      </c>
      <c r="P778">
        <v>-0.128835488</v>
      </c>
      <c r="Q778">
        <v>1420.6617470000001</v>
      </c>
      <c r="S778">
        <v>2235</v>
      </c>
      <c r="T778">
        <v>-11.6455</v>
      </c>
      <c r="U778">
        <v>43.333300000000001</v>
      </c>
    </row>
    <row r="779" spans="1:21">
      <c r="A779" t="s">
        <v>58</v>
      </c>
      <c r="B779">
        <v>2000</v>
      </c>
      <c r="C779">
        <v>1227.4918</v>
      </c>
      <c r="E779">
        <v>0</v>
      </c>
      <c r="F779">
        <v>0</v>
      </c>
      <c r="G779">
        <v>0.28999999999999998</v>
      </c>
      <c r="H779">
        <v>100</v>
      </c>
      <c r="I779">
        <v>27.56</v>
      </c>
      <c r="J779">
        <v>64.86</v>
      </c>
      <c r="K779">
        <v>18</v>
      </c>
      <c r="L779">
        <v>29.090015000000001</v>
      </c>
      <c r="M779">
        <v>9.3000000000000007</v>
      </c>
      <c r="O779">
        <v>150000</v>
      </c>
      <c r="R779">
        <v>2.16</v>
      </c>
      <c r="S779">
        <v>2345409</v>
      </c>
      <c r="T779">
        <v>-4.1128</v>
      </c>
      <c r="U779">
        <v>13.728899999999999</v>
      </c>
    </row>
    <row r="780" spans="1:21">
      <c r="A780" t="s">
        <v>58</v>
      </c>
      <c r="B780">
        <v>2001</v>
      </c>
      <c r="C780">
        <v>1451.1962000000001</v>
      </c>
      <c r="E780">
        <v>0</v>
      </c>
      <c r="F780">
        <v>0</v>
      </c>
      <c r="G780">
        <v>0.33</v>
      </c>
      <c r="H780">
        <v>99.999989999999997</v>
      </c>
      <c r="I780">
        <v>26.79</v>
      </c>
      <c r="J780">
        <v>61.18</v>
      </c>
      <c r="K780">
        <v>18</v>
      </c>
      <c r="L780">
        <v>30.063590999999999</v>
      </c>
      <c r="M780">
        <v>9.6</v>
      </c>
      <c r="R780">
        <v>2.33</v>
      </c>
      <c r="S780">
        <v>2345409</v>
      </c>
      <c r="T780">
        <v>-4.1128</v>
      </c>
      <c r="U780">
        <v>13.728899999999999</v>
      </c>
    </row>
    <row r="781" spans="1:21">
      <c r="A781" t="s">
        <v>58</v>
      </c>
      <c r="B781">
        <v>2002</v>
      </c>
      <c r="C781">
        <v>1311.9222</v>
      </c>
      <c r="E781">
        <v>0</v>
      </c>
      <c r="F781">
        <v>0</v>
      </c>
      <c r="G781">
        <v>0.39</v>
      </c>
      <c r="H781">
        <v>100</v>
      </c>
      <c r="I781">
        <v>26.04</v>
      </c>
      <c r="J781">
        <v>68.53</v>
      </c>
      <c r="K781">
        <v>18</v>
      </c>
      <c r="L781">
        <v>31.029582999999999</v>
      </c>
      <c r="M781">
        <v>9.9</v>
      </c>
      <c r="R781">
        <v>2.25</v>
      </c>
      <c r="S781">
        <v>2345409</v>
      </c>
      <c r="T781">
        <v>-4.1128</v>
      </c>
      <c r="U781">
        <v>13.728899999999999</v>
      </c>
    </row>
    <row r="782" spans="1:21">
      <c r="A782" t="s">
        <v>58</v>
      </c>
      <c r="B782">
        <v>2003</v>
      </c>
      <c r="C782">
        <v>1459.1665</v>
      </c>
      <c r="E782">
        <v>0.04</v>
      </c>
      <c r="F782">
        <v>0</v>
      </c>
      <c r="G782">
        <v>0.36</v>
      </c>
      <c r="H782">
        <v>90</v>
      </c>
      <c r="I782">
        <v>25.3</v>
      </c>
      <c r="J782">
        <v>61.99</v>
      </c>
      <c r="K782">
        <v>18</v>
      </c>
      <c r="L782">
        <v>31.990337</v>
      </c>
      <c r="M782">
        <v>10.5</v>
      </c>
      <c r="O782">
        <v>515910000</v>
      </c>
      <c r="R782">
        <v>2.63</v>
      </c>
      <c r="S782">
        <v>2345409</v>
      </c>
      <c r="T782">
        <v>-4.1128</v>
      </c>
      <c r="U782">
        <v>13.728899999999999</v>
      </c>
    </row>
    <row r="783" spans="1:21">
      <c r="A783" t="s">
        <v>58</v>
      </c>
      <c r="B783">
        <v>2004</v>
      </c>
      <c r="C783">
        <v>1496.1375</v>
      </c>
      <c r="E783">
        <v>0.04</v>
      </c>
      <c r="F783">
        <v>0</v>
      </c>
      <c r="G783">
        <v>0.35</v>
      </c>
      <c r="H783">
        <v>89.743589999999998</v>
      </c>
      <c r="I783">
        <v>24.56</v>
      </c>
      <c r="J783">
        <v>63.03</v>
      </c>
      <c r="K783">
        <v>18</v>
      </c>
      <c r="L783">
        <v>32.948208000000001</v>
      </c>
      <c r="M783">
        <v>11.1</v>
      </c>
      <c r="R783">
        <v>2.71</v>
      </c>
      <c r="S783">
        <v>2345409</v>
      </c>
      <c r="T783">
        <v>-4.1128</v>
      </c>
      <c r="U783">
        <v>13.728899999999999</v>
      </c>
    </row>
    <row r="784" spans="1:21">
      <c r="A784" t="s">
        <v>58</v>
      </c>
      <c r="B784">
        <v>2005</v>
      </c>
      <c r="C784">
        <v>1950.9672</v>
      </c>
      <c r="E784">
        <v>0.05</v>
      </c>
      <c r="F784">
        <v>0</v>
      </c>
      <c r="G784">
        <v>0.37</v>
      </c>
      <c r="H784">
        <v>88.095240000000004</v>
      </c>
      <c r="I784">
        <v>23.79</v>
      </c>
      <c r="J784">
        <v>63.11</v>
      </c>
      <c r="K784">
        <v>18</v>
      </c>
      <c r="L784">
        <v>33.799999999999997</v>
      </c>
      <c r="M784">
        <v>11.6</v>
      </c>
      <c r="R784">
        <v>2.71</v>
      </c>
      <c r="S784">
        <v>2345409</v>
      </c>
      <c r="T784">
        <v>-4.1128</v>
      </c>
      <c r="U784">
        <v>13.728899999999999</v>
      </c>
    </row>
    <row r="785" spans="1:21">
      <c r="A785" t="s">
        <v>58</v>
      </c>
      <c r="B785">
        <v>2006</v>
      </c>
      <c r="C785">
        <v>2240.8157000000001</v>
      </c>
      <c r="E785">
        <v>0.05</v>
      </c>
      <c r="F785">
        <v>0</v>
      </c>
      <c r="G785">
        <v>0.39</v>
      </c>
      <c r="H785">
        <v>88.636369999999999</v>
      </c>
      <c r="I785">
        <v>23.02</v>
      </c>
      <c r="J785">
        <v>69.42</v>
      </c>
      <c r="K785">
        <v>18</v>
      </c>
      <c r="L785">
        <v>34.864745999999997</v>
      </c>
      <c r="M785">
        <v>12.6</v>
      </c>
      <c r="R785">
        <v>3.27</v>
      </c>
      <c r="S785">
        <v>2345409</v>
      </c>
      <c r="T785">
        <v>-4.1128</v>
      </c>
      <c r="U785">
        <v>13.728899999999999</v>
      </c>
    </row>
    <row r="786" spans="1:21">
      <c r="A786" t="s">
        <v>58</v>
      </c>
      <c r="B786">
        <v>2007</v>
      </c>
      <c r="C786">
        <v>2657.6837999999998</v>
      </c>
      <c r="E786">
        <v>0.06</v>
      </c>
      <c r="F786">
        <v>0</v>
      </c>
      <c r="G786">
        <v>0.34</v>
      </c>
      <c r="H786">
        <v>85</v>
      </c>
      <c r="I786">
        <v>22.24</v>
      </c>
      <c r="J786">
        <v>60.34</v>
      </c>
      <c r="K786">
        <v>18</v>
      </c>
      <c r="L786">
        <v>35.828471999999998</v>
      </c>
      <c r="M786">
        <v>13.4</v>
      </c>
      <c r="R786">
        <v>3.11</v>
      </c>
      <c r="S786">
        <v>2345409</v>
      </c>
      <c r="T786">
        <v>-4.1128</v>
      </c>
      <c r="U786">
        <v>13.728899999999999</v>
      </c>
    </row>
    <row r="787" spans="1:21">
      <c r="A787" t="s">
        <v>58</v>
      </c>
      <c r="B787">
        <v>2008</v>
      </c>
      <c r="C787">
        <v>2926.5041999999999</v>
      </c>
      <c r="E787">
        <v>0.09</v>
      </c>
      <c r="F787">
        <v>0</v>
      </c>
      <c r="G787">
        <v>0.39</v>
      </c>
      <c r="H787">
        <v>81.25</v>
      </c>
      <c r="I787">
        <v>21.49</v>
      </c>
      <c r="J787">
        <v>56.86</v>
      </c>
      <c r="K787">
        <v>18</v>
      </c>
      <c r="L787">
        <v>36.799430000000001</v>
      </c>
      <c r="M787">
        <v>14.5</v>
      </c>
      <c r="R787">
        <v>3.13</v>
      </c>
      <c r="S787">
        <v>2345409</v>
      </c>
      <c r="T787">
        <v>-4.1128</v>
      </c>
      <c r="U787">
        <v>13.728899999999999</v>
      </c>
    </row>
    <row r="788" spans="1:21">
      <c r="A788" t="s">
        <v>58</v>
      </c>
      <c r="B788">
        <v>2009</v>
      </c>
      <c r="C788">
        <v>3411.8980000000001</v>
      </c>
      <c r="E788">
        <v>0.16</v>
      </c>
      <c r="F788">
        <v>0</v>
      </c>
      <c r="G788">
        <v>0.36</v>
      </c>
      <c r="H788">
        <v>69.230773999999997</v>
      </c>
      <c r="I788">
        <v>20.79</v>
      </c>
      <c r="J788">
        <v>56.03</v>
      </c>
      <c r="K788">
        <v>18</v>
      </c>
      <c r="L788">
        <v>37.1</v>
      </c>
      <c r="M788">
        <v>15.8</v>
      </c>
      <c r="R788">
        <v>3.21</v>
      </c>
      <c r="S788">
        <v>2345409</v>
      </c>
      <c r="T788">
        <v>-4.1128</v>
      </c>
      <c r="U788">
        <v>13.728899999999999</v>
      </c>
    </row>
    <row r="789" spans="1:21">
      <c r="A789" t="s">
        <v>58</v>
      </c>
      <c r="B789">
        <v>2010</v>
      </c>
      <c r="C789">
        <v>4460.0190000000002</v>
      </c>
      <c r="E789">
        <v>0.32</v>
      </c>
      <c r="F789">
        <v>0</v>
      </c>
      <c r="G789">
        <v>0.44</v>
      </c>
      <c r="H789">
        <v>57.894736999999999</v>
      </c>
      <c r="I789">
        <v>20.170000000000002</v>
      </c>
      <c r="J789">
        <v>54.8</v>
      </c>
      <c r="K789">
        <v>18</v>
      </c>
      <c r="L789">
        <v>39.788620000000002</v>
      </c>
      <c r="M789">
        <v>17</v>
      </c>
      <c r="R789">
        <v>3.18</v>
      </c>
      <c r="S789">
        <v>2345409</v>
      </c>
      <c r="T789">
        <v>-4.1128</v>
      </c>
      <c r="U789">
        <v>13.728899999999999</v>
      </c>
    </row>
    <row r="790" spans="1:21">
      <c r="A790" t="s">
        <v>58</v>
      </c>
      <c r="B790">
        <v>2011</v>
      </c>
      <c r="C790">
        <v>5186.7569999999996</v>
      </c>
      <c r="E790">
        <v>0.45</v>
      </c>
      <c r="F790">
        <v>0</v>
      </c>
      <c r="G790">
        <v>0.79</v>
      </c>
      <c r="H790">
        <v>63.709679999999999</v>
      </c>
      <c r="I790">
        <v>19.63</v>
      </c>
      <c r="J790">
        <v>64.62</v>
      </c>
      <c r="K790">
        <v>18</v>
      </c>
      <c r="L790">
        <v>40.721690000000002</v>
      </c>
      <c r="M790">
        <v>18.5</v>
      </c>
      <c r="R790">
        <v>4.1399999999999997</v>
      </c>
      <c r="S790">
        <v>2345409</v>
      </c>
      <c r="T790">
        <v>-4.1128</v>
      </c>
      <c r="U790">
        <v>13.728899999999999</v>
      </c>
    </row>
    <row r="791" spans="1:21">
      <c r="A791" t="s">
        <v>58</v>
      </c>
      <c r="B791">
        <v>2012</v>
      </c>
      <c r="C791">
        <v>5174.5054</v>
      </c>
      <c r="E791">
        <v>0.64</v>
      </c>
      <c r="F791">
        <v>0</v>
      </c>
      <c r="G791">
        <v>1</v>
      </c>
      <c r="H791">
        <v>60.975610000000003</v>
      </c>
      <c r="I791">
        <v>45.74</v>
      </c>
      <c r="J791">
        <v>65.3</v>
      </c>
      <c r="K791">
        <v>18</v>
      </c>
      <c r="L791">
        <v>41.6</v>
      </c>
      <c r="M791">
        <v>20.05</v>
      </c>
      <c r="O791">
        <v>114860000</v>
      </c>
      <c r="R791">
        <v>4.3099999999999996</v>
      </c>
      <c r="S791">
        <v>2345409</v>
      </c>
      <c r="T791">
        <v>-4.1128</v>
      </c>
      <c r="U791">
        <v>13.728899999999999</v>
      </c>
    </row>
    <row r="792" spans="1:21">
      <c r="A792" t="s">
        <v>58</v>
      </c>
      <c r="B792">
        <v>2013</v>
      </c>
      <c r="C792">
        <v>6385.8984</v>
      </c>
      <c r="E792">
        <v>0.67</v>
      </c>
      <c r="F792">
        <v>0</v>
      </c>
      <c r="G792">
        <v>0.98</v>
      </c>
      <c r="H792">
        <v>59.393940000000001</v>
      </c>
      <c r="I792">
        <v>44.65</v>
      </c>
      <c r="J792">
        <v>62.47</v>
      </c>
      <c r="K792">
        <v>18</v>
      </c>
      <c r="L792">
        <v>42.543971999999997</v>
      </c>
      <c r="M792">
        <v>21.8</v>
      </c>
      <c r="O792">
        <v>1880000</v>
      </c>
      <c r="R792">
        <v>4.57</v>
      </c>
      <c r="S792">
        <v>2345409</v>
      </c>
      <c r="T792">
        <v>-4.1128</v>
      </c>
      <c r="U792">
        <v>13.728899999999999</v>
      </c>
    </row>
    <row r="793" spans="1:21">
      <c r="A793" t="s">
        <v>58</v>
      </c>
      <c r="B793">
        <v>2014</v>
      </c>
      <c r="C793">
        <v>5931.7676000000001</v>
      </c>
      <c r="E793">
        <v>0.72</v>
      </c>
      <c r="F793">
        <v>0</v>
      </c>
      <c r="G793">
        <v>0.96</v>
      </c>
      <c r="H793">
        <v>57.142859999999999</v>
      </c>
      <c r="I793">
        <v>43.63</v>
      </c>
      <c r="J793">
        <v>62.23</v>
      </c>
      <c r="K793">
        <v>18</v>
      </c>
      <c r="L793">
        <v>43.432119999999998</v>
      </c>
      <c r="M793">
        <v>23.5</v>
      </c>
      <c r="O793">
        <v>0</v>
      </c>
      <c r="R793">
        <v>4.24</v>
      </c>
      <c r="S793">
        <v>2345409</v>
      </c>
      <c r="T793">
        <v>-4.1128</v>
      </c>
      <c r="U793">
        <v>13.728899999999999</v>
      </c>
    </row>
    <row r="794" spans="1:21">
      <c r="A794" t="s">
        <v>58</v>
      </c>
      <c r="B794">
        <v>2015</v>
      </c>
      <c r="C794">
        <v>5841.0559999999996</v>
      </c>
      <c r="E794">
        <v>1.53</v>
      </c>
      <c r="F794">
        <v>0</v>
      </c>
      <c r="G794">
        <v>1.1399999999999999</v>
      </c>
      <c r="H794">
        <v>42.696629999999999</v>
      </c>
      <c r="I794">
        <v>42.56</v>
      </c>
      <c r="J794">
        <v>64.150000000000006</v>
      </c>
      <c r="K794">
        <v>18</v>
      </c>
      <c r="L794">
        <v>44.401649999999997</v>
      </c>
      <c r="M794">
        <v>25.4</v>
      </c>
      <c r="R794">
        <v>4.62</v>
      </c>
      <c r="S794">
        <v>2345409</v>
      </c>
      <c r="T794">
        <v>-4.1128</v>
      </c>
      <c r="U794">
        <v>13.728899999999999</v>
      </c>
    </row>
    <row r="795" spans="1:21">
      <c r="A795" t="s">
        <v>58</v>
      </c>
      <c r="B795">
        <v>2016</v>
      </c>
      <c r="C795">
        <v>5449.973</v>
      </c>
      <c r="E795">
        <v>1.66</v>
      </c>
      <c r="F795">
        <v>0</v>
      </c>
      <c r="G795">
        <v>1.17</v>
      </c>
      <c r="H795">
        <v>41.342753999999999</v>
      </c>
      <c r="I795">
        <v>42.79</v>
      </c>
      <c r="J795">
        <v>67.61</v>
      </c>
      <c r="K795">
        <v>18</v>
      </c>
      <c r="L795">
        <v>45.508327000000001</v>
      </c>
      <c r="M795">
        <v>27.4</v>
      </c>
      <c r="O795">
        <v>90000</v>
      </c>
      <c r="R795">
        <v>5.39</v>
      </c>
      <c r="S795">
        <v>2345409</v>
      </c>
      <c r="T795">
        <v>-4.1128</v>
      </c>
      <c r="U795">
        <v>13.728899999999999</v>
      </c>
    </row>
    <row r="796" spans="1:21">
      <c r="A796" t="s">
        <v>58</v>
      </c>
      <c r="B796">
        <v>2017</v>
      </c>
      <c r="C796">
        <v>3985.2053000000001</v>
      </c>
      <c r="E796">
        <v>1.61</v>
      </c>
      <c r="F796">
        <v>0</v>
      </c>
      <c r="G796">
        <v>1.24</v>
      </c>
      <c r="H796">
        <v>43.508774000000003</v>
      </c>
      <c r="I796">
        <v>44.35</v>
      </c>
      <c r="J796">
        <v>69.73</v>
      </c>
      <c r="K796">
        <v>18</v>
      </c>
      <c r="L796">
        <v>46.573948000000001</v>
      </c>
      <c r="M796">
        <v>29.5</v>
      </c>
      <c r="R796">
        <v>5.64</v>
      </c>
      <c r="S796">
        <v>2345409</v>
      </c>
      <c r="T796">
        <v>-4.1128</v>
      </c>
      <c r="U796">
        <v>13.728899999999999</v>
      </c>
    </row>
    <row r="797" spans="1:21">
      <c r="A797" t="s">
        <v>58</v>
      </c>
      <c r="B797">
        <v>2018</v>
      </c>
      <c r="C797">
        <v>3605.2743999999998</v>
      </c>
      <c r="E797">
        <v>1.82</v>
      </c>
      <c r="F797">
        <v>0</v>
      </c>
      <c r="G797">
        <v>1.1499999999999999</v>
      </c>
      <c r="H797">
        <v>38.72054</v>
      </c>
      <c r="I797">
        <v>43.25</v>
      </c>
      <c r="J797">
        <v>69.34</v>
      </c>
      <c r="K797">
        <v>18</v>
      </c>
      <c r="L797">
        <v>47.416676000000002</v>
      </c>
      <c r="M797">
        <v>31.05</v>
      </c>
      <c r="O797">
        <v>20630000</v>
      </c>
      <c r="R797">
        <v>6.12</v>
      </c>
      <c r="S797">
        <v>2345409</v>
      </c>
      <c r="T797">
        <v>-4.1128</v>
      </c>
      <c r="U797">
        <v>13.728899999999999</v>
      </c>
    </row>
    <row r="798" spans="1:21">
      <c r="A798" t="s">
        <v>58</v>
      </c>
      <c r="B798">
        <v>2019</v>
      </c>
      <c r="C798">
        <v>2873.82</v>
      </c>
      <c r="E798">
        <v>2.72</v>
      </c>
      <c r="F798">
        <v>0</v>
      </c>
      <c r="G798">
        <v>0.94</v>
      </c>
      <c r="H798">
        <v>25.683060000000001</v>
      </c>
      <c r="I798">
        <v>42.16</v>
      </c>
      <c r="J798">
        <v>68.67</v>
      </c>
      <c r="K798">
        <v>18</v>
      </c>
      <c r="L798">
        <v>48.407474999999998</v>
      </c>
      <c r="M798">
        <v>32.6</v>
      </c>
      <c r="O798">
        <v>90000</v>
      </c>
      <c r="R798">
        <v>6.55</v>
      </c>
      <c r="S798">
        <v>2345409</v>
      </c>
      <c r="T798">
        <v>-4.1128</v>
      </c>
      <c r="U798">
        <v>13.728899999999999</v>
      </c>
    </row>
    <row r="799" spans="1:21">
      <c r="A799" t="s">
        <v>58</v>
      </c>
      <c r="B799">
        <v>2020</v>
      </c>
      <c r="C799">
        <v>2379.556</v>
      </c>
      <c r="E799">
        <v>2.87</v>
      </c>
      <c r="F799">
        <v>0</v>
      </c>
      <c r="G799">
        <v>0.96</v>
      </c>
      <c r="H799">
        <v>25.065275</v>
      </c>
      <c r="I799">
        <v>41.1</v>
      </c>
      <c r="K799">
        <v>18</v>
      </c>
      <c r="L799">
        <v>49.517099999999999</v>
      </c>
      <c r="M799">
        <v>34.9</v>
      </c>
      <c r="S799">
        <v>2345409</v>
      </c>
      <c r="T799">
        <v>-4.1128</v>
      </c>
      <c r="U799">
        <v>13.728899999999999</v>
      </c>
    </row>
    <row r="800" spans="1:21">
      <c r="A800" t="s">
        <v>59</v>
      </c>
      <c r="B800">
        <v>2000</v>
      </c>
      <c r="C800">
        <v>10699.308999999999</v>
      </c>
      <c r="D800">
        <v>4950</v>
      </c>
      <c r="E800">
        <v>7.0000000000000007E-2</v>
      </c>
      <c r="F800">
        <v>0</v>
      </c>
      <c r="G800">
        <v>6.78</v>
      </c>
      <c r="H800">
        <v>98.978099999999998</v>
      </c>
      <c r="I800">
        <v>359.7</v>
      </c>
      <c r="J800">
        <v>32.950000000000003</v>
      </c>
      <c r="K800">
        <v>100</v>
      </c>
      <c r="L800">
        <v>96.94</v>
      </c>
      <c r="M800">
        <v>89</v>
      </c>
      <c r="O800">
        <v>100000</v>
      </c>
      <c r="P800">
        <v>3.8687180880000001</v>
      </c>
      <c r="Q800">
        <v>3789.0538860000001</v>
      </c>
      <c r="R800">
        <v>2.41</v>
      </c>
      <c r="S800">
        <v>51100</v>
      </c>
      <c r="T800">
        <v>9.7489170000000005</v>
      </c>
      <c r="U800">
        <v>-83.753428</v>
      </c>
    </row>
    <row r="801" spans="1:21">
      <c r="A801" t="s">
        <v>59</v>
      </c>
      <c r="B801">
        <v>2001</v>
      </c>
      <c r="C801">
        <v>10693.142</v>
      </c>
      <c r="D801">
        <v>5420</v>
      </c>
      <c r="E801">
        <v>0.11</v>
      </c>
      <c r="F801">
        <v>0</v>
      </c>
      <c r="G801">
        <v>6.78</v>
      </c>
      <c r="H801">
        <v>98.403490000000005</v>
      </c>
      <c r="I801">
        <v>358.3</v>
      </c>
      <c r="J801">
        <v>32.11</v>
      </c>
      <c r="K801">
        <v>100</v>
      </c>
      <c r="L801">
        <v>98.249780000000001</v>
      </c>
      <c r="M801">
        <v>89.4</v>
      </c>
      <c r="O801">
        <v>140120000</v>
      </c>
      <c r="P801">
        <v>3.491169872</v>
      </c>
      <c r="Q801">
        <v>3960.3077029999999</v>
      </c>
      <c r="R801">
        <v>2.34</v>
      </c>
      <c r="S801">
        <v>51100</v>
      </c>
      <c r="T801">
        <v>9.7489170000000005</v>
      </c>
      <c r="U801">
        <v>-83.753428</v>
      </c>
    </row>
    <row r="802" spans="1:21">
      <c r="A802" t="s">
        <v>59</v>
      </c>
      <c r="B802">
        <v>2002</v>
      </c>
      <c r="C802">
        <v>10944.455</v>
      </c>
      <c r="D802">
        <v>5519.9999809999999</v>
      </c>
      <c r="E802">
        <v>0.16</v>
      </c>
      <c r="F802">
        <v>0</v>
      </c>
      <c r="G802">
        <v>7.26</v>
      </c>
      <c r="H802">
        <v>97.843665999999999</v>
      </c>
      <c r="I802">
        <v>363.6</v>
      </c>
      <c r="J802">
        <v>32.54</v>
      </c>
      <c r="K802">
        <v>100</v>
      </c>
      <c r="L802">
        <v>98.509186</v>
      </c>
      <c r="M802">
        <v>89.8</v>
      </c>
      <c r="P802">
        <v>3.4168763900000001</v>
      </c>
      <c r="Q802">
        <v>4042.7056859999998</v>
      </c>
      <c r="R802">
        <v>2.39</v>
      </c>
      <c r="S802">
        <v>51100</v>
      </c>
      <c r="T802">
        <v>9.7489170000000005</v>
      </c>
      <c r="U802">
        <v>-83.753428</v>
      </c>
    </row>
    <row r="803" spans="1:21">
      <c r="A803" t="s">
        <v>59</v>
      </c>
      <c r="B803">
        <v>2003</v>
      </c>
      <c r="C803">
        <v>10991.341</v>
      </c>
      <c r="D803">
        <v>5800.0001910000001</v>
      </c>
      <c r="E803">
        <v>0.19</v>
      </c>
      <c r="F803">
        <v>0</v>
      </c>
      <c r="G803">
        <v>7.1</v>
      </c>
      <c r="H803">
        <v>97.393690000000007</v>
      </c>
      <c r="I803">
        <v>371.05</v>
      </c>
      <c r="J803">
        <v>33.299999999999997</v>
      </c>
      <c r="K803">
        <v>100</v>
      </c>
      <c r="L803">
        <v>98.695899999999995</v>
      </c>
      <c r="M803">
        <v>90.1</v>
      </c>
      <c r="O803">
        <v>16200000</v>
      </c>
      <c r="P803">
        <v>4.317179866</v>
      </c>
      <c r="Q803">
        <v>4147.8243689999999</v>
      </c>
      <c r="R803">
        <v>2.44</v>
      </c>
      <c r="S803">
        <v>51100</v>
      </c>
      <c r="T803">
        <v>9.7489170000000005</v>
      </c>
      <c r="U803">
        <v>-83.753428</v>
      </c>
    </row>
    <row r="804" spans="1:21">
      <c r="A804" t="s">
        <v>59</v>
      </c>
      <c r="B804">
        <v>2004</v>
      </c>
      <c r="C804">
        <v>11161.785</v>
      </c>
      <c r="D804">
        <v>5940.0000570000002</v>
      </c>
      <c r="E804">
        <v>7.0000000000000007E-2</v>
      </c>
      <c r="F804">
        <v>0</v>
      </c>
      <c r="G804">
        <v>7.9</v>
      </c>
      <c r="H804">
        <v>99.121709999999993</v>
      </c>
      <c r="I804">
        <v>371.03</v>
      </c>
      <c r="J804">
        <v>39.159999999999997</v>
      </c>
      <c r="K804">
        <v>100</v>
      </c>
      <c r="L804">
        <v>98.95478</v>
      </c>
      <c r="M804">
        <v>90.4</v>
      </c>
      <c r="O804">
        <v>90000</v>
      </c>
      <c r="P804">
        <v>4.4245995970000003</v>
      </c>
      <c r="Q804">
        <v>4404.7118840000003</v>
      </c>
      <c r="R804">
        <v>2.78</v>
      </c>
      <c r="S804">
        <v>51100</v>
      </c>
      <c r="T804">
        <v>9.7489170000000005</v>
      </c>
      <c r="U804">
        <v>-83.753428</v>
      </c>
    </row>
    <row r="805" spans="1:21">
      <c r="A805" t="s">
        <v>59</v>
      </c>
      <c r="B805">
        <v>2005</v>
      </c>
      <c r="C805">
        <v>11431.701999999999</v>
      </c>
      <c r="D805">
        <v>6269.9999809999999</v>
      </c>
      <c r="E805">
        <v>0.28000000000000003</v>
      </c>
      <c r="F805">
        <v>0</v>
      </c>
      <c r="G805">
        <v>7.87</v>
      </c>
      <c r="H805">
        <v>96.564419999999998</v>
      </c>
      <c r="I805">
        <v>365.92</v>
      </c>
      <c r="J805">
        <v>41.73</v>
      </c>
      <c r="K805">
        <v>100</v>
      </c>
      <c r="L805">
        <v>99.053055000000001</v>
      </c>
      <c r="M805">
        <v>90.7</v>
      </c>
      <c r="O805">
        <v>100000</v>
      </c>
      <c r="P805">
        <v>3.9766663680000001</v>
      </c>
      <c r="Q805">
        <v>4676.3793660000001</v>
      </c>
      <c r="R805">
        <v>2.67</v>
      </c>
      <c r="S805">
        <v>51100</v>
      </c>
      <c r="T805">
        <v>9.7489170000000005</v>
      </c>
      <c r="U805">
        <v>-83.753428</v>
      </c>
    </row>
    <row r="806" spans="1:21">
      <c r="A806" t="s">
        <v>59</v>
      </c>
      <c r="B806">
        <v>2006</v>
      </c>
      <c r="C806">
        <v>11759.994000000001</v>
      </c>
      <c r="D806">
        <v>6559.9999429999998</v>
      </c>
      <c r="E806">
        <v>0.53</v>
      </c>
      <c r="F806">
        <v>0</v>
      </c>
      <c r="G806">
        <v>8.0500000000000007</v>
      </c>
      <c r="H806">
        <v>93.822845000000001</v>
      </c>
      <c r="I806">
        <v>385.85</v>
      </c>
      <c r="J806">
        <v>42.4</v>
      </c>
      <c r="K806">
        <v>100</v>
      </c>
      <c r="L806">
        <v>99.14752</v>
      </c>
      <c r="M806">
        <v>91.2</v>
      </c>
      <c r="O806">
        <v>80000</v>
      </c>
      <c r="P806">
        <v>7.3266954320000002</v>
      </c>
      <c r="Q806">
        <v>5227.4659519999996</v>
      </c>
      <c r="R806">
        <v>2.71</v>
      </c>
      <c r="S806">
        <v>51100</v>
      </c>
      <c r="T806">
        <v>9.7489170000000005</v>
      </c>
      <c r="U806">
        <v>-83.753428</v>
      </c>
    </row>
    <row r="807" spans="1:21">
      <c r="A807" t="s">
        <v>59</v>
      </c>
      <c r="B807">
        <v>2007</v>
      </c>
      <c r="C807">
        <v>12253.691999999999</v>
      </c>
      <c r="D807">
        <v>7599.9999049999997</v>
      </c>
      <c r="E807">
        <v>0.69</v>
      </c>
      <c r="F807">
        <v>0</v>
      </c>
      <c r="G807">
        <v>8.24</v>
      </c>
      <c r="H807">
        <v>92.273229999999998</v>
      </c>
      <c r="I807">
        <v>424.39</v>
      </c>
      <c r="J807">
        <v>41.19</v>
      </c>
      <c r="K807">
        <v>100</v>
      </c>
      <c r="L807">
        <v>99.217995000000002</v>
      </c>
      <c r="M807">
        <v>91.3</v>
      </c>
      <c r="O807">
        <v>700000</v>
      </c>
      <c r="P807">
        <v>8.2151319829999991</v>
      </c>
      <c r="Q807">
        <v>6103.7419170000003</v>
      </c>
      <c r="R807">
        <v>2.64</v>
      </c>
      <c r="S807">
        <v>51100</v>
      </c>
      <c r="T807">
        <v>9.7489170000000005</v>
      </c>
      <c r="U807">
        <v>-83.753428</v>
      </c>
    </row>
    <row r="808" spans="1:21">
      <c r="A808" t="s">
        <v>59</v>
      </c>
      <c r="B808">
        <v>2008</v>
      </c>
      <c r="C808">
        <v>12241.504000000001</v>
      </c>
      <c r="D808">
        <v>7519.9999809999999</v>
      </c>
      <c r="E808">
        <v>0.68</v>
      </c>
      <c r="F808">
        <v>0</v>
      </c>
      <c r="G808">
        <v>8.68</v>
      </c>
      <c r="H808">
        <v>92.735050000000001</v>
      </c>
      <c r="I808">
        <v>422.92</v>
      </c>
      <c r="J808">
        <v>40.700000000000003</v>
      </c>
      <c r="K808">
        <v>100</v>
      </c>
      <c r="L808">
        <v>99.263940000000005</v>
      </c>
      <c r="M808">
        <v>91.8</v>
      </c>
      <c r="O808">
        <v>90000</v>
      </c>
      <c r="P808">
        <v>4.7381748779999997</v>
      </c>
      <c r="Q808">
        <v>6901.3883059999998</v>
      </c>
      <c r="R808">
        <v>2.54</v>
      </c>
      <c r="S808">
        <v>51100</v>
      </c>
      <c r="T808">
        <v>9.7489170000000005</v>
      </c>
      <c r="U808">
        <v>-83.753428</v>
      </c>
    </row>
    <row r="809" spans="1:21">
      <c r="A809" t="s">
        <v>59</v>
      </c>
      <c r="B809">
        <v>2009</v>
      </c>
      <c r="C809">
        <v>11747.936</v>
      </c>
      <c r="D809">
        <v>7199.9998089999999</v>
      </c>
      <c r="E809">
        <v>0.52</v>
      </c>
      <c r="F809">
        <v>0</v>
      </c>
      <c r="G809">
        <v>8.6999999999999993</v>
      </c>
      <c r="H809">
        <v>94.360084999999998</v>
      </c>
      <c r="I809">
        <v>437.93</v>
      </c>
      <c r="J809">
        <v>40.72</v>
      </c>
      <c r="K809">
        <v>100</v>
      </c>
      <c r="L809">
        <v>99.409805000000006</v>
      </c>
      <c r="M809">
        <v>92.1</v>
      </c>
      <c r="O809">
        <v>10000</v>
      </c>
      <c r="P809">
        <v>-0.87345594299999996</v>
      </c>
      <c r="Q809">
        <v>6801.0367349999997</v>
      </c>
      <c r="R809">
        <v>2.58</v>
      </c>
      <c r="S809">
        <v>51100</v>
      </c>
      <c r="T809">
        <v>9.7489170000000005</v>
      </c>
      <c r="U809">
        <v>-83.753428</v>
      </c>
    </row>
    <row r="810" spans="1:21">
      <c r="A810" t="s">
        <v>59</v>
      </c>
      <c r="B810">
        <v>2010</v>
      </c>
      <c r="C810">
        <v>11786.666999999999</v>
      </c>
      <c r="D810">
        <v>7110.0001339999999</v>
      </c>
      <c r="E810">
        <v>0.71</v>
      </c>
      <c r="F810">
        <v>0</v>
      </c>
      <c r="G810">
        <v>8.76</v>
      </c>
      <c r="H810">
        <v>92.50264</v>
      </c>
      <c r="I810">
        <v>429.94</v>
      </c>
      <c r="J810">
        <v>40.39</v>
      </c>
      <c r="K810">
        <v>100</v>
      </c>
      <c r="L810">
        <v>98.995734999999996</v>
      </c>
      <c r="M810">
        <v>92.4</v>
      </c>
      <c r="O810">
        <v>7640000</v>
      </c>
      <c r="P810">
        <v>5.3603435260000003</v>
      </c>
      <c r="Q810">
        <v>8227.1274940000003</v>
      </c>
      <c r="R810">
        <v>2.4700000000000002</v>
      </c>
      <c r="S810">
        <v>51100</v>
      </c>
      <c r="T810">
        <v>9.7489170000000005</v>
      </c>
      <c r="U810">
        <v>-83.753428</v>
      </c>
    </row>
    <row r="811" spans="1:21">
      <c r="A811" t="s">
        <v>59</v>
      </c>
      <c r="B811">
        <v>2011</v>
      </c>
      <c r="C811">
        <v>11703.091</v>
      </c>
      <c r="D811">
        <v>7429.999828</v>
      </c>
      <c r="E811">
        <v>0.91</v>
      </c>
      <c r="F811">
        <v>0</v>
      </c>
      <c r="G811">
        <v>8.7899999999999991</v>
      </c>
      <c r="H811">
        <v>90.618560000000002</v>
      </c>
      <c r="I811">
        <v>440.67</v>
      </c>
      <c r="J811">
        <v>38.020000000000003</v>
      </c>
      <c r="K811">
        <v>100</v>
      </c>
      <c r="L811">
        <v>99.232346000000007</v>
      </c>
      <c r="M811">
        <v>92.9</v>
      </c>
      <c r="O811">
        <v>1670000</v>
      </c>
      <c r="P811">
        <v>4.4031592399999999</v>
      </c>
      <c r="Q811">
        <v>9229.8345169999993</v>
      </c>
      <c r="R811">
        <v>2.38</v>
      </c>
      <c r="S811">
        <v>51100</v>
      </c>
      <c r="T811">
        <v>9.7489170000000005</v>
      </c>
      <c r="U811">
        <v>-83.753428</v>
      </c>
    </row>
    <row r="812" spans="1:21">
      <c r="A812" t="s">
        <v>59</v>
      </c>
      <c r="B812">
        <v>2012</v>
      </c>
      <c r="C812">
        <v>11673.353999999999</v>
      </c>
      <c r="D812">
        <v>7449.9998089999999</v>
      </c>
      <c r="E812">
        <v>0.9</v>
      </c>
      <c r="F812">
        <v>0</v>
      </c>
      <c r="G812">
        <v>9.15</v>
      </c>
      <c r="H812">
        <v>91.04477</v>
      </c>
      <c r="I812">
        <v>459.33</v>
      </c>
      <c r="J812">
        <v>38.06</v>
      </c>
      <c r="K812">
        <v>100</v>
      </c>
      <c r="L812">
        <v>99.503296000000006</v>
      </c>
      <c r="M812">
        <v>93.1</v>
      </c>
      <c r="O812">
        <v>333910000</v>
      </c>
      <c r="P812">
        <v>4.8825923690000002</v>
      </c>
      <c r="Q812">
        <v>10075.00462</v>
      </c>
      <c r="R812">
        <v>2.36</v>
      </c>
      <c r="S812">
        <v>51100</v>
      </c>
      <c r="T812">
        <v>9.7489170000000005</v>
      </c>
      <c r="U812">
        <v>-83.753428</v>
      </c>
    </row>
    <row r="813" spans="1:21">
      <c r="A813" t="s">
        <v>59</v>
      </c>
      <c r="B813">
        <v>2013</v>
      </c>
      <c r="C813">
        <v>11618.478999999999</v>
      </c>
      <c r="D813">
        <v>7780.0002100000002</v>
      </c>
      <c r="E813">
        <v>1.23</v>
      </c>
      <c r="F813">
        <v>0</v>
      </c>
      <c r="G813">
        <v>8.8800000000000008</v>
      </c>
      <c r="H813">
        <v>87.833830000000006</v>
      </c>
      <c r="I813">
        <v>458.39</v>
      </c>
      <c r="J813">
        <v>37.799999999999997</v>
      </c>
      <c r="K813">
        <v>100</v>
      </c>
      <c r="L813">
        <v>99.563514999999995</v>
      </c>
      <c r="M813">
        <v>93.6</v>
      </c>
      <c r="O813">
        <v>122760000</v>
      </c>
      <c r="P813">
        <v>2.4947661079999999</v>
      </c>
      <c r="Q813">
        <v>10744.09102</v>
      </c>
      <c r="R813">
        <v>2.42</v>
      </c>
      <c r="S813">
        <v>51100</v>
      </c>
      <c r="T813">
        <v>9.7489170000000005</v>
      </c>
      <c r="U813">
        <v>-83.753428</v>
      </c>
    </row>
    <row r="814" spans="1:21">
      <c r="A814" t="s">
        <v>59</v>
      </c>
      <c r="B814">
        <v>2014</v>
      </c>
      <c r="C814">
        <v>11726.931</v>
      </c>
      <c r="D814">
        <v>7829.9999239999997</v>
      </c>
      <c r="E814">
        <v>1.1000000000000001</v>
      </c>
      <c r="F814">
        <v>0</v>
      </c>
      <c r="G814">
        <v>9.01</v>
      </c>
      <c r="H814">
        <v>89.119690000000006</v>
      </c>
      <c r="I814">
        <v>468.18</v>
      </c>
      <c r="J814">
        <v>37.619999999999997</v>
      </c>
      <c r="K814">
        <v>100</v>
      </c>
      <c r="L814">
        <v>99.359290000000001</v>
      </c>
      <c r="M814">
        <v>94</v>
      </c>
      <c r="O814">
        <v>161780000</v>
      </c>
      <c r="P814">
        <v>3.5421098780000002</v>
      </c>
      <c r="Q814">
        <v>10847.169669999999</v>
      </c>
      <c r="R814">
        <v>2.37</v>
      </c>
      <c r="S814">
        <v>51100</v>
      </c>
      <c r="T814">
        <v>9.7489170000000005</v>
      </c>
      <c r="U814">
        <v>-83.753428</v>
      </c>
    </row>
    <row r="815" spans="1:21">
      <c r="A815" t="s">
        <v>59</v>
      </c>
      <c r="B815">
        <v>2015</v>
      </c>
      <c r="C815">
        <v>12110.349</v>
      </c>
      <c r="D815">
        <v>7539.9999619999999</v>
      </c>
      <c r="E815">
        <v>0.26</v>
      </c>
      <c r="F815">
        <v>0</v>
      </c>
      <c r="G815">
        <v>10.5</v>
      </c>
      <c r="H815">
        <v>97.583640000000003</v>
      </c>
      <c r="I815">
        <v>486.68</v>
      </c>
      <c r="J815">
        <v>38.33</v>
      </c>
      <c r="K815">
        <v>100</v>
      </c>
      <c r="L815">
        <v>99.409805000000006</v>
      </c>
      <c r="M815">
        <v>94.3</v>
      </c>
      <c r="O815">
        <v>596370000</v>
      </c>
      <c r="P815">
        <v>3.6520809679999999</v>
      </c>
      <c r="Q815">
        <v>11642.778050000001</v>
      </c>
      <c r="R815">
        <v>2.23</v>
      </c>
      <c r="S815">
        <v>51100</v>
      </c>
      <c r="T815">
        <v>9.7489170000000005</v>
      </c>
      <c r="U815">
        <v>-83.753428</v>
      </c>
    </row>
    <row r="816" spans="1:21">
      <c r="A816" t="s">
        <v>59</v>
      </c>
      <c r="B816">
        <v>2016</v>
      </c>
      <c r="C816">
        <v>12301.995999999999</v>
      </c>
      <c r="D816">
        <v>8079.9999239999997</v>
      </c>
      <c r="E816">
        <v>0.35</v>
      </c>
      <c r="F816">
        <v>0</v>
      </c>
      <c r="G816">
        <v>10.5</v>
      </c>
      <c r="H816">
        <v>96.774190000000004</v>
      </c>
      <c r="I816">
        <v>590.73</v>
      </c>
      <c r="J816">
        <v>36.81</v>
      </c>
      <c r="K816">
        <v>100</v>
      </c>
      <c r="L816">
        <v>99.5</v>
      </c>
      <c r="M816">
        <v>94.6</v>
      </c>
      <c r="O816">
        <v>173040000</v>
      </c>
      <c r="P816">
        <v>4.204323252</v>
      </c>
      <c r="Q816">
        <v>12011.222750000001</v>
      </c>
      <c r="R816">
        <v>2.2000000000000002</v>
      </c>
      <c r="S816">
        <v>51100</v>
      </c>
      <c r="T816">
        <v>9.7489170000000005</v>
      </c>
      <c r="U816">
        <v>-83.753428</v>
      </c>
    </row>
    <row r="817" spans="1:21">
      <c r="A817" t="s">
        <v>59</v>
      </c>
      <c r="B817">
        <v>2017</v>
      </c>
      <c r="C817">
        <v>12649.782999999999</v>
      </c>
      <c r="D817">
        <v>8260.0002289999993</v>
      </c>
      <c r="E817">
        <v>0.21</v>
      </c>
      <c r="F817">
        <v>0</v>
      </c>
      <c r="G817">
        <v>11.06</v>
      </c>
      <c r="H817">
        <v>98.13664</v>
      </c>
      <c r="I817">
        <v>608.09</v>
      </c>
      <c r="J817">
        <v>36.200000000000003</v>
      </c>
      <c r="K817">
        <v>100</v>
      </c>
      <c r="L817">
        <v>99.6</v>
      </c>
      <c r="M817">
        <v>94.9</v>
      </c>
      <c r="O817">
        <v>251880000</v>
      </c>
      <c r="P817">
        <v>4.1576989629999996</v>
      </c>
      <c r="Q817">
        <v>12225.574490000001</v>
      </c>
      <c r="R817">
        <v>2.09</v>
      </c>
      <c r="S817">
        <v>51100</v>
      </c>
      <c r="T817">
        <v>9.7489170000000005</v>
      </c>
      <c r="U817">
        <v>-83.753428</v>
      </c>
    </row>
    <row r="818" spans="1:21">
      <c r="A818" t="s">
        <v>59</v>
      </c>
      <c r="B818">
        <v>2018</v>
      </c>
      <c r="C818">
        <v>12802.763999999999</v>
      </c>
      <c r="D818">
        <v>8369.9998859999996</v>
      </c>
      <c r="E818">
        <v>0.31</v>
      </c>
      <c r="F818">
        <v>0</v>
      </c>
      <c r="G818">
        <v>11.13</v>
      </c>
      <c r="H818">
        <v>97.290215000000003</v>
      </c>
      <c r="I818">
        <v>615.07000000000005</v>
      </c>
      <c r="J818">
        <v>35.700000000000003</v>
      </c>
      <c r="K818">
        <v>100</v>
      </c>
      <c r="L818">
        <v>99.7</v>
      </c>
      <c r="M818">
        <v>95.3</v>
      </c>
      <c r="O818">
        <v>27800000</v>
      </c>
      <c r="P818">
        <v>2.6159044040000001</v>
      </c>
      <c r="Q818">
        <v>12485.4239</v>
      </c>
      <c r="R818">
        <v>1.98</v>
      </c>
      <c r="S818">
        <v>51100</v>
      </c>
      <c r="T818">
        <v>9.7489170000000005</v>
      </c>
      <c r="U818">
        <v>-83.753428</v>
      </c>
    </row>
    <row r="819" spans="1:21">
      <c r="A819" t="s">
        <v>59</v>
      </c>
      <c r="B819">
        <v>2019</v>
      </c>
      <c r="C819">
        <v>13012.45</v>
      </c>
      <c r="D819">
        <v>8239.9997710000007</v>
      </c>
      <c r="E819">
        <v>0.25</v>
      </c>
      <c r="F819">
        <v>0</v>
      </c>
      <c r="G819">
        <v>11.18</v>
      </c>
      <c r="H819">
        <v>97.81277</v>
      </c>
      <c r="I819">
        <v>622.84</v>
      </c>
      <c r="J819">
        <v>35.76</v>
      </c>
      <c r="K819">
        <v>100</v>
      </c>
      <c r="L819">
        <v>99.71</v>
      </c>
      <c r="M819">
        <v>95.6</v>
      </c>
      <c r="O819">
        <v>680000</v>
      </c>
      <c r="P819">
        <v>2.2563150790000002</v>
      </c>
      <c r="Q819">
        <v>12693.827960000001</v>
      </c>
      <c r="R819">
        <v>2.11</v>
      </c>
      <c r="S819">
        <v>51100</v>
      </c>
      <c r="T819">
        <v>9.7489170000000005</v>
      </c>
      <c r="U819">
        <v>-83.753428</v>
      </c>
    </row>
    <row r="820" spans="1:21">
      <c r="A820" t="s">
        <v>59</v>
      </c>
      <c r="B820">
        <v>2020</v>
      </c>
      <c r="C820">
        <v>11486.324000000001</v>
      </c>
      <c r="E820">
        <v>0.19</v>
      </c>
      <c r="F820">
        <v>0</v>
      </c>
      <c r="G820">
        <v>11.55</v>
      </c>
      <c r="H820">
        <v>98.381609999999995</v>
      </c>
      <c r="I820">
        <v>613.34</v>
      </c>
      <c r="K820">
        <v>100</v>
      </c>
      <c r="L820">
        <v>99.9</v>
      </c>
      <c r="M820">
        <v>95.7</v>
      </c>
      <c r="P820">
        <v>-4.0636765349999999</v>
      </c>
      <c r="Q820">
        <v>12140.854149999999</v>
      </c>
      <c r="S820">
        <v>51100</v>
      </c>
      <c r="T820">
        <v>9.7489170000000005</v>
      </c>
      <c r="U820">
        <v>-83.753428</v>
      </c>
    </row>
    <row r="821" spans="1:21">
      <c r="A821" t="s">
        <v>60</v>
      </c>
      <c r="B821">
        <v>2000</v>
      </c>
      <c r="C821">
        <v>21227.025000000001</v>
      </c>
      <c r="D821">
        <v>18040</v>
      </c>
      <c r="E821">
        <v>4.8099999999999996</v>
      </c>
      <c r="F821">
        <v>0</v>
      </c>
      <c r="G821">
        <v>6.45</v>
      </c>
      <c r="H821">
        <v>57.282412999999998</v>
      </c>
      <c r="J821">
        <v>26.76</v>
      </c>
      <c r="K821">
        <v>73</v>
      </c>
      <c r="L821">
        <v>100</v>
      </c>
      <c r="M821">
        <v>100</v>
      </c>
      <c r="N821">
        <v>19.766573000000001</v>
      </c>
      <c r="P821">
        <v>2.8955005059999999</v>
      </c>
      <c r="Q821">
        <v>4887.7137160000002</v>
      </c>
      <c r="R821">
        <v>4.32</v>
      </c>
      <c r="S821">
        <v>56594</v>
      </c>
      <c r="T821">
        <v>45.1</v>
      </c>
      <c r="U821">
        <v>15.2</v>
      </c>
    </row>
    <row r="822" spans="1:21">
      <c r="A822" t="s">
        <v>60</v>
      </c>
      <c r="B822">
        <v>2001</v>
      </c>
      <c r="C822">
        <v>22525.261999999999</v>
      </c>
      <c r="D822">
        <v>19200</v>
      </c>
      <c r="E822">
        <v>5.59</v>
      </c>
      <c r="F822">
        <v>0</v>
      </c>
      <c r="G822">
        <v>7.18</v>
      </c>
      <c r="H822">
        <v>56.225524999999998</v>
      </c>
      <c r="J822">
        <v>26.92</v>
      </c>
      <c r="K822">
        <v>73</v>
      </c>
      <c r="L822">
        <v>100</v>
      </c>
      <c r="M822">
        <v>100</v>
      </c>
      <c r="N822">
        <v>20.780860000000001</v>
      </c>
      <c r="P822">
        <v>3.0324982650000001</v>
      </c>
      <c r="Q822">
        <v>5412.9251359999998</v>
      </c>
      <c r="R822">
        <v>4.3600000000000003</v>
      </c>
      <c r="S822">
        <v>56594</v>
      </c>
      <c r="T822">
        <v>45.1</v>
      </c>
      <c r="U822">
        <v>15.2</v>
      </c>
    </row>
    <row r="823" spans="1:21">
      <c r="A823" t="s">
        <v>60</v>
      </c>
      <c r="B823">
        <v>2002</v>
      </c>
      <c r="C823">
        <v>22668.963</v>
      </c>
      <c r="D823">
        <v>20280.000690000001</v>
      </c>
      <c r="E823">
        <v>6.86</v>
      </c>
      <c r="F823">
        <v>0</v>
      </c>
      <c r="G823">
        <v>5.85</v>
      </c>
      <c r="H823">
        <v>46.02675</v>
      </c>
      <c r="J823">
        <v>24.61</v>
      </c>
      <c r="K823">
        <v>73</v>
      </c>
      <c r="L823">
        <v>100</v>
      </c>
      <c r="M823">
        <v>100</v>
      </c>
      <c r="N823">
        <v>16.805689999999998</v>
      </c>
      <c r="P823">
        <v>5.7220742009999999</v>
      </c>
      <c r="Q823">
        <v>6293.2252989999997</v>
      </c>
      <c r="R823">
        <v>4.24</v>
      </c>
      <c r="S823">
        <v>56594</v>
      </c>
      <c r="T823">
        <v>45.1</v>
      </c>
      <c r="U823">
        <v>15.2</v>
      </c>
    </row>
    <row r="824" spans="1:21">
      <c r="A824" t="s">
        <v>60</v>
      </c>
      <c r="B824">
        <v>2003</v>
      </c>
      <c r="C824">
        <v>23832.379000000001</v>
      </c>
      <c r="D824">
        <v>21610.000609999999</v>
      </c>
      <c r="E824">
        <v>7.73</v>
      </c>
      <c r="F824">
        <v>0</v>
      </c>
      <c r="G824">
        <v>5.46</v>
      </c>
      <c r="H824">
        <v>41.394996999999996</v>
      </c>
      <c r="J824">
        <v>24.82</v>
      </c>
      <c r="K824">
        <v>73</v>
      </c>
      <c r="L824">
        <v>100</v>
      </c>
      <c r="M824">
        <v>100</v>
      </c>
      <c r="N824">
        <v>14.887934</v>
      </c>
      <c r="P824">
        <v>5.5259467280000001</v>
      </c>
      <c r="Q824">
        <v>8129.7945840000002</v>
      </c>
      <c r="R824">
        <v>4.3</v>
      </c>
      <c r="S824">
        <v>56594</v>
      </c>
      <c r="T824">
        <v>45.1</v>
      </c>
      <c r="U824">
        <v>15.2</v>
      </c>
    </row>
    <row r="825" spans="1:21">
      <c r="A825" t="s">
        <v>60</v>
      </c>
      <c r="B825">
        <v>2004</v>
      </c>
      <c r="C825">
        <v>24877.861000000001</v>
      </c>
      <c r="D825">
        <v>21100.000380000001</v>
      </c>
      <c r="E825">
        <v>6.26</v>
      </c>
      <c r="F825">
        <v>0</v>
      </c>
      <c r="G825">
        <v>7.63</v>
      </c>
      <c r="H825">
        <v>54.931601999999998</v>
      </c>
      <c r="J825">
        <v>26.56</v>
      </c>
      <c r="K825">
        <v>73</v>
      </c>
      <c r="L825">
        <v>100</v>
      </c>
      <c r="M825">
        <v>100</v>
      </c>
      <c r="N825">
        <v>19.899082</v>
      </c>
      <c r="P825">
        <v>4.1493368080000002</v>
      </c>
      <c r="Q825">
        <v>9747.4407709999996</v>
      </c>
      <c r="R825">
        <v>4.13</v>
      </c>
      <c r="S825">
        <v>56594</v>
      </c>
      <c r="T825">
        <v>45.1</v>
      </c>
      <c r="U825">
        <v>15.2</v>
      </c>
    </row>
    <row r="826" spans="1:21">
      <c r="A826" t="s">
        <v>60</v>
      </c>
      <c r="B826">
        <v>2005</v>
      </c>
      <c r="C826">
        <v>24671.021000000001</v>
      </c>
      <c r="D826">
        <v>21450.000759999999</v>
      </c>
      <c r="E826">
        <v>6</v>
      </c>
      <c r="F826">
        <v>0</v>
      </c>
      <c r="G826">
        <v>7.06</v>
      </c>
      <c r="H826">
        <v>54.058190000000003</v>
      </c>
      <c r="J826">
        <v>26.82</v>
      </c>
      <c r="K826">
        <v>73</v>
      </c>
      <c r="L826">
        <v>100</v>
      </c>
      <c r="M826">
        <v>100</v>
      </c>
      <c r="N826">
        <v>18.502132</v>
      </c>
      <c r="P826">
        <v>4.3124011859999998</v>
      </c>
      <c r="Q826">
        <v>10621.507460000001</v>
      </c>
      <c r="R826">
        <v>4.0199999999999996</v>
      </c>
      <c r="S826">
        <v>56594</v>
      </c>
      <c r="T826">
        <v>45.1</v>
      </c>
      <c r="U826">
        <v>15.2</v>
      </c>
    </row>
    <row r="827" spans="1:21">
      <c r="A827" t="s">
        <v>60</v>
      </c>
      <c r="B827">
        <v>2006</v>
      </c>
      <c r="C827">
        <v>24436.511999999999</v>
      </c>
      <c r="D827">
        <v>21610.000609999999</v>
      </c>
      <c r="E827">
        <v>6.27</v>
      </c>
      <c r="F827">
        <v>0</v>
      </c>
      <c r="G827">
        <v>6.65</v>
      </c>
      <c r="H827">
        <v>51.470590000000001</v>
      </c>
      <c r="J827">
        <v>25.51</v>
      </c>
      <c r="K827">
        <v>73</v>
      </c>
      <c r="L827">
        <v>100</v>
      </c>
      <c r="M827">
        <v>100</v>
      </c>
      <c r="N827">
        <v>17.524090000000001</v>
      </c>
      <c r="P827">
        <v>4.9383565310000002</v>
      </c>
      <c r="Q827">
        <v>11797.474469999999</v>
      </c>
      <c r="R827">
        <v>3.81</v>
      </c>
      <c r="S827">
        <v>56594</v>
      </c>
      <c r="T827">
        <v>45.1</v>
      </c>
      <c r="U827">
        <v>15.2</v>
      </c>
    </row>
    <row r="828" spans="1:21">
      <c r="A828" t="s">
        <v>60</v>
      </c>
      <c r="B828">
        <v>2007</v>
      </c>
      <c r="C828">
        <v>24617.822</v>
      </c>
      <c r="D828">
        <v>22879.999159999999</v>
      </c>
      <c r="E828">
        <v>7.8</v>
      </c>
      <c r="F828">
        <v>0</v>
      </c>
      <c r="G828">
        <v>4.74</v>
      </c>
      <c r="H828">
        <v>37.799039999999998</v>
      </c>
      <c r="J828">
        <v>22.66</v>
      </c>
      <c r="K828">
        <v>73</v>
      </c>
      <c r="L828">
        <v>100</v>
      </c>
      <c r="M828">
        <v>100</v>
      </c>
      <c r="N828">
        <v>12.365527</v>
      </c>
      <c r="P828">
        <v>4.9128114719999996</v>
      </c>
      <c r="Q828">
        <v>14046.31681</v>
      </c>
      <c r="R828">
        <v>3.77</v>
      </c>
      <c r="S828">
        <v>56594</v>
      </c>
      <c r="T828">
        <v>45.1</v>
      </c>
      <c r="U828">
        <v>15.2</v>
      </c>
    </row>
    <row r="829" spans="1:21">
      <c r="A829" t="s">
        <v>60</v>
      </c>
      <c r="B829">
        <v>2008</v>
      </c>
      <c r="C829">
        <v>24549.995999999999</v>
      </c>
      <c r="D829">
        <v>21729.999540000001</v>
      </c>
      <c r="E829">
        <v>6.94</v>
      </c>
      <c r="F829">
        <v>0</v>
      </c>
      <c r="G829">
        <v>5.84</v>
      </c>
      <c r="H829">
        <v>45.696399999999997</v>
      </c>
      <c r="J829">
        <v>24.14</v>
      </c>
      <c r="K829">
        <v>73</v>
      </c>
      <c r="L829">
        <v>100</v>
      </c>
      <c r="M829">
        <v>100</v>
      </c>
      <c r="N829">
        <v>15.226480499999999</v>
      </c>
      <c r="P829">
        <v>1.8954435519999999</v>
      </c>
      <c r="Q829">
        <v>16416.586810000001</v>
      </c>
      <c r="R829">
        <v>3.6</v>
      </c>
      <c r="S829">
        <v>56594</v>
      </c>
      <c r="T829">
        <v>45.1</v>
      </c>
      <c r="U829">
        <v>15.2</v>
      </c>
    </row>
    <row r="830" spans="1:21">
      <c r="A830" t="s">
        <v>60</v>
      </c>
      <c r="B830">
        <v>2009</v>
      </c>
      <c r="C830">
        <v>24300.623</v>
      </c>
      <c r="D830">
        <v>20309.999469999999</v>
      </c>
      <c r="E830">
        <v>5.87</v>
      </c>
      <c r="F830">
        <v>0</v>
      </c>
      <c r="G830">
        <v>7.48</v>
      </c>
      <c r="H830">
        <v>56.029960000000003</v>
      </c>
      <c r="J830">
        <v>27.16</v>
      </c>
      <c r="K830">
        <v>73</v>
      </c>
      <c r="L830">
        <v>100</v>
      </c>
      <c r="M830">
        <v>100</v>
      </c>
      <c r="N830">
        <v>19.643877</v>
      </c>
      <c r="P830">
        <v>-7.2816995469999997</v>
      </c>
      <c r="Q830">
        <v>14653.04355</v>
      </c>
      <c r="R830">
        <v>3.75</v>
      </c>
      <c r="S830">
        <v>56594</v>
      </c>
      <c r="T830">
        <v>45.1</v>
      </c>
      <c r="U830">
        <v>15.2</v>
      </c>
    </row>
    <row r="831" spans="1:21">
      <c r="A831" t="s">
        <v>60</v>
      </c>
      <c r="B831">
        <v>2010</v>
      </c>
      <c r="C831">
        <v>24781.907999999999</v>
      </c>
      <c r="D831">
        <v>19459.999080000001</v>
      </c>
      <c r="E831">
        <v>5.49</v>
      </c>
      <c r="F831">
        <v>0</v>
      </c>
      <c r="G831">
        <v>9.3000000000000007</v>
      </c>
      <c r="H831">
        <v>62.880324999999999</v>
      </c>
      <c r="J831">
        <v>29.75</v>
      </c>
      <c r="K831">
        <v>73</v>
      </c>
      <c r="L831">
        <v>100</v>
      </c>
      <c r="M831">
        <v>100</v>
      </c>
      <c r="N831">
        <v>23.850373999999999</v>
      </c>
      <c r="P831">
        <v>-1.250700462</v>
      </c>
      <c r="Q831">
        <v>14067.52312</v>
      </c>
      <c r="R831">
        <v>3.76</v>
      </c>
      <c r="S831">
        <v>56594</v>
      </c>
      <c r="T831">
        <v>45.1</v>
      </c>
      <c r="U831">
        <v>15.2</v>
      </c>
    </row>
    <row r="832" spans="1:21">
      <c r="A832" t="s">
        <v>60</v>
      </c>
      <c r="B832">
        <v>2011</v>
      </c>
      <c r="C832">
        <v>21703.076000000001</v>
      </c>
      <c r="D832">
        <v>19030.000690000001</v>
      </c>
      <c r="E832">
        <v>5.95</v>
      </c>
      <c r="F832">
        <v>0</v>
      </c>
      <c r="G832">
        <v>5.28</v>
      </c>
      <c r="H832">
        <v>47.016922000000001</v>
      </c>
      <c r="J832">
        <v>27.16</v>
      </c>
      <c r="K832">
        <v>73</v>
      </c>
      <c r="L832">
        <v>100</v>
      </c>
      <c r="M832">
        <v>100</v>
      </c>
      <c r="N832">
        <v>15.472614</v>
      </c>
      <c r="P832">
        <v>-8.5243549000000002E-2</v>
      </c>
      <c r="Q832">
        <v>14757.180340000001</v>
      </c>
      <c r="R832">
        <v>3.68</v>
      </c>
      <c r="S832">
        <v>56594</v>
      </c>
      <c r="T832">
        <v>45.1</v>
      </c>
      <c r="U832">
        <v>15.2</v>
      </c>
    </row>
    <row r="833" spans="1:21">
      <c r="A833" t="s">
        <v>60</v>
      </c>
      <c r="B833">
        <v>2012</v>
      </c>
      <c r="C833">
        <v>20222.29</v>
      </c>
      <c r="D833">
        <v>17409.99985</v>
      </c>
      <c r="E833">
        <v>5.33</v>
      </c>
      <c r="F833">
        <v>0</v>
      </c>
      <c r="G833">
        <v>5.26</v>
      </c>
      <c r="H833">
        <v>49.669499999999999</v>
      </c>
      <c r="J833">
        <v>29.4</v>
      </c>
      <c r="K833">
        <v>73</v>
      </c>
      <c r="L833">
        <v>100</v>
      </c>
      <c r="M833">
        <v>100</v>
      </c>
      <c r="N833">
        <v>16.519665</v>
      </c>
      <c r="P833">
        <v>-2.2757066460000002</v>
      </c>
      <c r="Q833">
        <v>13401.65662</v>
      </c>
      <c r="R833">
        <v>3.55</v>
      </c>
      <c r="S833">
        <v>56594</v>
      </c>
      <c r="T833">
        <v>45.1</v>
      </c>
      <c r="U833">
        <v>15.2</v>
      </c>
    </row>
    <row r="834" spans="1:21">
      <c r="A834" t="s">
        <v>60</v>
      </c>
      <c r="B834">
        <v>2013</v>
      </c>
      <c r="C834">
        <v>22296.646000000001</v>
      </c>
      <c r="D834">
        <v>17010.000230000001</v>
      </c>
      <c r="E834">
        <v>4.67</v>
      </c>
      <c r="F834">
        <v>0</v>
      </c>
      <c r="G834">
        <v>9.2799999999999994</v>
      </c>
      <c r="H834">
        <v>66.523300000000006</v>
      </c>
      <c r="J834">
        <v>32.82</v>
      </c>
      <c r="K834">
        <v>73</v>
      </c>
      <c r="L834">
        <v>100</v>
      </c>
      <c r="M834">
        <v>100</v>
      </c>
      <c r="N834">
        <v>26.373660999999998</v>
      </c>
      <c r="P834">
        <v>-0.36311737199999999</v>
      </c>
      <c r="Q834">
        <v>13837.73164</v>
      </c>
      <c r="R834">
        <v>3.49</v>
      </c>
      <c r="S834">
        <v>56594</v>
      </c>
      <c r="T834">
        <v>45.1</v>
      </c>
      <c r="U834">
        <v>15.2</v>
      </c>
    </row>
    <row r="835" spans="1:21">
      <c r="A835" t="s">
        <v>60</v>
      </c>
      <c r="B835">
        <v>2014</v>
      </c>
      <c r="C835">
        <v>22411.171999999999</v>
      </c>
      <c r="D835">
        <v>16239.99977</v>
      </c>
      <c r="E835">
        <v>3.5</v>
      </c>
      <c r="F835">
        <v>0</v>
      </c>
      <c r="G835">
        <v>9.94</v>
      </c>
      <c r="H835">
        <v>73.958330000000004</v>
      </c>
      <c r="J835">
        <v>33.6</v>
      </c>
      <c r="K835">
        <v>73</v>
      </c>
      <c r="L835">
        <v>100</v>
      </c>
      <c r="M835">
        <v>100</v>
      </c>
      <c r="N835">
        <v>28.121476999999999</v>
      </c>
      <c r="P835">
        <v>-0.34594704799999998</v>
      </c>
      <c r="Q835">
        <v>13762.372859999999</v>
      </c>
      <c r="R835">
        <v>3.33</v>
      </c>
      <c r="S835">
        <v>56594</v>
      </c>
      <c r="T835">
        <v>45.1</v>
      </c>
      <c r="U835">
        <v>15.2</v>
      </c>
    </row>
    <row r="836" spans="1:21">
      <c r="A836" t="s">
        <v>60</v>
      </c>
      <c r="B836">
        <v>2015</v>
      </c>
      <c r="C836">
        <v>21392.175999999999</v>
      </c>
      <c r="D836">
        <v>16600.000380000001</v>
      </c>
      <c r="E836">
        <v>3.73</v>
      </c>
      <c r="F836">
        <v>0</v>
      </c>
      <c r="G836">
        <v>7.52</v>
      </c>
      <c r="H836">
        <v>66.844443999999996</v>
      </c>
      <c r="J836">
        <v>33.090000000000003</v>
      </c>
      <c r="K836">
        <v>73</v>
      </c>
      <c r="L836">
        <v>100</v>
      </c>
      <c r="M836">
        <v>100</v>
      </c>
      <c r="N836">
        <v>22.36495</v>
      </c>
      <c r="P836">
        <v>2.5256884199999998</v>
      </c>
      <c r="Q836">
        <v>11933.37738</v>
      </c>
      <c r="R836">
        <v>3.4</v>
      </c>
      <c r="S836">
        <v>56594</v>
      </c>
      <c r="T836">
        <v>45.1</v>
      </c>
      <c r="U836">
        <v>15.2</v>
      </c>
    </row>
    <row r="837" spans="1:21">
      <c r="A837" t="s">
        <v>60</v>
      </c>
      <c r="B837">
        <v>2016</v>
      </c>
      <c r="C837">
        <v>22428.080000000002</v>
      </c>
      <c r="D837">
        <v>16879.999159999999</v>
      </c>
      <c r="E837">
        <v>4.26</v>
      </c>
      <c r="F837">
        <v>0</v>
      </c>
      <c r="G837">
        <v>8.36</v>
      </c>
      <c r="H837">
        <v>66.244050000000001</v>
      </c>
      <c r="J837">
        <v>31.83</v>
      </c>
      <c r="K837">
        <v>73</v>
      </c>
      <c r="L837">
        <v>100</v>
      </c>
      <c r="M837">
        <v>100</v>
      </c>
      <c r="N837">
        <v>23.870218000000001</v>
      </c>
      <c r="P837">
        <v>3.5324322320000001</v>
      </c>
      <c r="Q837">
        <v>12527.73986</v>
      </c>
      <c r="R837">
        <v>3.31</v>
      </c>
      <c r="S837">
        <v>56594</v>
      </c>
      <c r="T837">
        <v>45.1</v>
      </c>
      <c r="U837">
        <v>15.2</v>
      </c>
    </row>
    <row r="838" spans="1:21">
      <c r="A838" t="s">
        <v>60</v>
      </c>
      <c r="B838">
        <v>2017</v>
      </c>
      <c r="C838">
        <v>22608.02</v>
      </c>
      <c r="D838">
        <v>17409.99985</v>
      </c>
      <c r="E838">
        <v>4.67</v>
      </c>
      <c r="F838">
        <v>0</v>
      </c>
      <c r="G838">
        <v>7.12</v>
      </c>
      <c r="H838">
        <v>60.390160000000002</v>
      </c>
      <c r="J838">
        <v>29.79</v>
      </c>
      <c r="K838">
        <v>73</v>
      </c>
      <c r="L838">
        <v>100</v>
      </c>
      <c r="M838">
        <v>100</v>
      </c>
      <c r="N838">
        <v>20.273584</v>
      </c>
      <c r="P838">
        <v>3.4140922599999999</v>
      </c>
      <c r="Q838">
        <v>13629.28959</v>
      </c>
      <c r="R838">
        <v>3.31</v>
      </c>
      <c r="S838">
        <v>56594</v>
      </c>
      <c r="T838">
        <v>45.1</v>
      </c>
      <c r="U838">
        <v>15.2</v>
      </c>
    </row>
    <row r="839" spans="1:21">
      <c r="A839" t="s">
        <v>60</v>
      </c>
      <c r="B839">
        <v>2018</v>
      </c>
      <c r="C839">
        <v>23593.491999999998</v>
      </c>
      <c r="D839">
        <v>16430.000309999999</v>
      </c>
      <c r="E839">
        <v>3.77</v>
      </c>
      <c r="F839">
        <v>0</v>
      </c>
      <c r="G839">
        <v>9.7799999999999994</v>
      </c>
      <c r="H839">
        <v>72.177124000000006</v>
      </c>
      <c r="J839">
        <v>32.83</v>
      </c>
      <c r="K839">
        <v>73</v>
      </c>
      <c r="L839">
        <v>100</v>
      </c>
      <c r="M839">
        <v>100</v>
      </c>
      <c r="N839">
        <v>26.73535</v>
      </c>
      <c r="P839">
        <v>2.9000095990000001</v>
      </c>
      <c r="Q839">
        <v>15227.560100000001</v>
      </c>
      <c r="R839">
        <v>3.13</v>
      </c>
      <c r="S839">
        <v>56594</v>
      </c>
      <c r="T839">
        <v>45.1</v>
      </c>
      <c r="U839">
        <v>15.2</v>
      </c>
    </row>
    <row r="840" spans="1:21">
      <c r="A840" t="s">
        <v>60</v>
      </c>
      <c r="B840">
        <v>2019</v>
      </c>
      <c r="C840">
        <v>23200.728999999999</v>
      </c>
      <c r="D840">
        <v>16520.000459999999</v>
      </c>
      <c r="E840">
        <v>4.3099999999999996</v>
      </c>
      <c r="F840">
        <v>0</v>
      </c>
      <c r="G840">
        <v>8.35</v>
      </c>
      <c r="H840">
        <v>65.955770000000001</v>
      </c>
      <c r="J840">
        <v>31.6</v>
      </c>
      <c r="K840">
        <v>73</v>
      </c>
      <c r="L840">
        <v>100</v>
      </c>
      <c r="M840">
        <v>100</v>
      </c>
      <c r="N840">
        <v>23.463097000000001</v>
      </c>
      <c r="P840">
        <v>3.4819456029999998</v>
      </c>
      <c r="Q840">
        <v>15311.766900000001</v>
      </c>
      <c r="R840">
        <v>3.07</v>
      </c>
      <c r="S840">
        <v>56594</v>
      </c>
      <c r="T840">
        <v>45.1</v>
      </c>
      <c r="U840">
        <v>15.2</v>
      </c>
    </row>
    <row r="841" spans="1:21">
      <c r="A841" t="s">
        <v>60</v>
      </c>
      <c r="B841">
        <v>2020</v>
      </c>
      <c r="C841">
        <v>22304.447</v>
      </c>
      <c r="E841">
        <v>4.6900000000000004</v>
      </c>
      <c r="F841">
        <v>0</v>
      </c>
      <c r="G841">
        <v>8.5500000000000007</v>
      </c>
      <c r="H841">
        <v>64.577039999999997</v>
      </c>
      <c r="K841">
        <v>73</v>
      </c>
      <c r="L841">
        <v>100</v>
      </c>
      <c r="M841">
        <v>100</v>
      </c>
      <c r="N841">
        <v>25.170088</v>
      </c>
      <c r="P841">
        <v>-8.0997612520000004</v>
      </c>
      <c r="Q841">
        <v>14134.162679999999</v>
      </c>
      <c r="S841">
        <v>56594</v>
      </c>
      <c r="T841">
        <v>45.1</v>
      </c>
      <c r="U841">
        <v>15.2</v>
      </c>
    </row>
    <row r="842" spans="1:21">
      <c r="A842" t="s">
        <v>61</v>
      </c>
      <c r="B842">
        <v>2000</v>
      </c>
      <c r="C842">
        <v>9883.9930000000004</v>
      </c>
      <c r="D842">
        <v>28350</v>
      </c>
      <c r="E842">
        <v>14.1</v>
      </c>
      <c r="F842">
        <v>0</v>
      </c>
      <c r="G842">
        <v>0.09</v>
      </c>
      <c r="H842">
        <v>0.63424950000000002</v>
      </c>
      <c r="I842">
        <v>5.2</v>
      </c>
      <c r="J842">
        <v>34.43</v>
      </c>
      <c r="K842">
        <v>106</v>
      </c>
      <c r="L842">
        <v>97</v>
      </c>
      <c r="M842">
        <v>71.400000000000006</v>
      </c>
      <c r="O842">
        <v>790000</v>
      </c>
      <c r="P842">
        <v>5.9147601740000004</v>
      </c>
      <c r="Q842">
        <v>2747.1003030000002</v>
      </c>
      <c r="R842">
        <v>3.46</v>
      </c>
      <c r="S842">
        <v>110860</v>
      </c>
      <c r="T842">
        <v>21.521757000000001</v>
      </c>
      <c r="U842">
        <v>-77.781166999999996</v>
      </c>
    </row>
    <row r="843" spans="1:21">
      <c r="A843" t="s">
        <v>61</v>
      </c>
      <c r="B843">
        <v>2001</v>
      </c>
      <c r="C843">
        <v>9075.2440000000006</v>
      </c>
      <c r="D843">
        <v>27470</v>
      </c>
      <c r="E843">
        <v>14.37</v>
      </c>
      <c r="F843">
        <v>0</v>
      </c>
      <c r="G843">
        <v>7.0000000000000007E-2</v>
      </c>
      <c r="H843">
        <v>0.48476455000000002</v>
      </c>
      <c r="I843">
        <v>5.18</v>
      </c>
      <c r="J843">
        <v>34.049999999999997</v>
      </c>
      <c r="K843">
        <v>106</v>
      </c>
      <c r="L843">
        <v>96.226259999999996</v>
      </c>
      <c r="M843">
        <v>74.5</v>
      </c>
      <c r="O843">
        <v>4590000</v>
      </c>
      <c r="P843">
        <v>3.1850299039999999</v>
      </c>
      <c r="Q843">
        <v>2837.7357299999999</v>
      </c>
      <c r="R843">
        <v>3.28</v>
      </c>
      <c r="S843">
        <v>110860</v>
      </c>
      <c r="T843">
        <v>21.521757000000001</v>
      </c>
      <c r="U843">
        <v>-77.781166999999996</v>
      </c>
    </row>
    <row r="844" spans="1:21">
      <c r="A844" t="s">
        <v>61</v>
      </c>
      <c r="B844">
        <v>2002</v>
      </c>
      <c r="C844">
        <v>9158.4030000000002</v>
      </c>
      <c r="D844">
        <v>26420.000080000002</v>
      </c>
      <c r="E844">
        <v>14.71</v>
      </c>
      <c r="F844">
        <v>0</v>
      </c>
      <c r="G844">
        <v>0.1</v>
      </c>
      <c r="H844">
        <v>0.67521940000000003</v>
      </c>
      <c r="I844">
        <v>5.16</v>
      </c>
      <c r="J844">
        <v>34.799999999999997</v>
      </c>
      <c r="K844">
        <v>106</v>
      </c>
      <c r="L844">
        <v>95.5</v>
      </c>
      <c r="M844">
        <v>77.2</v>
      </c>
      <c r="O844">
        <v>1710000</v>
      </c>
      <c r="P844">
        <v>1.424821261</v>
      </c>
      <c r="Q844">
        <v>2999.241763</v>
      </c>
      <c r="R844">
        <v>3.01</v>
      </c>
      <c r="S844">
        <v>110860</v>
      </c>
      <c r="T844">
        <v>21.521757000000001</v>
      </c>
      <c r="U844">
        <v>-77.781166999999996</v>
      </c>
    </row>
    <row r="845" spans="1:21">
      <c r="A845" t="s">
        <v>61</v>
      </c>
      <c r="B845">
        <v>2003</v>
      </c>
      <c r="C845">
        <v>9271.9380000000001</v>
      </c>
      <c r="D845">
        <v>25629.999159999999</v>
      </c>
      <c r="E845">
        <v>14.79</v>
      </c>
      <c r="F845">
        <v>0</v>
      </c>
      <c r="G845">
        <v>0.13</v>
      </c>
      <c r="H845">
        <v>0.87131369999999997</v>
      </c>
      <c r="I845">
        <v>5.15</v>
      </c>
      <c r="J845">
        <v>33.56</v>
      </c>
      <c r="K845">
        <v>106</v>
      </c>
      <c r="L845">
        <v>96.513030000000001</v>
      </c>
      <c r="M845">
        <v>79.8</v>
      </c>
      <c r="O845">
        <v>360000</v>
      </c>
      <c r="P845">
        <v>3.792740223</v>
      </c>
      <c r="Q845">
        <v>3197.1331850000001</v>
      </c>
      <c r="R845">
        <v>2.89</v>
      </c>
      <c r="S845">
        <v>110860</v>
      </c>
      <c r="T845">
        <v>21.521757000000001</v>
      </c>
      <c r="U845">
        <v>-77.781166999999996</v>
      </c>
    </row>
    <row r="846" spans="1:21">
      <c r="A846" t="s">
        <v>61</v>
      </c>
      <c r="B846">
        <v>2004</v>
      </c>
      <c r="C846">
        <v>9365.9840000000004</v>
      </c>
      <c r="D846">
        <v>25360.000609999999</v>
      </c>
      <c r="E846">
        <v>14.66</v>
      </c>
      <c r="F846">
        <v>0</v>
      </c>
      <c r="G846">
        <v>0.09</v>
      </c>
      <c r="H846">
        <v>0.61016950000000003</v>
      </c>
      <c r="I846">
        <v>5.24</v>
      </c>
      <c r="J846">
        <v>33.770000000000003</v>
      </c>
      <c r="K846">
        <v>106</v>
      </c>
      <c r="L846">
        <v>96.650909999999996</v>
      </c>
      <c r="M846">
        <v>81.8</v>
      </c>
      <c r="O846">
        <v>910000</v>
      </c>
      <c r="P846">
        <v>5.7705380699999997</v>
      </c>
      <c r="Q846">
        <v>3395.7108429999998</v>
      </c>
      <c r="R846">
        <v>2.67</v>
      </c>
      <c r="S846">
        <v>110860</v>
      </c>
      <c r="T846">
        <v>21.521757000000001</v>
      </c>
      <c r="U846">
        <v>-77.781166999999996</v>
      </c>
    </row>
    <row r="847" spans="1:21">
      <c r="A847" t="s">
        <v>61</v>
      </c>
      <c r="B847">
        <v>2005</v>
      </c>
      <c r="C847">
        <v>9199.1460000000006</v>
      </c>
      <c r="D847">
        <v>26319.999690000001</v>
      </c>
      <c r="E847">
        <v>11.88</v>
      </c>
      <c r="F847">
        <v>0</v>
      </c>
      <c r="G847">
        <v>2.57</v>
      </c>
      <c r="H847">
        <v>17.785467000000001</v>
      </c>
      <c r="I847">
        <v>64.599999999999994</v>
      </c>
      <c r="J847">
        <v>26.31</v>
      </c>
      <c r="K847">
        <v>106</v>
      </c>
      <c r="L847">
        <v>96.788250000000005</v>
      </c>
      <c r="M847">
        <v>83.8</v>
      </c>
      <c r="O847">
        <v>410000</v>
      </c>
      <c r="P847">
        <v>11.201656420000001</v>
      </c>
      <c r="Q847">
        <v>3786.66345</v>
      </c>
      <c r="R847">
        <v>2.27</v>
      </c>
      <c r="S847">
        <v>110860</v>
      </c>
      <c r="T847">
        <v>21.521757000000001</v>
      </c>
      <c r="U847">
        <v>-77.781166999999996</v>
      </c>
    </row>
    <row r="848" spans="1:21">
      <c r="A848" t="s">
        <v>61</v>
      </c>
      <c r="B848">
        <v>2006</v>
      </c>
      <c r="C848">
        <v>8954.7389999999996</v>
      </c>
      <c r="D848">
        <v>26780.000690000001</v>
      </c>
      <c r="E848">
        <v>13.96</v>
      </c>
      <c r="F848">
        <v>0</v>
      </c>
      <c r="G848">
        <v>1.54</v>
      </c>
      <c r="H848">
        <v>9.9354840000000006</v>
      </c>
      <c r="I848">
        <v>43.99</v>
      </c>
      <c r="J848">
        <v>21.96</v>
      </c>
      <c r="K848">
        <v>106</v>
      </c>
      <c r="L848">
        <v>96.927475000000001</v>
      </c>
      <c r="M848">
        <v>85.4</v>
      </c>
      <c r="O848">
        <v>390000</v>
      </c>
      <c r="P848">
        <v>12.06586311</v>
      </c>
      <c r="Q848">
        <v>4683.5690670000004</v>
      </c>
      <c r="R848">
        <v>2.02</v>
      </c>
      <c r="S848">
        <v>110860</v>
      </c>
      <c r="T848">
        <v>21.521757000000001</v>
      </c>
      <c r="U848">
        <v>-77.781166999999996</v>
      </c>
    </row>
    <row r="849" spans="1:21">
      <c r="A849" t="s">
        <v>61</v>
      </c>
      <c r="B849">
        <v>2007</v>
      </c>
      <c r="C849">
        <v>9036.6139999999996</v>
      </c>
      <c r="D849">
        <v>27680.000309999999</v>
      </c>
      <c r="E849">
        <v>14.67</v>
      </c>
      <c r="F849">
        <v>0</v>
      </c>
      <c r="G849">
        <v>1.93</v>
      </c>
      <c r="H849">
        <v>11.626505999999999</v>
      </c>
      <c r="I849">
        <v>52.35</v>
      </c>
      <c r="J849">
        <v>18.59</v>
      </c>
      <c r="K849">
        <v>106</v>
      </c>
      <c r="L849">
        <v>97.071209999999994</v>
      </c>
      <c r="M849">
        <v>87</v>
      </c>
      <c r="O849">
        <v>10000</v>
      </c>
      <c r="P849">
        <v>7.2621369659999999</v>
      </c>
      <c r="Q849">
        <v>5208.7183880000002</v>
      </c>
      <c r="R849">
        <v>1.79</v>
      </c>
      <c r="S849">
        <v>110860</v>
      </c>
      <c r="T849">
        <v>21.521757000000001</v>
      </c>
      <c r="U849">
        <v>-77.781166999999996</v>
      </c>
    </row>
    <row r="850" spans="1:21">
      <c r="A850" t="s">
        <v>61</v>
      </c>
      <c r="B850">
        <v>2008</v>
      </c>
      <c r="C850">
        <v>10330.99</v>
      </c>
      <c r="D850">
        <v>26750</v>
      </c>
      <c r="E850">
        <v>14.7</v>
      </c>
      <c r="F850">
        <v>0</v>
      </c>
      <c r="G850">
        <v>1.97</v>
      </c>
      <c r="H850">
        <v>11.817636500000001</v>
      </c>
      <c r="I850">
        <v>54.58</v>
      </c>
      <c r="J850">
        <v>18.73</v>
      </c>
      <c r="K850">
        <v>106</v>
      </c>
      <c r="L850">
        <v>97.222179999999994</v>
      </c>
      <c r="M850">
        <v>88.1</v>
      </c>
      <c r="O850">
        <v>50000</v>
      </c>
      <c r="P850">
        <v>4.1168280419999999</v>
      </c>
      <c r="Q850">
        <v>5411.2694920000004</v>
      </c>
      <c r="R850">
        <v>1.83</v>
      </c>
      <c r="S850">
        <v>110860</v>
      </c>
      <c r="T850">
        <v>21.521757000000001</v>
      </c>
      <c r="U850">
        <v>-77.781166999999996</v>
      </c>
    </row>
    <row r="851" spans="1:21">
      <c r="A851" t="s">
        <v>61</v>
      </c>
      <c r="B851">
        <v>2009</v>
      </c>
      <c r="C851">
        <v>10402.473</v>
      </c>
      <c r="D851">
        <v>26979.999540000001</v>
      </c>
      <c r="E851">
        <v>14.82</v>
      </c>
      <c r="F851">
        <v>0</v>
      </c>
      <c r="G851">
        <v>1.89</v>
      </c>
      <c r="H851">
        <v>11.310593000000001</v>
      </c>
      <c r="I851">
        <v>54.48</v>
      </c>
      <c r="J851">
        <v>18.97</v>
      </c>
      <c r="K851">
        <v>106</v>
      </c>
      <c r="L851">
        <v>97.383094999999997</v>
      </c>
      <c r="M851">
        <v>89.1</v>
      </c>
      <c r="O851">
        <v>910000</v>
      </c>
      <c r="P851">
        <v>1.451305431</v>
      </c>
      <c r="Q851">
        <v>5529.6693750000004</v>
      </c>
      <c r="R851">
        <v>1.75</v>
      </c>
      <c r="S851">
        <v>110860</v>
      </c>
      <c r="T851">
        <v>21.521757000000001</v>
      </c>
      <c r="U851">
        <v>-77.781166999999996</v>
      </c>
    </row>
    <row r="852" spans="1:21">
      <c r="A852" t="s">
        <v>61</v>
      </c>
      <c r="B852">
        <v>2010</v>
      </c>
      <c r="C852">
        <v>11812.895</v>
      </c>
      <c r="D852">
        <v>28110.000609999999</v>
      </c>
      <c r="E852">
        <v>14.66</v>
      </c>
      <c r="F852">
        <v>0</v>
      </c>
      <c r="G852">
        <v>1.73</v>
      </c>
      <c r="H852">
        <v>10.555217000000001</v>
      </c>
      <c r="I852">
        <v>55.07</v>
      </c>
      <c r="J852">
        <v>15.61</v>
      </c>
      <c r="K852">
        <v>106</v>
      </c>
      <c r="L852">
        <v>97.556650000000005</v>
      </c>
      <c r="M852">
        <v>90.2</v>
      </c>
      <c r="O852">
        <v>4160000</v>
      </c>
      <c r="P852">
        <v>2.3903522970000002</v>
      </c>
      <c r="Q852">
        <v>5730.3542639999996</v>
      </c>
      <c r="R852">
        <v>1.85</v>
      </c>
      <c r="S852">
        <v>110860</v>
      </c>
      <c r="T852">
        <v>21.521757000000001</v>
      </c>
      <c r="U852">
        <v>-77.781166999999996</v>
      </c>
    </row>
    <row r="853" spans="1:21">
      <c r="A853" t="s">
        <v>61</v>
      </c>
      <c r="B853">
        <v>2011</v>
      </c>
      <c r="C853">
        <v>10603.101000000001</v>
      </c>
      <c r="D853">
        <v>27590.00015</v>
      </c>
      <c r="E853">
        <v>14.99</v>
      </c>
      <c r="F853">
        <v>0</v>
      </c>
      <c r="G853">
        <v>1.74</v>
      </c>
      <c r="H853">
        <v>10.400478</v>
      </c>
      <c r="I853">
        <v>55.23</v>
      </c>
      <c r="J853">
        <v>19.2</v>
      </c>
      <c r="K853">
        <v>106</v>
      </c>
      <c r="L853">
        <v>97.745570000000001</v>
      </c>
      <c r="M853">
        <v>91</v>
      </c>
      <c r="O853">
        <v>1310000</v>
      </c>
      <c r="P853">
        <v>2.8023008360000001</v>
      </c>
      <c r="Q853">
        <v>6139.7187830000003</v>
      </c>
      <c r="R853">
        <v>1.74</v>
      </c>
      <c r="S853">
        <v>110860</v>
      </c>
      <c r="T853">
        <v>21.521757000000001</v>
      </c>
      <c r="U853">
        <v>-77.781166999999996</v>
      </c>
    </row>
    <row r="854" spans="1:21">
      <c r="A854" t="s">
        <v>61</v>
      </c>
      <c r="B854">
        <v>2012</v>
      </c>
      <c r="C854">
        <v>11529.463</v>
      </c>
      <c r="D854">
        <v>28690.000530000001</v>
      </c>
      <c r="E854">
        <v>15.55</v>
      </c>
      <c r="F854">
        <v>0</v>
      </c>
      <c r="G854">
        <v>1.82</v>
      </c>
      <c r="H854">
        <v>10.477835000000001</v>
      </c>
      <c r="I854">
        <v>52.75</v>
      </c>
      <c r="J854">
        <v>19.38</v>
      </c>
      <c r="K854">
        <v>106</v>
      </c>
      <c r="L854">
        <v>97.952550000000002</v>
      </c>
      <c r="M854">
        <v>91.5</v>
      </c>
      <c r="O854">
        <v>420000</v>
      </c>
      <c r="P854">
        <v>3.0149002889999998</v>
      </c>
      <c r="Q854">
        <v>6497.3147639999997</v>
      </c>
      <c r="R854">
        <v>1.73</v>
      </c>
      <c r="S854">
        <v>110860</v>
      </c>
      <c r="T854">
        <v>21.521757000000001</v>
      </c>
      <c r="U854">
        <v>-77.781166999999996</v>
      </c>
    </row>
    <row r="855" spans="1:21">
      <c r="A855" t="s">
        <v>61</v>
      </c>
      <c r="B855">
        <v>2013</v>
      </c>
      <c r="C855">
        <v>11073.984</v>
      </c>
      <c r="D855">
        <v>28870.000840000001</v>
      </c>
      <c r="E855">
        <v>16.399999999999999</v>
      </c>
      <c r="F855">
        <v>0</v>
      </c>
      <c r="G855">
        <v>1.77</v>
      </c>
      <c r="H855">
        <v>9.7413319999999999</v>
      </c>
      <c r="I855">
        <v>49.2</v>
      </c>
      <c r="J855">
        <v>18.239999999999998</v>
      </c>
      <c r="K855">
        <v>106</v>
      </c>
      <c r="L855">
        <v>98.179370000000006</v>
      </c>
      <c r="M855">
        <v>92</v>
      </c>
      <c r="O855">
        <v>3100000</v>
      </c>
      <c r="P855">
        <v>2.7476025630000001</v>
      </c>
      <c r="Q855">
        <v>6837.7116800000003</v>
      </c>
      <c r="R855">
        <v>1.6</v>
      </c>
      <c r="S855">
        <v>110860</v>
      </c>
      <c r="T855">
        <v>21.521757000000001</v>
      </c>
      <c r="U855">
        <v>-77.781166999999996</v>
      </c>
    </row>
    <row r="856" spans="1:21">
      <c r="A856" t="s">
        <v>61</v>
      </c>
      <c r="B856">
        <v>2014</v>
      </c>
      <c r="C856">
        <v>11257.335999999999</v>
      </c>
      <c r="D856">
        <v>26690.000530000001</v>
      </c>
      <c r="E856">
        <v>16.52</v>
      </c>
      <c r="F856">
        <v>0</v>
      </c>
      <c r="G856">
        <v>1.8</v>
      </c>
      <c r="H856">
        <v>9.8253280000000007</v>
      </c>
      <c r="I856">
        <v>52.67</v>
      </c>
      <c r="J856">
        <v>23.16</v>
      </c>
      <c r="K856">
        <v>106</v>
      </c>
      <c r="L856">
        <v>98.423990000000003</v>
      </c>
      <c r="M856">
        <v>92.7</v>
      </c>
      <c r="O856">
        <v>40000</v>
      </c>
      <c r="P856">
        <v>1.047576632</v>
      </c>
      <c r="Q856">
        <v>7133.3376790000002</v>
      </c>
      <c r="R856">
        <v>1.61</v>
      </c>
      <c r="S856">
        <v>110860</v>
      </c>
      <c r="T856">
        <v>21.521757000000001</v>
      </c>
      <c r="U856">
        <v>-77.781166999999996</v>
      </c>
    </row>
    <row r="857" spans="1:21">
      <c r="A857" t="s">
        <v>61</v>
      </c>
      <c r="B857">
        <v>2015</v>
      </c>
      <c r="C857">
        <v>11280.011</v>
      </c>
      <c r="D857">
        <v>29209.999080000001</v>
      </c>
      <c r="E857">
        <v>17.37</v>
      </c>
      <c r="F857">
        <v>0</v>
      </c>
      <c r="G857">
        <v>1.85</v>
      </c>
      <c r="H857">
        <v>9.6253910000000005</v>
      </c>
      <c r="I857">
        <v>55.52</v>
      </c>
      <c r="J857">
        <v>21.15</v>
      </c>
      <c r="K857">
        <v>106</v>
      </c>
      <c r="L857">
        <v>98.683459999999997</v>
      </c>
      <c r="M857">
        <v>92.65</v>
      </c>
      <c r="O857">
        <v>77320000</v>
      </c>
      <c r="P857">
        <v>4.4381419590000002</v>
      </c>
      <c r="Q857">
        <v>7694.0146370000002</v>
      </c>
      <c r="R857">
        <v>1.57</v>
      </c>
      <c r="S857">
        <v>110860</v>
      </c>
      <c r="T857">
        <v>21.521757000000001</v>
      </c>
      <c r="U857">
        <v>-77.781166999999996</v>
      </c>
    </row>
    <row r="858" spans="1:21">
      <c r="A858" t="s">
        <v>61</v>
      </c>
      <c r="B858">
        <v>2016</v>
      </c>
      <c r="C858">
        <v>8800.2999999999993</v>
      </c>
      <c r="D858">
        <v>27170.000080000002</v>
      </c>
      <c r="E858">
        <v>17.64</v>
      </c>
      <c r="F858">
        <v>0</v>
      </c>
      <c r="G858">
        <v>1.74</v>
      </c>
      <c r="H858">
        <v>8.9783290000000004</v>
      </c>
      <c r="I858">
        <v>53.82</v>
      </c>
      <c r="J858">
        <v>19.2</v>
      </c>
      <c r="K858">
        <v>106</v>
      </c>
      <c r="L858">
        <v>98.954790000000003</v>
      </c>
      <c r="M858">
        <v>93.2</v>
      </c>
      <c r="O858">
        <v>31010000</v>
      </c>
      <c r="P858">
        <v>0.513761468</v>
      </c>
      <c r="Q858">
        <v>8060.7965979999999</v>
      </c>
      <c r="R858">
        <v>1.54</v>
      </c>
      <c r="S858">
        <v>110860</v>
      </c>
      <c r="T858">
        <v>21.521757000000001</v>
      </c>
      <c r="U858">
        <v>-77.781166999999996</v>
      </c>
    </row>
    <row r="859" spans="1:21">
      <c r="A859" t="s">
        <v>61</v>
      </c>
      <c r="B859">
        <v>2017</v>
      </c>
      <c r="C859">
        <v>9358.2790000000005</v>
      </c>
      <c r="D859">
        <v>26239.999769999999</v>
      </c>
      <c r="E859">
        <v>17.57</v>
      </c>
      <c r="F859">
        <v>0</v>
      </c>
      <c r="G859">
        <v>1.82</v>
      </c>
      <c r="H859">
        <v>9.3862819999999996</v>
      </c>
      <c r="I859">
        <v>59.57</v>
      </c>
      <c r="J859">
        <v>22</v>
      </c>
      <c r="K859">
        <v>106</v>
      </c>
      <c r="L859">
        <v>99.235029999999995</v>
      </c>
      <c r="M859">
        <v>93.4</v>
      </c>
      <c r="O859">
        <v>110970000</v>
      </c>
      <c r="P859">
        <v>1.8090543990000001</v>
      </c>
      <c r="Q859">
        <v>8541.2136859999991</v>
      </c>
      <c r="R859">
        <v>1.45</v>
      </c>
      <c r="S859">
        <v>110860</v>
      </c>
      <c r="T859">
        <v>21.521757000000001</v>
      </c>
      <c r="U859">
        <v>-77.781166999999996</v>
      </c>
    </row>
    <row r="860" spans="1:21">
      <c r="A860" t="s">
        <v>61</v>
      </c>
      <c r="B860">
        <v>2018</v>
      </c>
      <c r="C860">
        <v>9819.1569999999992</v>
      </c>
      <c r="D860">
        <v>26709.999080000001</v>
      </c>
      <c r="E860">
        <v>17.64</v>
      </c>
      <c r="F860">
        <v>0</v>
      </c>
      <c r="G860">
        <v>2</v>
      </c>
      <c r="H860">
        <v>10.183299999999999</v>
      </c>
      <c r="I860">
        <v>66.87</v>
      </c>
      <c r="J860">
        <v>24.11</v>
      </c>
      <c r="K860">
        <v>106</v>
      </c>
      <c r="L860">
        <v>99.521209999999996</v>
      </c>
      <c r="M860">
        <v>93.5</v>
      </c>
      <c r="O860">
        <v>7200000</v>
      </c>
      <c r="P860">
        <v>2.2484803929999999</v>
      </c>
      <c r="Q860">
        <v>8824.1940080000004</v>
      </c>
      <c r="R860">
        <v>1.37</v>
      </c>
      <c r="S860">
        <v>110860</v>
      </c>
      <c r="T860">
        <v>21.521757000000001</v>
      </c>
      <c r="U860">
        <v>-77.781166999999996</v>
      </c>
    </row>
    <row r="861" spans="1:21">
      <c r="A861" t="s">
        <v>61</v>
      </c>
      <c r="B861">
        <v>2019</v>
      </c>
      <c r="C861">
        <v>9606.2129999999997</v>
      </c>
      <c r="D861">
        <v>25909.99985</v>
      </c>
      <c r="E861">
        <v>16.54</v>
      </c>
      <c r="F861">
        <v>0</v>
      </c>
      <c r="G861">
        <v>2.99</v>
      </c>
      <c r="H861">
        <v>15.309779000000001</v>
      </c>
      <c r="I861">
        <v>95.74</v>
      </c>
      <c r="J861">
        <v>21.54</v>
      </c>
      <c r="K861">
        <v>106</v>
      </c>
      <c r="L861">
        <v>99.8</v>
      </c>
      <c r="M861">
        <v>93.6</v>
      </c>
      <c r="O861">
        <v>5670000</v>
      </c>
      <c r="P861">
        <v>-0.164839982</v>
      </c>
      <c r="Q861">
        <v>9125.8786789999995</v>
      </c>
      <c r="R861">
        <v>1.27</v>
      </c>
      <c r="S861">
        <v>110860</v>
      </c>
      <c r="T861">
        <v>21.521757000000001</v>
      </c>
      <c r="U861">
        <v>-77.781166999999996</v>
      </c>
    </row>
    <row r="862" spans="1:21">
      <c r="A862" t="s">
        <v>61</v>
      </c>
      <c r="B862">
        <v>2020</v>
      </c>
      <c r="C862">
        <v>9007.1810000000005</v>
      </c>
      <c r="E862">
        <v>15.47</v>
      </c>
      <c r="F862">
        <v>0</v>
      </c>
      <c r="G862">
        <v>3.13</v>
      </c>
      <c r="H862">
        <v>16.827957000000001</v>
      </c>
      <c r="I862">
        <v>105.79</v>
      </c>
      <c r="K862">
        <v>106</v>
      </c>
      <c r="L862">
        <v>100</v>
      </c>
      <c r="M862">
        <v>93.8</v>
      </c>
      <c r="P862">
        <v>-10.94834097</v>
      </c>
      <c r="Q862">
        <v>9477.8528729999998</v>
      </c>
      <c r="S862">
        <v>110860</v>
      </c>
      <c r="T862">
        <v>21.521757000000001</v>
      </c>
      <c r="U862">
        <v>-77.781166999999996</v>
      </c>
    </row>
    <row r="863" spans="1:21">
      <c r="A863" t="s">
        <v>62</v>
      </c>
      <c r="B863">
        <v>2000</v>
      </c>
      <c r="C863">
        <v>31912.982</v>
      </c>
      <c r="D863">
        <v>7130</v>
      </c>
      <c r="E863">
        <v>3.37</v>
      </c>
      <c r="F863">
        <v>0</v>
      </c>
      <c r="G863">
        <v>0</v>
      </c>
      <c r="H863">
        <v>0</v>
      </c>
      <c r="J863">
        <v>3.08</v>
      </c>
      <c r="K863">
        <v>131</v>
      </c>
      <c r="L863">
        <v>100</v>
      </c>
      <c r="M863">
        <v>100</v>
      </c>
      <c r="N863">
        <v>0</v>
      </c>
      <c r="P863">
        <v>5.965310315</v>
      </c>
      <c r="Q863">
        <v>14388.34806</v>
      </c>
      <c r="R863">
        <v>3.92</v>
      </c>
      <c r="S863">
        <v>9251</v>
      </c>
      <c r="T863">
        <v>35.126412999999999</v>
      </c>
      <c r="U863">
        <v>33.429859</v>
      </c>
    </row>
    <row r="864" spans="1:21">
      <c r="A864" t="s">
        <v>62</v>
      </c>
      <c r="B864">
        <v>2001</v>
      </c>
      <c r="C864">
        <v>31725.171999999999</v>
      </c>
      <c r="D864">
        <v>6990</v>
      </c>
      <c r="E864">
        <v>3.55</v>
      </c>
      <c r="F864">
        <v>0</v>
      </c>
      <c r="G864">
        <v>0</v>
      </c>
      <c r="H864">
        <v>0</v>
      </c>
      <c r="J864">
        <v>3.03</v>
      </c>
      <c r="K864">
        <v>131</v>
      </c>
      <c r="L864">
        <v>100</v>
      </c>
      <c r="M864">
        <v>100</v>
      </c>
      <c r="N864">
        <v>0</v>
      </c>
      <c r="P864">
        <v>3.952560541</v>
      </c>
      <c r="Q864">
        <v>14821.446819999999</v>
      </c>
      <c r="R864">
        <v>3.73</v>
      </c>
      <c r="S864">
        <v>9251</v>
      </c>
      <c r="T864">
        <v>35.126412999999999</v>
      </c>
      <c r="U864">
        <v>33.429859</v>
      </c>
    </row>
    <row r="865" spans="1:21">
      <c r="A865" t="s">
        <v>62</v>
      </c>
      <c r="B865">
        <v>2002</v>
      </c>
      <c r="C865">
        <v>30732.92</v>
      </c>
      <c r="D865">
        <v>7170.0000760000003</v>
      </c>
      <c r="E865">
        <v>3.79</v>
      </c>
      <c r="F865">
        <v>0</v>
      </c>
      <c r="G865">
        <v>0</v>
      </c>
      <c r="H865">
        <v>0</v>
      </c>
      <c r="J865">
        <v>3.16</v>
      </c>
      <c r="K865">
        <v>131</v>
      </c>
      <c r="L865">
        <v>100</v>
      </c>
      <c r="M865">
        <v>100</v>
      </c>
      <c r="N865">
        <v>0</v>
      </c>
      <c r="P865">
        <v>3.7229564989999999</v>
      </c>
      <c r="Q865">
        <v>16093.214610000001</v>
      </c>
      <c r="R865">
        <v>3.65</v>
      </c>
      <c r="S865">
        <v>9251</v>
      </c>
      <c r="T865">
        <v>35.126412999999999</v>
      </c>
      <c r="U865">
        <v>33.429859</v>
      </c>
    </row>
    <row r="866" spans="1:21">
      <c r="A866" t="s">
        <v>62</v>
      </c>
      <c r="B866">
        <v>2003</v>
      </c>
      <c r="C866">
        <v>32076.912</v>
      </c>
      <c r="D866">
        <v>7829.9999239999997</v>
      </c>
      <c r="E866">
        <v>4.05</v>
      </c>
      <c r="F866">
        <v>0</v>
      </c>
      <c r="G866">
        <v>0</v>
      </c>
      <c r="H866">
        <v>0</v>
      </c>
      <c r="J866">
        <v>3.24</v>
      </c>
      <c r="K866">
        <v>131</v>
      </c>
      <c r="L866">
        <v>100</v>
      </c>
      <c r="M866">
        <v>100</v>
      </c>
      <c r="N866">
        <v>0</v>
      </c>
      <c r="P866">
        <v>2.6232861230000002</v>
      </c>
      <c r="Q866">
        <v>20252.238979999998</v>
      </c>
      <c r="R866">
        <v>3.87</v>
      </c>
      <c r="S866">
        <v>9251</v>
      </c>
      <c r="T866">
        <v>35.126412999999999</v>
      </c>
      <c r="U866">
        <v>33.429859</v>
      </c>
    </row>
    <row r="867" spans="1:21">
      <c r="A867" t="s">
        <v>62</v>
      </c>
      <c r="B867">
        <v>2004</v>
      </c>
      <c r="C867">
        <v>30655.473000000002</v>
      </c>
      <c r="D867">
        <v>7780.0002100000002</v>
      </c>
      <c r="E867">
        <v>4.2</v>
      </c>
      <c r="F867">
        <v>0</v>
      </c>
      <c r="G867">
        <v>0</v>
      </c>
      <c r="H867">
        <v>0</v>
      </c>
      <c r="J867">
        <v>3.29</v>
      </c>
      <c r="K867">
        <v>131</v>
      </c>
      <c r="L867">
        <v>100</v>
      </c>
      <c r="M867">
        <v>100</v>
      </c>
      <c r="N867">
        <v>6.9648219999999999E-3</v>
      </c>
      <c r="P867">
        <v>5.026343926</v>
      </c>
      <c r="Q867">
        <v>23792.621360000001</v>
      </c>
      <c r="R867">
        <v>3.46</v>
      </c>
      <c r="S867">
        <v>9251</v>
      </c>
      <c r="T867">
        <v>35.126412999999999</v>
      </c>
      <c r="U867">
        <v>33.429859</v>
      </c>
    </row>
    <row r="868" spans="1:21">
      <c r="A868" t="s">
        <v>62</v>
      </c>
      <c r="B868">
        <v>2005</v>
      </c>
      <c r="C868">
        <v>33741.972999999998</v>
      </c>
      <c r="D868">
        <v>7900.0000950000003</v>
      </c>
      <c r="E868">
        <v>4.38</v>
      </c>
      <c r="F868">
        <v>0</v>
      </c>
      <c r="G868">
        <v>0</v>
      </c>
      <c r="H868">
        <v>0</v>
      </c>
      <c r="J868">
        <v>3.34</v>
      </c>
      <c r="K868">
        <v>131</v>
      </c>
      <c r="L868">
        <v>100</v>
      </c>
      <c r="M868">
        <v>100</v>
      </c>
      <c r="N868">
        <v>7.5332999999999997E-3</v>
      </c>
      <c r="P868">
        <v>4.8530038380000002</v>
      </c>
      <c r="Q868">
        <v>24959.259170000001</v>
      </c>
      <c r="R868">
        <v>3.36</v>
      </c>
      <c r="S868">
        <v>9251</v>
      </c>
      <c r="T868">
        <v>35.126412999999999</v>
      </c>
      <c r="U868">
        <v>33.429859</v>
      </c>
    </row>
    <row r="869" spans="1:21">
      <c r="A869" t="s">
        <v>62</v>
      </c>
      <c r="B869">
        <v>2006</v>
      </c>
      <c r="C869">
        <v>32604.190999999999</v>
      </c>
      <c r="D869">
        <v>8000</v>
      </c>
      <c r="E869">
        <v>4.6500000000000004</v>
      </c>
      <c r="F869">
        <v>0</v>
      </c>
      <c r="G869">
        <v>0</v>
      </c>
      <c r="H869">
        <v>0</v>
      </c>
      <c r="J869">
        <v>3.5</v>
      </c>
      <c r="K869">
        <v>131</v>
      </c>
      <c r="L869">
        <v>100</v>
      </c>
      <c r="M869">
        <v>100</v>
      </c>
      <c r="N869">
        <v>1.2689397E-2</v>
      </c>
      <c r="P869">
        <v>4.7138286660000004</v>
      </c>
      <c r="Q869">
        <v>26729.323400000001</v>
      </c>
      <c r="R869">
        <v>3.34</v>
      </c>
      <c r="S869">
        <v>9251</v>
      </c>
      <c r="T869">
        <v>35.126412999999999</v>
      </c>
      <c r="U869">
        <v>33.429859</v>
      </c>
    </row>
    <row r="870" spans="1:21">
      <c r="A870" t="s">
        <v>62</v>
      </c>
      <c r="B870">
        <v>2007</v>
      </c>
      <c r="C870">
        <v>32579.771000000001</v>
      </c>
      <c r="D870">
        <v>8310.0004200000003</v>
      </c>
      <c r="E870">
        <v>4.87</v>
      </c>
      <c r="F870">
        <v>0</v>
      </c>
      <c r="G870">
        <v>0</v>
      </c>
      <c r="H870">
        <v>0</v>
      </c>
      <c r="J870">
        <v>4.33</v>
      </c>
      <c r="K870">
        <v>131</v>
      </c>
      <c r="L870">
        <v>100</v>
      </c>
      <c r="M870">
        <v>100</v>
      </c>
      <c r="N870">
        <v>2.963039E-2</v>
      </c>
      <c r="P870">
        <v>5.0980684529999998</v>
      </c>
      <c r="Q870">
        <v>31244.926220000001</v>
      </c>
      <c r="R870">
        <v>3.35</v>
      </c>
      <c r="S870">
        <v>9251</v>
      </c>
      <c r="T870">
        <v>35.126412999999999</v>
      </c>
      <c r="U870">
        <v>33.429859</v>
      </c>
    </row>
    <row r="871" spans="1:21">
      <c r="A871" t="s">
        <v>62</v>
      </c>
      <c r="B871">
        <v>2008</v>
      </c>
      <c r="C871">
        <v>32822.43</v>
      </c>
      <c r="D871">
        <v>8489.9997710000007</v>
      </c>
      <c r="E871">
        <v>5.0599999999999996</v>
      </c>
      <c r="F871">
        <v>0</v>
      </c>
      <c r="G871">
        <v>0.01</v>
      </c>
      <c r="H871">
        <v>0.19723864999999999</v>
      </c>
      <c r="J871">
        <v>5.47</v>
      </c>
      <c r="K871">
        <v>131</v>
      </c>
      <c r="L871">
        <v>100</v>
      </c>
      <c r="M871">
        <v>100</v>
      </c>
      <c r="N871">
        <v>0.13309905999999999</v>
      </c>
      <c r="P871">
        <v>3.6468119909999999</v>
      </c>
      <c r="Q871">
        <v>35397.363680000002</v>
      </c>
      <c r="R871">
        <v>3.44</v>
      </c>
      <c r="S871">
        <v>9251</v>
      </c>
      <c r="T871">
        <v>35.126412999999999</v>
      </c>
      <c r="U871">
        <v>33.429859</v>
      </c>
    </row>
    <row r="872" spans="1:21">
      <c r="A872" t="s">
        <v>62</v>
      </c>
      <c r="B872">
        <v>2009</v>
      </c>
      <c r="C872">
        <v>31506.953000000001</v>
      </c>
      <c r="D872">
        <v>8279.9997330000006</v>
      </c>
      <c r="E872">
        <v>5.18</v>
      </c>
      <c r="F872">
        <v>0</v>
      </c>
      <c r="G872">
        <v>0.03</v>
      </c>
      <c r="H872">
        <v>0.57581574000000002</v>
      </c>
      <c r="J872">
        <v>6.31</v>
      </c>
      <c r="K872">
        <v>131</v>
      </c>
      <c r="L872">
        <v>100</v>
      </c>
      <c r="M872">
        <v>100</v>
      </c>
      <c r="N872">
        <v>0.28097295999999999</v>
      </c>
      <c r="P872">
        <v>-2.0152623589999998</v>
      </c>
      <c r="Q872">
        <v>32109.24251</v>
      </c>
      <c r="R872">
        <v>3.44</v>
      </c>
      <c r="S872">
        <v>9251</v>
      </c>
      <c r="T872">
        <v>35.126412999999999</v>
      </c>
      <c r="U872">
        <v>33.429859</v>
      </c>
    </row>
    <row r="873" spans="1:21">
      <c r="A873" t="s">
        <v>62</v>
      </c>
      <c r="B873">
        <v>2010</v>
      </c>
      <c r="C873">
        <v>30146.273000000001</v>
      </c>
      <c r="D873">
        <v>7900.0000950000003</v>
      </c>
      <c r="E873">
        <v>5.25</v>
      </c>
      <c r="F873">
        <v>0</v>
      </c>
      <c r="G873">
        <v>0.08</v>
      </c>
      <c r="H873">
        <v>1.5009380000000001</v>
      </c>
      <c r="J873">
        <v>6.55</v>
      </c>
      <c r="K873">
        <v>131</v>
      </c>
      <c r="L873">
        <v>100</v>
      </c>
      <c r="M873">
        <v>100</v>
      </c>
      <c r="N873">
        <v>0.63773409999999997</v>
      </c>
      <c r="P873">
        <v>2.014695707</v>
      </c>
      <c r="Q873">
        <v>31023.638330000002</v>
      </c>
      <c r="R873">
        <v>3.25</v>
      </c>
      <c r="S873">
        <v>9251</v>
      </c>
      <c r="T873">
        <v>35.126412999999999</v>
      </c>
      <c r="U873">
        <v>33.429859</v>
      </c>
    </row>
    <row r="874" spans="1:21">
      <c r="A874" t="s">
        <v>62</v>
      </c>
      <c r="B874">
        <v>2011</v>
      </c>
      <c r="C874">
        <v>29451.955000000002</v>
      </c>
      <c r="D874">
        <v>7630.0001140000004</v>
      </c>
      <c r="E874">
        <v>4.75</v>
      </c>
      <c r="F874">
        <v>0</v>
      </c>
      <c r="G874">
        <v>0.17</v>
      </c>
      <c r="H874">
        <v>3.4552846000000002</v>
      </c>
      <c r="J874">
        <v>7.66</v>
      </c>
      <c r="K874">
        <v>131</v>
      </c>
      <c r="L874">
        <v>100</v>
      </c>
      <c r="M874">
        <v>100</v>
      </c>
      <c r="N874">
        <v>1.5228558999999999</v>
      </c>
      <c r="P874">
        <v>0.40143794100000002</v>
      </c>
      <c r="Q874">
        <v>32396.385740000002</v>
      </c>
      <c r="R874">
        <v>3.15</v>
      </c>
      <c r="S874">
        <v>9251</v>
      </c>
      <c r="T874">
        <v>35.126412999999999</v>
      </c>
      <c r="U874">
        <v>33.429859</v>
      </c>
    </row>
    <row r="875" spans="1:21">
      <c r="A875" t="s">
        <v>62</v>
      </c>
      <c r="B875">
        <v>2012</v>
      </c>
      <c r="C875">
        <v>27326.793000000001</v>
      </c>
      <c r="D875">
        <v>7099.9999049999997</v>
      </c>
      <c r="E875">
        <v>4.46</v>
      </c>
      <c r="F875">
        <v>0</v>
      </c>
      <c r="G875">
        <v>0.26</v>
      </c>
      <c r="H875">
        <v>5.5084749999999998</v>
      </c>
      <c r="J875">
        <v>8.69</v>
      </c>
      <c r="K875">
        <v>131</v>
      </c>
      <c r="L875">
        <v>100</v>
      </c>
      <c r="M875">
        <v>100</v>
      </c>
      <c r="N875">
        <v>2.3008752000000001</v>
      </c>
      <c r="P875">
        <v>-3.4468220860000001</v>
      </c>
      <c r="Q875">
        <v>28912.156940000001</v>
      </c>
      <c r="R875">
        <v>3.06</v>
      </c>
      <c r="S875">
        <v>9251</v>
      </c>
      <c r="T875">
        <v>35.126412999999999</v>
      </c>
      <c r="U875">
        <v>33.429859</v>
      </c>
    </row>
    <row r="876" spans="1:21">
      <c r="A876" t="s">
        <v>62</v>
      </c>
      <c r="B876">
        <v>2013</v>
      </c>
      <c r="C876">
        <v>24232.331999999999</v>
      </c>
      <c r="D876">
        <v>6429.999828</v>
      </c>
      <c r="E876">
        <v>3.96</v>
      </c>
      <c r="F876">
        <v>0</v>
      </c>
      <c r="G876">
        <v>0.33</v>
      </c>
      <c r="H876">
        <v>7.6923079999999997</v>
      </c>
      <c r="J876">
        <v>9.83</v>
      </c>
      <c r="K876">
        <v>131</v>
      </c>
      <c r="L876">
        <v>100</v>
      </c>
      <c r="M876">
        <v>100</v>
      </c>
      <c r="N876">
        <v>3.2324405</v>
      </c>
      <c r="P876">
        <v>-6.553078255</v>
      </c>
      <c r="Q876">
        <v>27729.1927</v>
      </c>
      <c r="R876">
        <v>2.83</v>
      </c>
      <c r="S876">
        <v>9251</v>
      </c>
      <c r="T876">
        <v>35.126412999999999</v>
      </c>
      <c r="U876">
        <v>33.429859</v>
      </c>
    </row>
    <row r="877" spans="1:21">
      <c r="A877" t="s">
        <v>62</v>
      </c>
      <c r="B877">
        <v>2014</v>
      </c>
      <c r="C877">
        <v>24039.48</v>
      </c>
      <c r="D877">
        <v>6809.9999429999998</v>
      </c>
      <c r="E877">
        <v>4.03</v>
      </c>
      <c r="F877">
        <v>0</v>
      </c>
      <c r="G877">
        <v>0.31</v>
      </c>
      <c r="H877">
        <v>7.1428570000000002</v>
      </c>
      <c r="J877">
        <v>9.59</v>
      </c>
      <c r="K877">
        <v>131</v>
      </c>
      <c r="L877">
        <v>100</v>
      </c>
      <c r="M877">
        <v>100</v>
      </c>
      <c r="N877">
        <v>3.1309735999999999</v>
      </c>
      <c r="P877">
        <v>-1.829309109</v>
      </c>
      <c r="Q877">
        <v>27163.332969999999</v>
      </c>
      <c r="R877">
        <v>2.95</v>
      </c>
      <c r="S877">
        <v>9251</v>
      </c>
      <c r="T877">
        <v>35.126412999999999</v>
      </c>
      <c r="U877">
        <v>33.429859</v>
      </c>
    </row>
    <row r="878" spans="1:21">
      <c r="A878" t="s">
        <v>62</v>
      </c>
      <c r="B878">
        <v>2015</v>
      </c>
      <c r="C878">
        <v>24580.83</v>
      </c>
      <c r="D878">
        <v>6849.9999049999997</v>
      </c>
      <c r="E878">
        <v>4.1399999999999997</v>
      </c>
      <c r="F878">
        <v>0</v>
      </c>
      <c r="G878">
        <v>0.4</v>
      </c>
      <c r="H878">
        <v>8.8105729999999998</v>
      </c>
      <c r="J878">
        <v>10.51</v>
      </c>
      <c r="K878">
        <v>131</v>
      </c>
      <c r="L878">
        <v>100</v>
      </c>
      <c r="M878">
        <v>100</v>
      </c>
      <c r="N878">
        <v>3.776322</v>
      </c>
      <c r="P878">
        <v>3.3830797119999998</v>
      </c>
      <c r="Q878">
        <v>23408.33668</v>
      </c>
      <c r="R878">
        <v>2.93</v>
      </c>
      <c r="S878">
        <v>9251</v>
      </c>
      <c r="T878">
        <v>35.126412999999999</v>
      </c>
      <c r="U878">
        <v>33.429859</v>
      </c>
    </row>
    <row r="879" spans="1:21">
      <c r="A879" t="s">
        <v>62</v>
      </c>
      <c r="B879">
        <v>2016</v>
      </c>
      <c r="C879">
        <v>26494.055</v>
      </c>
      <c r="D879">
        <v>7219.9997899999998</v>
      </c>
      <c r="E879">
        <v>4.46</v>
      </c>
      <c r="F879">
        <v>0</v>
      </c>
      <c r="G879">
        <v>0.43</v>
      </c>
      <c r="H879">
        <v>8.7934560000000008</v>
      </c>
      <c r="J879">
        <v>10.36</v>
      </c>
      <c r="K879">
        <v>131</v>
      </c>
      <c r="L879">
        <v>100</v>
      </c>
      <c r="M879">
        <v>100</v>
      </c>
      <c r="N879">
        <v>3.6664777000000002</v>
      </c>
      <c r="P879">
        <v>6.4545544660000003</v>
      </c>
      <c r="Q879">
        <v>24605.920829999999</v>
      </c>
      <c r="R879">
        <v>2.94</v>
      </c>
      <c r="S879">
        <v>9251</v>
      </c>
      <c r="T879">
        <v>35.126412999999999</v>
      </c>
      <c r="U879">
        <v>33.429859</v>
      </c>
    </row>
    <row r="880" spans="1:21">
      <c r="A880" t="s">
        <v>62</v>
      </c>
      <c r="B880">
        <v>2017</v>
      </c>
      <c r="C880">
        <v>26971.416000000001</v>
      </c>
      <c r="D880">
        <v>7360.0001339999999</v>
      </c>
      <c r="E880">
        <v>4.57</v>
      </c>
      <c r="F880">
        <v>0</v>
      </c>
      <c r="G880">
        <v>0.43</v>
      </c>
      <c r="H880">
        <v>8.6</v>
      </c>
      <c r="J880">
        <v>11.03</v>
      </c>
      <c r="K880">
        <v>131</v>
      </c>
      <c r="L880">
        <v>100</v>
      </c>
      <c r="M880">
        <v>100</v>
      </c>
      <c r="N880">
        <v>3.6376648</v>
      </c>
      <c r="P880">
        <v>5.8525403550000004</v>
      </c>
      <c r="Q880">
        <v>26608.875090000001</v>
      </c>
      <c r="R880">
        <v>2.88</v>
      </c>
      <c r="S880">
        <v>9251</v>
      </c>
      <c r="T880">
        <v>35.126412999999999</v>
      </c>
      <c r="U880">
        <v>33.429859</v>
      </c>
    </row>
    <row r="881" spans="1:21">
      <c r="A881" t="s">
        <v>62</v>
      </c>
      <c r="B881">
        <v>2018</v>
      </c>
      <c r="C881">
        <v>26633.77</v>
      </c>
      <c r="D881">
        <v>7199.9998089999999</v>
      </c>
      <c r="E881">
        <v>4.58</v>
      </c>
      <c r="F881">
        <v>0</v>
      </c>
      <c r="G881">
        <v>0.48</v>
      </c>
      <c r="H881">
        <v>9.4861660000000008</v>
      </c>
      <c r="J881">
        <v>12.11</v>
      </c>
      <c r="K881">
        <v>131</v>
      </c>
      <c r="L881">
        <v>100</v>
      </c>
      <c r="M881">
        <v>100</v>
      </c>
      <c r="N881">
        <v>3.8665202000000001</v>
      </c>
      <c r="P881">
        <v>5.692841724</v>
      </c>
      <c r="Q881">
        <v>29334.110929999999</v>
      </c>
      <c r="R881">
        <v>2.74</v>
      </c>
      <c r="S881">
        <v>9251</v>
      </c>
      <c r="T881">
        <v>35.126412999999999</v>
      </c>
      <c r="U881">
        <v>33.429859</v>
      </c>
    </row>
    <row r="882" spans="1:21">
      <c r="A882" t="s">
        <v>62</v>
      </c>
      <c r="B882">
        <v>2019</v>
      </c>
      <c r="C882">
        <v>26442.418000000001</v>
      </c>
      <c r="D882">
        <v>7190.0000570000002</v>
      </c>
      <c r="E882">
        <v>4.63</v>
      </c>
      <c r="F882">
        <v>0</v>
      </c>
      <c r="G882">
        <v>0.52</v>
      </c>
      <c r="H882">
        <v>10.097087</v>
      </c>
      <c r="J882">
        <v>12.05</v>
      </c>
      <c r="K882">
        <v>131</v>
      </c>
      <c r="L882">
        <v>100</v>
      </c>
      <c r="M882">
        <v>100</v>
      </c>
      <c r="N882">
        <v>4.2749753000000004</v>
      </c>
      <c r="P882">
        <v>5.2831873959999998</v>
      </c>
      <c r="Q882">
        <v>29206.076720000001</v>
      </c>
      <c r="R882">
        <v>2.67</v>
      </c>
      <c r="S882">
        <v>9251</v>
      </c>
      <c r="T882">
        <v>35.126412999999999</v>
      </c>
      <c r="U882">
        <v>33.429859</v>
      </c>
    </row>
    <row r="883" spans="1:21">
      <c r="A883" t="s">
        <v>62</v>
      </c>
      <c r="B883">
        <v>2020</v>
      </c>
      <c r="C883">
        <v>22852.851999999999</v>
      </c>
      <c r="E883">
        <v>4.25</v>
      </c>
      <c r="F883">
        <v>0</v>
      </c>
      <c r="G883">
        <v>0.6</v>
      </c>
      <c r="H883">
        <v>12.371135000000001</v>
      </c>
      <c r="K883">
        <v>131</v>
      </c>
      <c r="L883">
        <v>100</v>
      </c>
      <c r="M883">
        <v>100</v>
      </c>
      <c r="N883">
        <v>5.6619809999999999</v>
      </c>
      <c r="P883">
        <v>-5.2289880999999996</v>
      </c>
      <c r="Q883">
        <v>27527.845310000001</v>
      </c>
      <c r="S883">
        <v>9251</v>
      </c>
      <c r="T883">
        <v>35.126412999999999</v>
      </c>
      <c r="U883">
        <v>33.429859</v>
      </c>
    </row>
    <row r="884" spans="1:21">
      <c r="A884" t="s">
        <v>63</v>
      </c>
      <c r="B884">
        <v>2000</v>
      </c>
      <c r="C884">
        <v>46362.195</v>
      </c>
      <c r="D884">
        <v>123170</v>
      </c>
      <c r="E884">
        <v>57.03</v>
      </c>
      <c r="F884">
        <v>13.59</v>
      </c>
      <c r="G884">
        <v>2.2799999999999998</v>
      </c>
      <c r="H884">
        <v>21.769546999999999</v>
      </c>
      <c r="J884">
        <v>5.94</v>
      </c>
      <c r="K884">
        <v>136</v>
      </c>
      <c r="L884">
        <v>100</v>
      </c>
      <c r="M884">
        <v>100</v>
      </c>
      <c r="N884">
        <v>1.4434271000000001</v>
      </c>
      <c r="R884">
        <v>6.74</v>
      </c>
      <c r="S884">
        <v>78871</v>
      </c>
      <c r="T884">
        <v>49.817492000000001</v>
      </c>
      <c r="U884">
        <v>15.472962000000001</v>
      </c>
    </row>
    <row r="885" spans="1:21">
      <c r="A885" t="s">
        <v>63</v>
      </c>
      <c r="B885">
        <v>2001</v>
      </c>
      <c r="C885">
        <v>47434.9</v>
      </c>
      <c r="D885">
        <v>122720</v>
      </c>
      <c r="E885">
        <v>56.9</v>
      </c>
      <c r="F885">
        <v>14.75</v>
      </c>
      <c r="G885">
        <v>2.57</v>
      </c>
      <c r="H885">
        <v>23.336027000000001</v>
      </c>
      <c r="J885">
        <v>6.29</v>
      </c>
      <c r="K885">
        <v>136</v>
      </c>
      <c r="L885">
        <v>100</v>
      </c>
      <c r="M885">
        <v>100</v>
      </c>
      <c r="N885">
        <v>1.5818000000000001</v>
      </c>
      <c r="R885">
        <v>6.71</v>
      </c>
      <c r="S885">
        <v>78871</v>
      </c>
      <c r="T885">
        <v>49.817492000000001</v>
      </c>
      <c r="U885">
        <v>15.472962000000001</v>
      </c>
    </row>
    <row r="886" spans="1:21">
      <c r="A886" t="s">
        <v>63</v>
      </c>
      <c r="B886">
        <v>2002</v>
      </c>
      <c r="C886">
        <v>47543.315999999999</v>
      </c>
      <c r="D886">
        <v>118529.9988</v>
      </c>
      <c r="E886">
        <v>54.27</v>
      </c>
      <c r="F886">
        <v>18.739999999999998</v>
      </c>
      <c r="G886">
        <v>2.99</v>
      </c>
      <c r="H886">
        <v>28.592106000000001</v>
      </c>
      <c r="J886">
        <v>7.28</v>
      </c>
      <c r="K886">
        <v>136</v>
      </c>
      <c r="L886">
        <v>100</v>
      </c>
      <c r="M886">
        <v>100</v>
      </c>
      <c r="N886">
        <v>1.8193735</v>
      </c>
      <c r="R886">
        <v>6.69</v>
      </c>
      <c r="S886">
        <v>78871</v>
      </c>
      <c r="T886">
        <v>49.817492000000001</v>
      </c>
      <c r="U886">
        <v>15.472962000000001</v>
      </c>
    </row>
    <row r="887" spans="1:21">
      <c r="A887" t="s">
        <v>63</v>
      </c>
      <c r="B887">
        <v>2003</v>
      </c>
      <c r="C887">
        <v>50209.616999999998</v>
      </c>
      <c r="D887">
        <v>122769.9966</v>
      </c>
      <c r="E887">
        <v>55.05</v>
      </c>
      <c r="F887">
        <v>25.87</v>
      </c>
      <c r="G887">
        <v>1.87</v>
      </c>
      <c r="H887">
        <v>33.506461999999999</v>
      </c>
      <c r="J887">
        <v>6.72</v>
      </c>
      <c r="K887">
        <v>136</v>
      </c>
      <c r="L887">
        <v>100</v>
      </c>
      <c r="M887">
        <v>100</v>
      </c>
      <c r="N887">
        <v>1.0856817999999999</v>
      </c>
      <c r="R887">
        <v>6.74</v>
      </c>
      <c r="S887">
        <v>78871</v>
      </c>
      <c r="T887">
        <v>49.817492000000001</v>
      </c>
      <c r="U887">
        <v>15.472962000000001</v>
      </c>
    </row>
    <row r="888" spans="1:21">
      <c r="A888" t="s">
        <v>63</v>
      </c>
      <c r="B888">
        <v>2004</v>
      </c>
      <c r="C888">
        <v>51439.855000000003</v>
      </c>
      <c r="D888">
        <v>123440.0024</v>
      </c>
      <c r="E888">
        <v>54.72</v>
      </c>
      <c r="F888">
        <v>26.33</v>
      </c>
      <c r="G888">
        <v>2.74</v>
      </c>
      <c r="H888">
        <v>34.69388</v>
      </c>
      <c r="J888">
        <v>7.13</v>
      </c>
      <c r="K888">
        <v>136</v>
      </c>
      <c r="L888">
        <v>100</v>
      </c>
      <c r="M888">
        <v>100</v>
      </c>
      <c r="N888">
        <v>1.4602341999999999</v>
      </c>
      <c r="R888">
        <v>6.58</v>
      </c>
      <c r="S888">
        <v>78871</v>
      </c>
      <c r="T888">
        <v>49.817492000000001</v>
      </c>
      <c r="U888">
        <v>15.472962000000001</v>
      </c>
    </row>
    <row r="889" spans="1:21">
      <c r="A889" t="s">
        <v>63</v>
      </c>
      <c r="B889">
        <v>2005</v>
      </c>
      <c r="C889">
        <v>50547.258000000002</v>
      </c>
      <c r="D889">
        <v>119989.9979</v>
      </c>
      <c r="E889">
        <v>54.07</v>
      </c>
      <c r="F889">
        <v>24.73</v>
      </c>
      <c r="G889">
        <v>3.13</v>
      </c>
      <c r="H889">
        <v>34.004640000000002</v>
      </c>
      <c r="J889">
        <v>7.53</v>
      </c>
      <c r="K889">
        <v>136</v>
      </c>
      <c r="L889">
        <v>100</v>
      </c>
      <c r="M889">
        <v>100</v>
      </c>
      <c r="N889">
        <v>1.7223583</v>
      </c>
      <c r="R889">
        <v>6.11</v>
      </c>
      <c r="S889">
        <v>78871</v>
      </c>
      <c r="T889">
        <v>49.817492000000001</v>
      </c>
      <c r="U889">
        <v>15.472962000000001</v>
      </c>
    </row>
    <row r="890" spans="1:21">
      <c r="A890" t="s">
        <v>63</v>
      </c>
      <c r="B890">
        <v>2006</v>
      </c>
      <c r="C890">
        <v>51379.383000000002</v>
      </c>
      <c r="D890">
        <v>120599.9985</v>
      </c>
      <c r="E890">
        <v>54.09</v>
      </c>
      <c r="F890">
        <v>26.05</v>
      </c>
      <c r="G890">
        <v>3.52</v>
      </c>
      <c r="H890">
        <v>35.345444000000001</v>
      </c>
      <c r="J890">
        <v>7.88</v>
      </c>
      <c r="K890">
        <v>136</v>
      </c>
      <c r="L890">
        <v>100</v>
      </c>
      <c r="M890">
        <v>100</v>
      </c>
      <c r="N890">
        <v>1.9475973</v>
      </c>
      <c r="R890">
        <v>5.85</v>
      </c>
      <c r="S890">
        <v>78871</v>
      </c>
      <c r="T890">
        <v>49.817492000000001</v>
      </c>
      <c r="U890">
        <v>15.472962000000001</v>
      </c>
    </row>
    <row r="891" spans="1:21">
      <c r="A891" t="s">
        <v>63</v>
      </c>
      <c r="B891">
        <v>2007</v>
      </c>
      <c r="C891">
        <v>50659.105000000003</v>
      </c>
      <c r="D891">
        <v>123620.0027</v>
      </c>
      <c r="E891">
        <v>58.18</v>
      </c>
      <c r="F891">
        <v>26.17</v>
      </c>
      <c r="G891">
        <v>3.42</v>
      </c>
      <c r="H891">
        <v>33.713115999999999</v>
      </c>
      <c r="J891">
        <v>8.32</v>
      </c>
      <c r="K891">
        <v>136</v>
      </c>
      <c r="L891">
        <v>100</v>
      </c>
      <c r="M891">
        <v>100</v>
      </c>
      <c r="N891">
        <v>1.9150995</v>
      </c>
      <c r="R891">
        <v>5.53</v>
      </c>
      <c r="S891">
        <v>78871</v>
      </c>
      <c r="T891">
        <v>49.817492000000001</v>
      </c>
      <c r="U891">
        <v>15.472962000000001</v>
      </c>
    </row>
    <row r="892" spans="1:21">
      <c r="A892" t="s">
        <v>63</v>
      </c>
      <c r="B892">
        <v>2008</v>
      </c>
      <c r="C892">
        <v>49488.311999999998</v>
      </c>
      <c r="D892">
        <v>118309.9976</v>
      </c>
      <c r="E892">
        <v>53.01</v>
      </c>
      <c r="F892">
        <v>26.55</v>
      </c>
      <c r="G892">
        <v>3.72</v>
      </c>
      <c r="H892">
        <v>36.347262999999998</v>
      </c>
      <c r="J892">
        <v>8.99</v>
      </c>
      <c r="K892">
        <v>136</v>
      </c>
      <c r="L892">
        <v>100</v>
      </c>
      <c r="M892">
        <v>100</v>
      </c>
      <c r="N892">
        <v>2.1536171</v>
      </c>
      <c r="R892">
        <v>5.28</v>
      </c>
      <c r="S892">
        <v>78871</v>
      </c>
      <c r="T892">
        <v>49.817492000000001</v>
      </c>
      <c r="U892">
        <v>15.472962000000001</v>
      </c>
    </row>
    <row r="893" spans="1:21">
      <c r="A893" t="s">
        <v>63</v>
      </c>
      <c r="B893">
        <v>2009</v>
      </c>
      <c r="C893">
        <v>47287.843999999997</v>
      </c>
      <c r="D893">
        <v>111169.9982</v>
      </c>
      <c r="E893">
        <v>49.77</v>
      </c>
      <c r="F893">
        <v>27.21</v>
      </c>
      <c r="G893">
        <v>4.66</v>
      </c>
      <c r="H893">
        <v>39.037235000000003</v>
      </c>
      <c r="J893">
        <v>10.25</v>
      </c>
      <c r="K893">
        <v>136</v>
      </c>
      <c r="L893">
        <v>100</v>
      </c>
      <c r="M893">
        <v>100</v>
      </c>
      <c r="N893">
        <v>2.7962986999999999</v>
      </c>
      <c r="R893">
        <v>5.21</v>
      </c>
      <c r="S893">
        <v>78871</v>
      </c>
      <c r="T893">
        <v>49.817492000000001</v>
      </c>
      <c r="U893">
        <v>15.472962000000001</v>
      </c>
    </row>
    <row r="894" spans="1:21">
      <c r="A894" t="s">
        <v>63</v>
      </c>
      <c r="B894">
        <v>2010</v>
      </c>
      <c r="C894">
        <v>49083.73</v>
      </c>
      <c r="D894">
        <v>112250</v>
      </c>
      <c r="E894">
        <v>51.33</v>
      </c>
      <c r="F894">
        <v>28</v>
      </c>
      <c r="G894">
        <v>5.91</v>
      </c>
      <c r="H894">
        <v>39.781790000000001</v>
      </c>
      <c r="J894">
        <v>10.95</v>
      </c>
      <c r="K894">
        <v>136</v>
      </c>
      <c r="L894">
        <v>100</v>
      </c>
      <c r="M894">
        <v>100</v>
      </c>
      <c r="N894">
        <v>3.3554666000000002</v>
      </c>
      <c r="R894">
        <v>5.39</v>
      </c>
      <c r="S894">
        <v>78871</v>
      </c>
      <c r="T894">
        <v>49.817492000000001</v>
      </c>
      <c r="U894">
        <v>15.472962000000001</v>
      </c>
    </row>
    <row r="895" spans="1:21">
      <c r="A895" t="s">
        <v>63</v>
      </c>
      <c r="B895">
        <v>2011</v>
      </c>
      <c r="C895">
        <v>47823.707000000002</v>
      </c>
      <c r="D895">
        <v>109169.9982</v>
      </c>
      <c r="E895">
        <v>51.15</v>
      </c>
      <c r="F895">
        <v>28.28</v>
      </c>
      <c r="G895">
        <v>7.24</v>
      </c>
      <c r="H895">
        <v>40.983040000000003</v>
      </c>
      <c r="J895">
        <v>12.16</v>
      </c>
      <c r="K895">
        <v>136</v>
      </c>
      <c r="L895">
        <v>100</v>
      </c>
      <c r="M895">
        <v>100</v>
      </c>
      <c r="N895">
        <v>4.2726810000000004</v>
      </c>
      <c r="R895">
        <v>5.0999999999999996</v>
      </c>
      <c r="S895">
        <v>78871</v>
      </c>
      <c r="T895">
        <v>49.817492000000001</v>
      </c>
      <c r="U895">
        <v>15.472962000000001</v>
      </c>
    </row>
    <row r="896" spans="1:21">
      <c r="A896" t="s">
        <v>63</v>
      </c>
      <c r="B896">
        <v>2012</v>
      </c>
      <c r="C896">
        <v>47515.48</v>
      </c>
      <c r="D896">
        <v>106069.9997</v>
      </c>
      <c r="E896">
        <v>48.22</v>
      </c>
      <c r="F896">
        <v>30.32</v>
      </c>
      <c r="G896">
        <v>8.07</v>
      </c>
      <c r="H896">
        <v>44.325133999999998</v>
      </c>
      <c r="J896">
        <v>12.8</v>
      </c>
      <c r="K896">
        <v>136</v>
      </c>
      <c r="L896">
        <v>100</v>
      </c>
      <c r="M896">
        <v>100</v>
      </c>
      <c r="N896">
        <v>4.7926609999999998</v>
      </c>
      <c r="R896">
        <v>5.1100000000000003</v>
      </c>
      <c r="S896">
        <v>78871</v>
      </c>
      <c r="T896">
        <v>49.817492000000001</v>
      </c>
      <c r="U896">
        <v>15.472962000000001</v>
      </c>
    </row>
    <row r="897" spans="1:21">
      <c r="A897" t="s">
        <v>63</v>
      </c>
      <c r="B897">
        <v>2013</v>
      </c>
      <c r="C897">
        <v>46623.125</v>
      </c>
      <c r="D897">
        <v>101150.0015</v>
      </c>
      <c r="E897">
        <v>45.89</v>
      </c>
      <c r="F897">
        <v>30.75</v>
      </c>
      <c r="G897">
        <v>9.3000000000000007</v>
      </c>
      <c r="H897">
        <v>46.60228</v>
      </c>
      <c r="J897">
        <v>13.95</v>
      </c>
      <c r="K897">
        <v>136</v>
      </c>
      <c r="L897">
        <v>100</v>
      </c>
      <c r="M897">
        <v>100</v>
      </c>
      <c r="N897">
        <v>5.6041293000000003</v>
      </c>
      <c r="R897">
        <v>5.1100000000000003</v>
      </c>
      <c r="S897">
        <v>78871</v>
      </c>
      <c r="T897">
        <v>49.817492000000001</v>
      </c>
      <c r="U897">
        <v>15.472962000000001</v>
      </c>
    </row>
    <row r="898" spans="1:21">
      <c r="A898" t="s">
        <v>63</v>
      </c>
      <c r="B898">
        <v>2014</v>
      </c>
      <c r="C898">
        <v>45633.582000000002</v>
      </c>
      <c r="D898">
        <v>97510.002139999997</v>
      </c>
      <c r="E898">
        <v>45.51</v>
      </c>
      <c r="F898">
        <v>30.33</v>
      </c>
      <c r="G898">
        <v>9.17</v>
      </c>
      <c r="H898">
        <v>46.465122000000001</v>
      </c>
      <c r="J898">
        <v>14.85</v>
      </c>
      <c r="K898">
        <v>136</v>
      </c>
      <c r="L898">
        <v>100</v>
      </c>
      <c r="M898">
        <v>100</v>
      </c>
      <c r="N898">
        <v>5.6454360000000001</v>
      </c>
      <c r="R898">
        <v>4.8499999999999996</v>
      </c>
      <c r="S898">
        <v>78871</v>
      </c>
      <c r="T898">
        <v>49.817492000000001</v>
      </c>
      <c r="U898">
        <v>15.472962000000001</v>
      </c>
    </row>
    <row r="899" spans="1:21">
      <c r="A899" t="s">
        <v>63</v>
      </c>
      <c r="B899">
        <v>2015</v>
      </c>
      <c r="C899">
        <v>44728.675999999999</v>
      </c>
      <c r="D899">
        <v>99139.999389999997</v>
      </c>
      <c r="E899">
        <v>46.27</v>
      </c>
      <c r="F899">
        <v>26.84</v>
      </c>
      <c r="G899">
        <v>9.41</v>
      </c>
      <c r="H899">
        <v>43.928744999999999</v>
      </c>
      <c r="J899">
        <v>14.84</v>
      </c>
      <c r="K899">
        <v>136</v>
      </c>
      <c r="L899">
        <v>100</v>
      </c>
      <c r="M899">
        <v>100</v>
      </c>
      <c r="N899">
        <v>5.8991933000000003</v>
      </c>
      <c r="R899">
        <v>4.6100000000000003</v>
      </c>
      <c r="S899">
        <v>78871</v>
      </c>
      <c r="T899">
        <v>49.817492000000001</v>
      </c>
      <c r="U899">
        <v>15.472962000000001</v>
      </c>
    </row>
    <row r="900" spans="1:21">
      <c r="A900" t="s">
        <v>63</v>
      </c>
      <c r="B900">
        <v>2016</v>
      </c>
      <c r="C900">
        <v>44110.195</v>
      </c>
      <c r="D900">
        <v>101730.0034</v>
      </c>
      <c r="E900">
        <v>48.52</v>
      </c>
      <c r="F900">
        <v>24.1</v>
      </c>
      <c r="G900">
        <v>9.39</v>
      </c>
      <c r="H900">
        <v>40.836486999999998</v>
      </c>
      <c r="J900">
        <v>14.77</v>
      </c>
      <c r="K900">
        <v>136</v>
      </c>
      <c r="L900">
        <v>100</v>
      </c>
      <c r="M900">
        <v>100</v>
      </c>
      <c r="N900">
        <v>5.9457700000000004</v>
      </c>
      <c r="R900">
        <v>4.4400000000000004</v>
      </c>
      <c r="S900">
        <v>78871</v>
      </c>
      <c r="T900">
        <v>49.817492000000001</v>
      </c>
      <c r="U900">
        <v>15.472962000000001</v>
      </c>
    </row>
    <row r="901" spans="1:21">
      <c r="A901" t="s">
        <v>63</v>
      </c>
      <c r="B901">
        <v>2017</v>
      </c>
      <c r="C901">
        <v>46583.093999999997</v>
      </c>
      <c r="D901">
        <v>101830.0018</v>
      </c>
      <c r="E901">
        <v>47.81</v>
      </c>
      <c r="F901">
        <v>28.34</v>
      </c>
      <c r="G901">
        <v>9.6300000000000008</v>
      </c>
      <c r="H901">
        <v>44.264397000000002</v>
      </c>
      <c r="J901">
        <v>14.46</v>
      </c>
      <c r="K901">
        <v>136</v>
      </c>
      <c r="L901">
        <v>100</v>
      </c>
      <c r="M901">
        <v>100</v>
      </c>
      <c r="N901">
        <v>5.8155720000000004</v>
      </c>
      <c r="R901">
        <v>4.41</v>
      </c>
      <c r="S901">
        <v>78871</v>
      </c>
      <c r="T901">
        <v>49.817492000000001</v>
      </c>
      <c r="U901">
        <v>15.472962000000001</v>
      </c>
    </row>
    <row r="902" spans="1:21">
      <c r="A902" t="s">
        <v>63</v>
      </c>
      <c r="B902">
        <v>2018</v>
      </c>
      <c r="C902">
        <v>46420.684000000001</v>
      </c>
      <c r="D902">
        <v>100900.0015</v>
      </c>
      <c r="E902">
        <v>47.51</v>
      </c>
      <c r="F902">
        <v>29.92</v>
      </c>
      <c r="G902">
        <v>9.43</v>
      </c>
      <c r="H902">
        <v>45.302784000000003</v>
      </c>
      <c r="J902">
        <v>14.72</v>
      </c>
      <c r="K902">
        <v>136</v>
      </c>
      <c r="L902">
        <v>100</v>
      </c>
      <c r="M902">
        <v>100</v>
      </c>
      <c r="N902">
        <v>5.6855096999999999</v>
      </c>
      <c r="R902">
        <v>4.28</v>
      </c>
      <c r="S902">
        <v>78871</v>
      </c>
      <c r="T902">
        <v>49.817492000000001</v>
      </c>
      <c r="U902">
        <v>15.472962000000001</v>
      </c>
    </row>
    <row r="903" spans="1:21">
      <c r="A903" t="s">
        <v>63</v>
      </c>
      <c r="B903">
        <v>2019</v>
      </c>
      <c r="C903">
        <v>45355.285000000003</v>
      </c>
      <c r="D903">
        <v>96290.000920000006</v>
      </c>
      <c r="E903">
        <v>45.44</v>
      </c>
      <c r="F903">
        <v>30.25</v>
      </c>
      <c r="G903">
        <v>10.08</v>
      </c>
      <c r="H903">
        <v>47.021107000000001</v>
      </c>
      <c r="J903">
        <v>15.85</v>
      </c>
      <c r="K903">
        <v>136</v>
      </c>
      <c r="L903">
        <v>100</v>
      </c>
      <c r="M903">
        <v>100</v>
      </c>
      <c r="N903">
        <v>6.1152123999999999</v>
      </c>
      <c r="R903">
        <v>4.12</v>
      </c>
      <c r="S903">
        <v>78871</v>
      </c>
      <c r="T903">
        <v>49.817492000000001</v>
      </c>
      <c r="U903">
        <v>15.472962000000001</v>
      </c>
    </row>
    <row r="904" spans="1:21">
      <c r="A904" t="s">
        <v>63</v>
      </c>
      <c r="B904">
        <v>2020</v>
      </c>
      <c r="C904">
        <v>42025.31</v>
      </c>
      <c r="E904">
        <v>39.72</v>
      </c>
      <c r="F904">
        <v>30.04</v>
      </c>
      <c r="G904">
        <v>10.39</v>
      </c>
      <c r="H904">
        <v>50.442917000000001</v>
      </c>
      <c r="K904">
        <v>136</v>
      </c>
      <c r="L904">
        <v>100</v>
      </c>
      <c r="M904">
        <v>100</v>
      </c>
      <c r="N904">
        <v>6.6910489999999996</v>
      </c>
      <c r="S904">
        <v>78871</v>
      </c>
      <c r="T904">
        <v>49.817492000000001</v>
      </c>
      <c r="U904">
        <v>15.472962000000001</v>
      </c>
    </row>
    <row r="905" spans="1:21">
      <c r="A905" t="s">
        <v>64</v>
      </c>
      <c r="B905">
        <v>2000</v>
      </c>
      <c r="C905">
        <v>44286.535000000003</v>
      </c>
      <c r="D905">
        <v>52600</v>
      </c>
      <c r="E905">
        <v>30.43</v>
      </c>
      <c r="F905">
        <v>0</v>
      </c>
      <c r="G905">
        <v>5.57</v>
      </c>
      <c r="H905">
        <v>15.472222</v>
      </c>
      <c r="J905">
        <v>10.73</v>
      </c>
      <c r="K905">
        <v>137</v>
      </c>
      <c r="L905">
        <v>100</v>
      </c>
      <c r="M905">
        <v>100</v>
      </c>
      <c r="N905">
        <v>7.0956745000000003</v>
      </c>
      <c r="P905">
        <v>3.7468625950000001</v>
      </c>
      <c r="Q905">
        <v>30743.54768</v>
      </c>
      <c r="R905">
        <v>2.99</v>
      </c>
      <c r="S905">
        <v>43094</v>
      </c>
      <c r="T905">
        <v>56.263919999999999</v>
      </c>
      <c r="U905">
        <v>9.5017849999999999</v>
      </c>
    </row>
    <row r="906" spans="1:21">
      <c r="A906" t="s">
        <v>64</v>
      </c>
      <c r="B906">
        <v>2001</v>
      </c>
      <c r="C906">
        <v>44250.59</v>
      </c>
      <c r="D906">
        <v>54250</v>
      </c>
      <c r="E906">
        <v>31.87</v>
      </c>
      <c r="F906">
        <v>0</v>
      </c>
      <c r="G906">
        <v>5.85</v>
      </c>
      <c r="H906">
        <v>15.509012999999999</v>
      </c>
      <c r="J906">
        <v>11.12</v>
      </c>
      <c r="K906">
        <v>137</v>
      </c>
      <c r="L906">
        <v>100</v>
      </c>
      <c r="M906">
        <v>100</v>
      </c>
      <c r="N906">
        <v>7.4025154000000004</v>
      </c>
      <c r="P906">
        <v>0.82315299799999997</v>
      </c>
      <c r="Q906">
        <v>30751.654350000001</v>
      </c>
      <c r="R906">
        <v>3.06</v>
      </c>
      <c r="S906">
        <v>43094</v>
      </c>
      <c r="T906">
        <v>56.263919999999999</v>
      </c>
      <c r="U906">
        <v>9.5017849999999999</v>
      </c>
    </row>
    <row r="907" spans="1:21">
      <c r="A907" t="s">
        <v>64</v>
      </c>
      <c r="B907">
        <v>2002</v>
      </c>
      <c r="C907">
        <v>44017.222999999998</v>
      </c>
      <c r="D907">
        <v>53840.00015</v>
      </c>
      <c r="E907">
        <v>32.49</v>
      </c>
      <c r="F907">
        <v>0</v>
      </c>
      <c r="G907">
        <v>6.79</v>
      </c>
      <c r="H907">
        <v>17.286152000000001</v>
      </c>
      <c r="J907">
        <v>11.86</v>
      </c>
      <c r="K907">
        <v>137</v>
      </c>
      <c r="L907">
        <v>100</v>
      </c>
      <c r="M907">
        <v>100</v>
      </c>
      <c r="N907">
        <v>8.586957</v>
      </c>
      <c r="P907">
        <v>0.46634557100000001</v>
      </c>
      <c r="Q907">
        <v>33228.69354</v>
      </c>
      <c r="R907">
        <v>3.01</v>
      </c>
      <c r="S907">
        <v>43094</v>
      </c>
      <c r="T907">
        <v>56.263919999999999</v>
      </c>
      <c r="U907">
        <v>9.5017849999999999</v>
      </c>
    </row>
    <row r="908" spans="1:21">
      <c r="A908" t="s">
        <v>64</v>
      </c>
      <c r="B908">
        <v>2003</v>
      </c>
      <c r="C908">
        <v>47297.21</v>
      </c>
      <c r="D908">
        <v>59229.999539999997</v>
      </c>
      <c r="E908">
        <v>38.090000000000003</v>
      </c>
      <c r="F908">
        <v>0</v>
      </c>
      <c r="G908">
        <v>8.07</v>
      </c>
      <c r="H908">
        <v>17.482669999999999</v>
      </c>
      <c r="J908">
        <v>12.72</v>
      </c>
      <c r="K908">
        <v>137</v>
      </c>
      <c r="L908">
        <v>100</v>
      </c>
      <c r="M908">
        <v>100</v>
      </c>
      <c r="N908">
        <v>9.4628010000000007</v>
      </c>
      <c r="P908">
        <v>0.390058556</v>
      </c>
      <c r="Q908">
        <v>40458.777399999999</v>
      </c>
      <c r="R908">
        <v>3.17</v>
      </c>
      <c r="S908">
        <v>43094</v>
      </c>
      <c r="T908">
        <v>56.263919999999999</v>
      </c>
      <c r="U908">
        <v>9.5017849999999999</v>
      </c>
    </row>
    <row r="909" spans="1:21">
      <c r="A909" t="s">
        <v>64</v>
      </c>
      <c r="B909">
        <v>2004</v>
      </c>
      <c r="C909">
        <v>44621.56</v>
      </c>
      <c r="D909">
        <v>53729.999539999997</v>
      </c>
      <c r="E909">
        <v>30.9</v>
      </c>
      <c r="F909">
        <v>0</v>
      </c>
      <c r="G909">
        <v>9.52</v>
      </c>
      <c r="H909">
        <v>23.552700000000002</v>
      </c>
      <c r="J909">
        <v>14.44</v>
      </c>
      <c r="K909">
        <v>137</v>
      </c>
      <c r="L909">
        <v>100</v>
      </c>
      <c r="M909">
        <v>100</v>
      </c>
      <c r="N909">
        <v>11.729120999999999</v>
      </c>
      <c r="P909">
        <v>2.668219267</v>
      </c>
      <c r="Q909">
        <v>46511.598330000001</v>
      </c>
      <c r="R909">
        <v>2.99</v>
      </c>
      <c r="S909">
        <v>43094</v>
      </c>
      <c r="T909">
        <v>56.263919999999999</v>
      </c>
      <c r="U909">
        <v>9.5017849999999999</v>
      </c>
    </row>
    <row r="910" spans="1:21">
      <c r="A910" t="s">
        <v>64</v>
      </c>
      <c r="B910">
        <v>2005</v>
      </c>
      <c r="C910">
        <v>41866.43</v>
      </c>
      <c r="D910">
        <v>50200.000760000003</v>
      </c>
      <c r="E910">
        <v>26.43</v>
      </c>
      <c r="F910">
        <v>0</v>
      </c>
      <c r="G910">
        <v>9.8000000000000007</v>
      </c>
      <c r="H910">
        <v>27.049406000000001</v>
      </c>
      <c r="J910">
        <v>16.12</v>
      </c>
      <c r="K910">
        <v>137</v>
      </c>
      <c r="L910">
        <v>100</v>
      </c>
      <c r="M910">
        <v>100</v>
      </c>
      <c r="N910">
        <v>12.488842999999999</v>
      </c>
      <c r="P910">
        <v>2.3366413079999999</v>
      </c>
      <c r="Q910">
        <v>48799.825599999996</v>
      </c>
      <c r="R910">
        <v>2.83</v>
      </c>
      <c r="S910">
        <v>43094</v>
      </c>
      <c r="T910">
        <v>56.263919999999999</v>
      </c>
      <c r="U910">
        <v>9.5017849999999999</v>
      </c>
    </row>
    <row r="911" spans="1:21">
      <c r="A911" t="s">
        <v>64</v>
      </c>
      <c r="B911">
        <v>2006</v>
      </c>
      <c r="C911">
        <v>46091.766000000003</v>
      </c>
      <c r="D911">
        <v>58130.001069999998</v>
      </c>
      <c r="E911">
        <v>36.409999999999997</v>
      </c>
      <c r="F911">
        <v>0</v>
      </c>
      <c r="G911">
        <v>9.1999999999999993</v>
      </c>
      <c r="H911">
        <v>20.171015000000001</v>
      </c>
      <c r="J911">
        <v>15.26</v>
      </c>
      <c r="K911">
        <v>137</v>
      </c>
      <c r="L911">
        <v>100</v>
      </c>
      <c r="M911">
        <v>100</v>
      </c>
      <c r="N911">
        <v>10.61084</v>
      </c>
      <c r="P911">
        <v>3.913007978</v>
      </c>
      <c r="Q911">
        <v>52026.999510000001</v>
      </c>
      <c r="R911">
        <v>2.93</v>
      </c>
      <c r="S911">
        <v>43094</v>
      </c>
      <c r="T911">
        <v>56.263919999999999</v>
      </c>
      <c r="U911">
        <v>9.5017849999999999</v>
      </c>
    </row>
    <row r="912" spans="1:21">
      <c r="A912" t="s">
        <v>64</v>
      </c>
      <c r="B912">
        <v>2007</v>
      </c>
      <c r="C912">
        <v>43548.508000000002</v>
      </c>
      <c r="D912">
        <v>53409.99985</v>
      </c>
      <c r="E912">
        <v>29.01</v>
      </c>
      <c r="F912">
        <v>0</v>
      </c>
      <c r="G912">
        <v>10.3</v>
      </c>
      <c r="H912">
        <v>26.201982000000001</v>
      </c>
      <c r="J912">
        <v>17.690000000000001</v>
      </c>
      <c r="K912">
        <v>137</v>
      </c>
      <c r="L912">
        <v>100</v>
      </c>
      <c r="M912">
        <v>100</v>
      </c>
      <c r="N912">
        <v>12.42254</v>
      </c>
      <c r="P912">
        <v>0.90923892799999995</v>
      </c>
      <c r="Q912">
        <v>58487.054969999997</v>
      </c>
      <c r="R912">
        <v>2.83</v>
      </c>
      <c r="S912">
        <v>43094</v>
      </c>
      <c r="T912">
        <v>56.263919999999999</v>
      </c>
      <c r="U912">
        <v>9.5017849999999999</v>
      </c>
    </row>
    <row r="913" spans="1:21">
      <c r="A913" t="s">
        <v>64</v>
      </c>
      <c r="B913">
        <v>2008</v>
      </c>
      <c r="C913">
        <v>41183.277000000002</v>
      </c>
      <c r="D913">
        <v>50130.001069999998</v>
      </c>
      <c r="E913">
        <v>26.52</v>
      </c>
      <c r="F913">
        <v>0</v>
      </c>
      <c r="G913">
        <v>10.1</v>
      </c>
      <c r="H913">
        <v>27.580559000000001</v>
      </c>
      <c r="J913">
        <v>18.54</v>
      </c>
      <c r="K913">
        <v>137</v>
      </c>
      <c r="L913">
        <v>100</v>
      </c>
      <c r="M913">
        <v>100</v>
      </c>
      <c r="N913">
        <v>12.605600000000001</v>
      </c>
      <c r="P913">
        <v>-0.51201674500000005</v>
      </c>
      <c r="Q913">
        <v>64322.063499999997</v>
      </c>
      <c r="R913">
        <v>2.78</v>
      </c>
      <c r="S913">
        <v>43094</v>
      </c>
      <c r="T913">
        <v>56.263919999999999</v>
      </c>
      <c r="U913">
        <v>9.5017849999999999</v>
      </c>
    </row>
    <row r="914" spans="1:21">
      <c r="A914" t="s">
        <v>64</v>
      </c>
      <c r="B914">
        <v>2009</v>
      </c>
      <c r="C914">
        <v>38827.245999999999</v>
      </c>
      <c r="D914">
        <v>47930.000310000003</v>
      </c>
      <c r="E914">
        <v>26.32</v>
      </c>
      <c r="F914">
        <v>0</v>
      </c>
      <c r="G914">
        <v>10.06</v>
      </c>
      <c r="H914">
        <v>27.652557000000002</v>
      </c>
      <c r="J914">
        <v>19.329999999999998</v>
      </c>
      <c r="K914">
        <v>137</v>
      </c>
      <c r="L914">
        <v>100</v>
      </c>
      <c r="M914">
        <v>100</v>
      </c>
      <c r="N914">
        <v>13.32837</v>
      </c>
      <c r="P914">
        <v>-4.9065477299999998</v>
      </c>
      <c r="Q914">
        <v>58163.276879999998</v>
      </c>
      <c r="R914">
        <v>2.78</v>
      </c>
      <c r="S914">
        <v>43094</v>
      </c>
      <c r="T914">
        <v>56.263919999999999</v>
      </c>
      <c r="U914">
        <v>9.5017849999999999</v>
      </c>
    </row>
    <row r="915" spans="1:21">
      <c r="A915" t="s">
        <v>64</v>
      </c>
      <c r="B915">
        <v>2010</v>
      </c>
      <c r="C915">
        <v>41063.633000000002</v>
      </c>
      <c r="D915">
        <v>48119.998930000002</v>
      </c>
      <c r="E915">
        <v>26.44</v>
      </c>
      <c r="F915">
        <v>0</v>
      </c>
      <c r="G915">
        <v>12.43</v>
      </c>
      <c r="H915">
        <v>31.978390000000001</v>
      </c>
      <c r="J915">
        <v>21.2</v>
      </c>
      <c r="K915">
        <v>137</v>
      </c>
      <c r="L915">
        <v>100</v>
      </c>
      <c r="M915">
        <v>100</v>
      </c>
      <c r="N915">
        <v>15.651073999999999</v>
      </c>
      <c r="P915">
        <v>1.870991147</v>
      </c>
      <c r="Q915">
        <v>58041.398439999997</v>
      </c>
      <c r="R915">
        <v>2.89</v>
      </c>
      <c r="S915">
        <v>43094</v>
      </c>
      <c r="T915">
        <v>56.263919999999999</v>
      </c>
      <c r="U915">
        <v>9.5017849999999999</v>
      </c>
    </row>
    <row r="916" spans="1:21">
      <c r="A916" t="s">
        <v>64</v>
      </c>
      <c r="B916">
        <v>2011</v>
      </c>
      <c r="C916">
        <v>38406.093999999997</v>
      </c>
      <c r="D916">
        <v>43099.998469999999</v>
      </c>
      <c r="E916">
        <v>21.05</v>
      </c>
      <c r="F916">
        <v>0</v>
      </c>
      <c r="G916">
        <v>14.17</v>
      </c>
      <c r="H916">
        <v>40.232821999999999</v>
      </c>
      <c r="J916">
        <v>23.83</v>
      </c>
      <c r="K916">
        <v>137</v>
      </c>
      <c r="L916">
        <v>100</v>
      </c>
      <c r="M916">
        <v>100</v>
      </c>
      <c r="N916">
        <v>18.64669</v>
      </c>
      <c r="P916">
        <v>1.3367777670000001</v>
      </c>
      <c r="Q916">
        <v>61753.647129999998</v>
      </c>
      <c r="R916">
        <v>2.64</v>
      </c>
      <c r="S916">
        <v>43094</v>
      </c>
      <c r="T916">
        <v>56.263919999999999</v>
      </c>
      <c r="U916">
        <v>9.5017849999999999</v>
      </c>
    </row>
    <row r="917" spans="1:21">
      <c r="A917" t="s">
        <v>64</v>
      </c>
      <c r="B917">
        <v>2012</v>
      </c>
      <c r="C917">
        <v>35563.972999999998</v>
      </c>
      <c r="D917">
        <v>38220.001219999998</v>
      </c>
      <c r="E917">
        <v>15.86</v>
      </c>
      <c r="F917">
        <v>0</v>
      </c>
      <c r="G917">
        <v>14.84</v>
      </c>
      <c r="H917">
        <v>48.338760000000001</v>
      </c>
      <c r="J917">
        <v>26.93</v>
      </c>
      <c r="K917">
        <v>137</v>
      </c>
      <c r="L917">
        <v>100</v>
      </c>
      <c r="M917">
        <v>100</v>
      </c>
      <c r="N917">
        <v>20.934052000000001</v>
      </c>
      <c r="P917">
        <v>0.22649979200000001</v>
      </c>
      <c r="Q917">
        <v>58507.508049999997</v>
      </c>
      <c r="R917">
        <v>2.5299999999999998</v>
      </c>
      <c r="S917">
        <v>43094</v>
      </c>
      <c r="T917">
        <v>56.263919999999999</v>
      </c>
      <c r="U917">
        <v>9.5017849999999999</v>
      </c>
    </row>
    <row r="918" spans="1:21">
      <c r="A918" t="s">
        <v>64</v>
      </c>
      <c r="B918">
        <v>2013</v>
      </c>
      <c r="C918">
        <v>36936.71</v>
      </c>
      <c r="D918">
        <v>39959.999080000001</v>
      </c>
      <c r="E918">
        <v>18.78</v>
      </c>
      <c r="F918">
        <v>0</v>
      </c>
      <c r="G918">
        <v>15.96</v>
      </c>
      <c r="H918">
        <v>45.941276999999999</v>
      </c>
      <c r="J918">
        <v>27.05</v>
      </c>
      <c r="K918">
        <v>137</v>
      </c>
      <c r="L918">
        <v>100</v>
      </c>
      <c r="M918">
        <v>100</v>
      </c>
      <c r="N918">
        <v>21.378274999999999</v>
      </c>
      <c r="P918">
        <v>0.93334097199999999</v>
      </c>
      <c r="Q918">
        <v>61191.193700000003</v>
      </c>
      <c r="R918">
        <v>2.5</v>
      </c>
      <c r="S918">
        <v>43094</v>
      </c>
      <c r="T918">
        <v>56.263919999999999</v>
      </c>
      <c r="U918">
        <v>9.5017849999999999</v>
      </c>
    </row>
    <row r="919" spans="1:21">
      <c r="A919" t="s">
        <v>64</v>
      </c>
      <c r="B919">
        <v>2014</v>
      </c>
      <c r="C919">
        <v>35394.480000000003</v>
      </c>
      <c r="D919">
        <v>35819.999689999997</v>
      </c>
      <c r="E919">
        <v>14.2</v>
      </c>
      <c r="F919">
        <v>0</v>
      </c>
      <c r="G919">
        <v>17.989999999999998</v>
      </c>
      <c r="H919">
        <v>55.886924999999998</v>
      </c>
      <c r="J919">
        <v>30.18</v>
      </c>
      <c r="K919">
        <v>137</v>
      </c>
      <c r="L919">
        <v>100</v>
      </c>
      <c r="M919">
        <v>100</v>
      </c>
      <c r="N919">
        <v>24.633704999999999</v>
      </c>
      <c r="P919">
        <v>1.6193938109999999</v>
      </c>
      <c r="Q919">
        <v>62548.984729999996</v>
      </c>
      <c r="R919">
        <v>2.3199999999999998</v>
      </c>
      <c r="S919">
        <v>43094</v>
      </c>
      <c r="T919">
        <v>56.263919999999999</v>
      </c>
      <c r="U919">
        <v>9.5017849999999999</v>
      </c>
    </row>
    <row r="920" spans="1:21">
      <c r="A920" t="s">
        <v>64</v>
      </c>
      <c r="B920">
        <v>2015</v>
      </c>
      <c r="C920">
        <v>34312.847999999998</v>
      </c>
      <c r="D920">
        <v>33700.000760000003</v>
      </c>
      <c r="E920">
        <v>10</v>
      </c>
      <c r="F920">
        <v>0</v>
      </c>
      <c r="G920">
        <v>18.93</v>
      </c>
      <c r="H920">
        <v>65.433809999999994</v>
      </c>
      <c r="J920">
        <v>32.89</v>
      </c>
      <c r="K920">
        <v>137</v>
      </c>
      <c r="L920">
        <v>100</v>
      </c>
      <c r="M920">
        <v>100</v>
      </c>
      <c r="N920">
        <v>26.659948</v>
      </c>
      <c r="P920">
        <v>2.3425911080000001</v>
      </c>
      <c r="Q920">
        <v>53254.856370000001</v>
      </c>
      <c r="R920">
        <v>2.27</v>
      </c>
      <c r="S920">
        <v>43094</v>
      </c>
      <c r="T920">
        <v>56.263919999999999</v>
      </c>
      <c r="U920">
        <v>9.5017849999999999</v>
      </c>
    </row>
    <row r="921" spans="1:21">
      <c r="A921" t="s">
        <v>64</v>
      </c>
      <c r="B921">
        <v>2016</v>
      </c>
      <c r="C921">
        <v>34666.89</v>
      </c>
      <c r="D921">
        <v>35319.999689999997</v>
      </c>
      <c r="E921">
        <v>12.16</v>
      </c>
      <c r="F921">
        <v>0</v>
      </c>
      <c r="G921">
        <v>18.39</v>
      </c>
      <c r="H921">
        <v>60.196399999999997</v>
      </c>
      <c r="J921">
        <v>32.17</v>
      </c>
      <c r="K921">
        <v>137</v>
      </c>
      <c r="L921">
        <v>100</v>
      </c>
      <c r="M921">
        <v>100</v>
      </c>
      <c r="N921">
        <v>25.713480000000001</v>
      </c>
      <c r="P921">
        <v>3.2459569849999999</v>
      </c>
      <c r="Q921">
        <v>54663.998370000001</v>
      </c>
      <c r="R921">
        <v>2.25</v>
      </c>
      <c r="S921">
        <v>43094</v>
      </c>
      <c r="T921">
        <v>56.263919999999999</v>
      </c>
      <c r="U921">
        <v>9.5017849999999999</v>
      </c>
    </row>
    <row r="922" spans="1:21">
      <c r="A922" t="s">
        <v>64</v>
      </c>
      <c r="B922">
        <v>2017</v>
      </c>
      <c r="C922">
        <v>34656.133000000002</v>
      </c>
      <c r="D922">
        <v>33130.001069999998</v>
      </c>
      <c r="E922">
        <v>9.23</v>
      </c>
      <c r="F922">
        <v>0</v>
      </c>
      <c r="G922">
        <v>21.8</v>
      </c>
      <c r="H922">
        <v>70.254589999999993</v>
      </c>
      <c r="J922">
        <v>35.200000000000003</v>
      </c>
      <c r="K922">
        <v>137</v>
      </c>
      <c r="L922">
        <v>100</v>
      </c>
      <c r="M922">
        <v>100</v>
      </c>
      <c r="N922">
        <v>30.301117000000001</v>
      </c>
      <c r="P922">
        <v>2.8217363409999998</v>
      </c>
      <c r="Q922">
        <v>57610.098180000001</v>
      </c>
      <c r="R922">
        <v>2.19</v>
      </c>
      <c r="S922">
        <v>43094</v>
      </c>
      <c r="T922">
        <v>56.263919999999999</v>
      </c>
      <c r="U922">
        <v>9.5017849999999999</v>
      </c>
    </row>
    <row r="923" spans="1:21">
      <c r="A923" t="s">
        <v>64</v>
      </c>
      <c r="B923">
        <v>2018</v>
      </c>
      <c r="C923">
        <v>34042.258000000002</v>
      </c>
      <c r="D923">
        <v>33130.001069999998</v>
      </c>
      <c r="E923">
        <v>9.61</v>
      </c>
      <c r="F923">
        <v>0</v>
      </c>
      <c r="G923">
        <v>20.75</v>
      </c>
      <c r="H923">
        <v>68.346503999999996</v>
      </c>
      <c r="J923">
        <v>34.67</v>
      </c>
      <c r="K923">
        <v>137</v>
      </c>
      <c r="L923">
        <v>100</v>
      </c>
      <c r="M923">
        <v>100</v>
      </c>
      <c r="N923">
        <v>29.154387</v>
      </c>
      <c r="P923">
        <v>1.989537315</v>
      </c>
      <c r="Q923">
        <v>61591.928870000003</v>
      </c>
      <c r="R923">
        <v>2.14</v>
      </c>
      <c r="S923">
        <v>43094</v>
      </c>
      <c r="T923">
        <v>56.263919999999999</v>
      </c>
      <c r="U923">
        <v>9.5017849999999999</v>
      </c>
    </row>
    <row r="924" spans="1:21">
      <c r="A924" t="s">
        <v>64</v>
      </c>
      <c r="B924">
        <v>2019</v>
      </c>
      <c r="C924">
        <v>33139.277000000002</v>
      </c>
      <c r="D924">
        <v>29700.000759999999</v>
      </c>
      <c r="E924">
        <v>6.44</v>
      </c>
      <c r="F924">
        <v>0</v>
      </c>
      <c r="G924">
        <v>23.07</v>
      </c>
      <c r="H924">
        <v>78.17689</v>
      </c>
      <c r="J924">
        <v>37.520000000000003</v>
      </c>
      <c r="K924">
        <v>137</v>
      </c>
      <c r="L924">
        <v>100</v>
      </c>
      <c r="M924">
        <v>100</v>
      </c>
      <c r="N924">
        <v>32.795659999999998</v>
      </c>
      <c r="P924">
        <v>2.1146642080000002</v>
      </c>
      <c r="Q924">
        <v>59775.735099999998</v>
      </c>
      <c r="R924">
        <v>2</v>
      </c>
      <c r="S924">
        <v>43094</v>
      </c>
      <c r="T924">
        <v>56.263919999999999</v>
      </c>
      <c r="U924">
        <v>9.5017849999999999</v>
      </c>
    </row>
    <row r="925" spans="1:21">
      <c r="A925" t="s">
        <v>64</v>
      </c>
      <c r="B925">
        <v>2020</v>
      </c>
      <c r="C925">
        <v>29380.421999999999</v>
      </c>
      <c r="E925">
        <v>5.28</v>
      </c>
      <c r="F925">
        <v>0</v>
      </c>
      <c r="G925">
        <v>23.45</v>
      </c>
      <c r="H925">
        <v>81.622</v>
      </c>
      <c r="K925">
        <v>137</v>
      </c>
      <c r="L925">
        <v>100</v>
      </c>
      <c r="M925">
        <v>100</v>
      </c>
      <c r="N925">
        <v>37.272452999999999</v>
      </c>
      <c r="P925">
        <v>-2.0621249590000001</v>
      </c>
      <c r="Q925">
        <v>61063.316429999999</v>
      </c>
      <c r="S925">
        <v>43094</v>
      </c>
      <c r="T925">
        <v>56.263919999999999</v>
      </c>
      <c r="U925">
        <v>9.5017849999999999</v>
      </c>
    </row>
    <row r="926" spans="1:21">
      <c r="A926" t="s">
        <v>65</v>
      </c>
      <c r="B926">
        <v>2000</v>
      </c>
      <c r="C926">
        <v>4762.17</v>
      </c>
      <c r="D926">
        <v>370</v>
      </c>
      <c r="E926">
        <v>0.18</v>
      </c>
      <c r="F926">
        <v>0</v>
      </c>
      <c r="G926">
        <v>0</v>
      </c>
      <c r="H926">
        <v>0</v>
      </c>
      <c r="I926">
        <v>0</v>
      </c>
      <c r="J926">
        <v>31.44</v>
      </c>
      <c r="K926">
        <v>43</v>
      </c>
      <c r="L926">
        <v>56.379950000000001</v>
      </c>
      <c r="M926">
        <v>4</v>
      </c>
      <c r="Q926">
        <v>768.18357030000004</v>
      </c>
      <c r="R926">
        <v>6.03</v>
      </c>
      <c r="S926">
        <v>23200</v>
      </c>
      <c r="T926">
        <v>11.825138000000001</v>
      </c>
      <c r="U926">
        <v>42.590274999999998</v>
      </c>
    </row>
    <row r="927" spans="1:21">
      <c r="A927" t="s">
        <v>65</v>
      </c>
      <c r="B927">
        <v>2001</v>
      </c>
      <c r="C927">
        <v>4599.1319999999996</v>
      </c>
      <c r="D927">
        <v>380</v>
      </c>
      <c r="E927">
        <v>0.18</v>
      </c>
      <c r="F927">
        <v>0</v>
      </c>
      <c r="G927">
        <v>0</v>
      </c>
      <c r="H927">
        <v>0</v>
      </c>
      <c r="I927">
        <v>0</v>
      </c>
      <c r="J927">
        <v>31.68</v>
      </c>
      <c r="K927">
        <v>43</v>
      </c>
      <c r="L927">
        <v>56.365143000000003</v>
      </c>
      <c r="M927">
        <v>4.0999999999999996</v>
      </c>
      <c r="Q927">
        <v>780.90396129999999</v>
      </c>
      <c r="R927">
        <v>5.95</v>
      </c>
      <c r="S927">
        <v>23200</v>
      </c>
      <c r="T927">
        <v>11.825138000000001</v>
      </c>
      <c r="U927">
        <v>42.590274999999998</v>
      </c>
    </row>
    <row r="928" spans="1:21">
      <c r="A928" t="s">
        <v>65</v>
      </c>
      <c r="B928">
        <v>2002</v>
      </c>
      <c r="C928">
        <v>4474.3869999999997</v>
      </c>
      <c r="D928">
        <v>400.00000599999998</v>
      </c>
      <c r="E928">
        <v>0.19</v>
      </c>
      <c r="F928">
        <v>0</v>
      </c>
      <c r="G928">
        <v>0</v>
      </c>
      <c r="H928">
        <v>0</v>
      </c>
      <c r="I928">
        <v>0</v>
      </c>
      <c r="J928">
        <v>32.44</v>
      </c>
      <c r="K928">
        <v>43</v>
      </c>
      <c r="L928">
        <v>49.7</v>
      </c>
      <c r="M928">
        <v>4.2</v>
      </c>
      <c r="Q928">
        <v>791.3841807</v>
      </c>
      <c r="R928">
        <v>6.1</v>
      </c>
      <c r="S928">
        <v>23200</v>
      </c>
      <c r="T928">
        <v>11.825138000000001</v>
      </c>
      <c r="U928">
        <v>42.590274999999998</v>
      </c>
    </row>
    <row r="929" spans="1:21">
      <c r="A929" t="s">
        <v>65</v>
      </c>
      <c r="B929">
        <v>2003</v>
      </c>
      <c r="C929">
        <v>4541.9603999999999</v>
      </c>
      <c r="D929">
        <v>409.99999639999999</v>
      </c>
      <c r="E929">
        <v>0.19</v>
      </c>
      <c r="F929">
        <v>0</v>
      </c>
      <c r="G929">
        <v>0</v>
      </c>
      <c r="H929">
        <v>0</v>
      </c>
      <c r="I929">
        <v>0</v>
      </c>
      <c r="J929">
        <v>32.880000000000003</v>
      </c>
      <c r="K929">
        <v>43</v>
      </c>
      <c r="L929">
        <v>56.315117000000001</v>
      </c>
      <c r="M929">
        <v>4.3</v>
      </c>
      <c r="Q929">
        <v>818.86878569999999</v>
      </c>
      <c r="R929">
        <v>6.13</v>
      </c>
      <c r="S929">
        <v>23200</v>
      </c>
      <c r="T929">
        <v>11.825138000000001</v>
      </c>
      <c r="U929">
        <v>42.590274999999998</v>
      </c>
    </row>
    <row r="930" spans="1:21">
      <c r="A930" t="s">
        <v>65</v>
      </c>
      <c r="B930">
        <v>2004</v>
      </c>
      <c r="C930">
        <v>4353.0415000000003</v>
      </c>
      <c r="D930">
        <v>400.00000599999998</v>
      </c>
      <c r="E930">
        <v>0.2</v>
      </c>
      <c r="F930">
        <v>0</v>
      </c>
      <c r="G930">
        <v>0</v>
      </c>
      <c r="H930">
        <v>0</v>
      </c>
      <c r="I930">
        <v>0</v>
      </c>
      <c r="J930">
        <v>33.619999999999997</v>
      </c>
      <c r="K930">
        <v>43</v>
      </c>
      <c r="L930">
        <v>56.284599999999998</v>
      </c>
      <c r="M930">
        <v>4.5</v>
      </c>
      <c r="Q930">
        <v>863.23608739999997</v>
      </c>
      <c r="R930">
        <v>5.83</v>
      </c>
      <c r="S930">
        <v>23200</v>
      </c>
      <c r="T930">
        <v>11.825138000000001</v>
      </c>
      <c r="U930">
        <v>42.590274999999998</v>
      </c>
    </row>
    <row r="931" spans="1:21">
      <c r="A931" t="s">
        <v>65</v>
      </c>
      <c r="B931">
        <v>2005</v>
      </c>
      <c r="C931">
        <v>4054.5565999999999</v>
      </c>
      <c r="D931">
        <v>430.00000720000003</v>
      </c>
      <c r="E931">
        <v>0.24</v>
      </c>
      <c r="F931">
        <v>0</v>
      </c>
      <c r="G931">
        <v>0</v>
      </c>
      <c r="H931">
        <v>0</v>
      </c>
      <c r="I931">
        <v>0</v>
      </c>
      <c r="J931">
        <v>33.090000000000003</v>
      </c>
      <c r="K931">
        <v>43</v>
      </c>
      <c r="L931">
        <v>56.253548000000002</v>
      </c>
      <c r="M931">
        <v>4.8</v>
      </c>
      <c r="O931">
        <v>5940000</v>
      </c>
      <c r="Q931">
        <v>904.73667950000004</v>
      </c>
      <c r="R931">
        <v>5.74</v>
      </c>
      <c r="S931">
        <v>23200</v>
      </c>
      <c r="T931">
        <v>11.825138000000001</v>
      </c>
      <c r="U931">
        <v>42.590274999999998</v>
      </c>
    </row>
    <row r="932" spans="1:21">
      <c r="A932" t="s">
        <v>65</v>
      </c>
      <c r="B932">
        <v>2006</v>
      </c>
      <c r="C932">
        <v>3716.9540000000002</v>
      </c>
      <c r="D932">
        <v>430.00000720000003</v>
      </c>
      <c r="E932">
        <v>0.26</v>
      </c>
      <c r="F932">
        <v>0</v>
      </c>
      <c r="G932">
        <v>0</v>
      </c>
      <c r="H932">
        <v>0</v>
      </c>
      <c r="I932">
        <v>0</v>
      </c>
      <c r="J932">
        <v>33.01</v>
      </c>
      <c r="K932">
        <v>43</v>
      </c>
      <c r="L932">
        <v>55.5</v>
      </c>
      <c r="M932">
        <v>5</v>
      </c>
      <c r="Q932">
        <v>967.67958380000005</v>
      </c>
      <c r="R932">
        <v>5.0999999999999996</v>
      </c>
      <c r="S932">
        <v>23200</v>
      </c>
      <c r="T932">
        <v>11.825138000000001</v>
      </c>
      <c r="U932">
        <v>42.590274999999998</v>
      </c>
    </row>
    <row r="933" spans="1:21">
      <c r="A933" t="s">
        <v>65</v>
      </c>
      <c r="B933">
        <v>2007</v>
      </c>
      <c r="C933">
        <v>3787.3546999999999</v>
      </c>
      <c r="D933">
        <v>469.99999880000001</v>
      </c>
      <c r="E933">
        <v>0.3</v>
      </c>
      <c r="F933">
        <v>0</v>
      </c>
      <c r="G933">
        <v>0</v>
      </c>
      <c r="H933">
        <v>0</v>
      </c>
      <c r="I933">
        <v>0</v>
      </c>
      <c r="J933">
        <v>32.520000000000003</v>
      </c>
      <c r="K933">
        <v>43</v>
      </c>
      <c r="L933">
        <v>56.199706999999997</v>
      </c>
      <c r="M933">
        <v>5.3</v>
      </c>
      <c r="Q933">
        <v>1052.7191170000001</v>
      </c>
      <c r="R933">
        <v>5.2</v>
      </c>
      <c r="S933">
        <v>23200</v>
      </c>
      <c r="T933">
        <v>11.825138000000001</v>
      </c>
      <c r="U933">
        <v>42.590274999999998</v>
      </c>
    </row>
    <row r="934" spans="1:21">
      <c r="A934" t="s">
        <v>65</v>
      </c>
      <c r="B934">
        <v>2008</v>
      </c>
      <c r="C934">
        <v>4150.3563999999997</v>
      </c>
      <c r="D934">
        <v>469.99999880000001</v>
      </c>
      <c r="E934">
        <v>0.32</v>
      </c>
      <c r="F934">
        <v>0</v>
      </c>
      <c r="G934">
        <v>0</v>
      </c>
      <c r="H934">
        <v>0</v>
      </c>
      <c r="I934">
        <v>0</v>
      </c>
      <c r="J934">
        <v>33.14</v>
      </c>
      <c r="K934">
        <v>43</v>
      </c>
      <c r="L934">
        <v>56.182277999999997</v>
      </c>
      <c r="M934">
        <v>5.7</v>
      </c>
      <c r="Q934">
        <v>1223.852363</v>
      </c>
      <c r="R934">
        <v>5.26</v>
      </c>
      <c r="S934">
        <v>23200</v>
      </c>
      <c r="T934">
        <v>11.825138000000001</v>
      </c>
      <c r="U934">
        <v>42.590274999999998</v>
      </c>
    </row>
    <row r="935" spans="1:21">
      <c r="A935" t="s">
        <v>65</v>
      </c>
      <c r="B935">
        <v>2009</v>
      </c>
      <c r="C935">
        <v>3531.1523000000002</v>
      </c>
      <c r="D935">
        <v>469.99999880000001</v>
      </c>
      <c r="E935">
        <v>0.33</v>
      </c>
      <c r="F935">
        <v>0</v>
      </c>
      <c r="G935">
        <v>0</v>
      </c>
      <c r="H935">
        <v>0</v>
      </c>
      <c r="I935">
        <v>0</v>
      </c>
      <c r="J935">
        <v>34</v>
      </c>
      <c r="K935">
        <v>43</v>
      </c>
      <c r="L935">
        <v>56.174790000000002</v>
      </c>
      <c r="M935">
        <v>6.1</v>
      </c>
      <c r="O935">
        <v>5580000</v>
      </c>
      <c r="Q935">
        <v>1267.3173939999999</v>
      </c>
      <c r="R935">
        <v>4.5199999999999996</v>
      </c>
      <c r="S935">
        <v>23200</v>
      </c>
      <c r="T935">
        <v>11.825138000000001</v>
      </c>
      <c r="U935">
        <v>42.590274999999998</v>
      </c>
    </row>
    <row r="936" spans="1:21">
      <c r="A936" t="s">
        <v>65</v>
      </c>
      <c r="B936">
        <v>2010</v>
      </c>
      <c r="C936">
        <v>3942.1558</v>
      </c>
      <c r="D936">
        <v>519.99998089999997</v>
      </c>
      <c r="E936">
        <v>0.36</v>
      </c>
      <c r="F936">
        <v>0</v>
      </c>
      <c r="G936">
        <v>0</v>
      </c>
      <c r="H936">
        <v>0</v>
      </c>
      <c r="I936">
        <v>0</v>
      </c>
      <c r="J936">
        <v>32.54</v>
      </c>
      <c r="K936">
        <v>43</v>
      </c>
      <c r="L936">
        <v>56.179949999999998</v>
      </c>
      <c r="M936">
        <v>6.5</v>
      </c>
      <c r="O936">
        <v>12430000</v>
      </c>
      <c r="Q936">
        <v>1343.2751249999999</v>
      </c>
      <c r="R936">
        <v>4.3600000000000003</v>
      </c>
      <c r="S936">
        <v>23200</v>
      </c>
      <c r="T936">
        <v>11.825138000000001</v>
      </c>
      <c r="U936">
        <v>42.590274999999998</v>
      </c>
    </row>
    <row r="937" spans="1:21">
      <c r="A937" t="s">
        <v>65</v>
      </c>
      <c r="B937">
        <v>2011</v>
      </c>
      <c r="C937">
        <v>2921.8823000000002</v>
      </c>
      <c r="D937">
        <v>479.99998929999998</v>
      </c>
      <c r="E937">
        <v>0.36</v>
      </c>
      <c r="F937">
        <v>0</v>
      </c>
      <c r="G937">
        <v>0</v>
      </c>
      <c r="H937">
        <v>0</v>
      </c>
      <c r="I937">
        <v>0</v>
      </c>
      <c r="J937">
        <v>33.93</v>
      </c>
      <c r="K937">
        <v>43</v>
      </c>
      <c r="L937">
        <v>56.200470000000003</v>
      </c>
      <c r="M937">
        <v>6.8</v>
      </c>
      <c r="O937">
        <v>10000</v>
      </c>
      <c r="Q937">
        <v>1451.5480809999999</v>
      </c>
      <c r="R937">
        <v>3.63</v>
      </c>
      <c r="S937">
        <v>23200</v>
      </c>
      <c r="T937">
        <v>11.825138000000001</v>
      </c>
      <c r="U937">
        <v>42.590274999999998</v>
      </c>
    </row>
    <row r="938" spans="1:21">
      <c r="A938" t="s">
        <v>65</v>
      </c>
      <c r="B938">
        <v>2012</v>
      </c>
      <c r="C938">
        <v>3784.8132000000001</v>
      </c>
      <c r="D938">
        <v>500</v>
      </c>
      <c r="E938">
        <v>0.37</v>
      </c>
      <c r="F938">
        <v>0</v>
      </c>
      <c r="G938">
        <v>0</v>
      </c>
      <c r="H938">
        <v>0</v>
      </c>
      <c r="I938">
        <v>0.35</v>
      </c>
      <c r="J938">
        <v>32.479999999999997</v>
      </c>
      <c r="K938">
        <v>43</v>
      </c>
      <c r="L938">
        <v>54.6</v>
      </c>
      <c r="M938">
        <v>7.2</v>
      </c>
      <c r="O938">
        <v>9480000</v>
      </c>
      <c r="Q938">
        <v>1559.2406510000001</v>
      </c>
      <c r="R938">
        <v>3.3</v>
      </c>
      <c r="S938">
        <v>23200</v>
      </c>
      <c r="T938">
        <v>11.825138000000001</v>
      </c>
      <c r="U938">
        <v>42.590274999999998</v>
      </c>
    </row>
    <row r="939" spans="1:21">
      <c r="A939" t="s">
        <v>65</v>
      </c>
      <c r="B939">
        <v>2013</v>
      </c>
      <c r="C939">
        <v>3836.7073</v>
      </c>
      <c r="D939">
        <v>560.00000239999997</v>
      </c>
      <c r="E939">
        <v>0.41</v>
      </c>
      <c r="F939">
        <v>0</v>
      </c>
      <c r="G939">
        <v>0</v>
      </c>
      <c r="H939">
        <v>0</v>
      </c>
      <c r="I939">
        <v>0.34</v>
      </c>
      <c r="J939">
        <v>34.04</v>
      </c>
      <c r="K939">
        <v>43</v>
      </c>
      <c r="L939">
        <v>56.297474000000001</v>
      </c>
      <c r="M939">
        <v>7.8</v>
      </c>
      <c r="O939">
        <v>8230000</v>
      </c>
      <c r="Q939">
        <v>2312.7209480000001</v>
      </c>
      <c r="R939">
        <v>2.98</v>
      </c>
      <c r="S939">
        <v>23200</v>
      </c>
      <c r="T939">
        <v>11.825138000000001</v>
      </c>
      <c r="U939">
        <v>42.590274999999998</v>
      </c>
    </row>
    <row r="940" spans="1:21">
      <c r="A940" t="s">
        <v>65</v>
      </c>
      <c r="B940">
        <v>2014</v>
      </c>
      <c r="C940">
        <v>4183.9719999999998</v>
      </c>
      <c r="D940">
        <v>400.00000599999998</v>
      </c>
      <c r="E940">
        <v>0.09</v>
      </c>
      <c r="F940">
        <v>0</v>
      </c>
      <c r="G940">
        <v>0</v>
      </c>
      <c r="H940">
        <v>0</v>
      </c>
      <c r="I940">
        <v>0.33</v>
      </c>
      <c r="J940">
        <v>30.82</v>
      </c>
      <c r="K940">
        <v>43</v>
      </c>
      <c r="L940">
        <v>56.618839999999999</v>
      </c>
      <c r="M940">
        <v>8.1</v>
      </c>
      <c r="O940">
        <v>3140000</v>
      </c>
      <c r="P940">
        <v>7.0615432419999999</v>
      </c>
      <c r="Q940">
        <v>2464.2949050000002</v>
      </c>
      <c r="R940">
        <v>2.4900000000000002</v>
      </c>
      <c r="S940">
        <v>23200</v>
      </c>
      <c r="T940">
        <v>11.825138000000001</v>
      </c>
      <c r="U940">
        <v>42.590274999999998</v>
      </c>
    </row>
    <row r="941" spans="1:21">
      <c r="A941" t="s">
        <v>65</v>
      </c>
      <c r="B941">
        <v>2015</v>
      </c>
      <c r="C941">
        <v>3626.9648000000002</v>
      </c>
      <c r="D941">
        <v>460.00000829999999</v>
      </c>
      <c r="E941">
        <v>0.17</v>
      </c>
      <c r="F941">
        <v>0</v>
      </c>
      <c r="G941">
        <v>0</v>
      </c>
      <c r="H941">
        <v>0</v>
      </c>
      <c r="I941">
        <v>0.33</v>
      </c>
      <c r="J941">
        <v>28.18</v>
      </c>
      <c r="K941">
        <v>43</v>
      </c>
      <c r="L941">
        <v>57.578564</v>
      </c>
      <c r="M941">
        <v>8.4</v>
      </c>
      <c r="O941">
        <v>940000</v>
      </c>
      <c r="P941">
        <v>7.6960855759999998</v>
      </c>
      <c r="Q941">
        <v>2658.9492449999998</v>
      </c>
      <c r="R941">
        <v>2.42</v>
      </c>
      <c r="S941">
        <v>23200</v>
      </c>
      <c r="T941">
        <v>11.825138000000001</v>
      </c>
      <c r="U941">
        <v>42.590274999999998</v>
      </c>
    </row>
    <row r="942" spans="1:21">
      <c r="A942" t="s">
        <v>65</v>
      </c>
      <c r="B942">
        <v>2016</v>
      </c>
      <c r="C942">
        <v>3409.7094999999999</v>
      </c>
      <c r="D942">
        <v>419.99998690000001</v>
      </c>
      <c r="E942">
        <v>0.08</v>
      </c>
      <c r="F942">
        <v>0</v>
      </c>
      <c r="G942">
        <v>0</v>
      </c>
      <c r="H942">
        <v>0</v>
      </c>
      <c r="I942">
        <v>0.39</v>
      </c>
      <c r="J942">
        <v>24.91</v>
      </c>
      <c r="K942">
        <v>43</v>
      </c>
      <c r="L942">
        <v>58.675446000000001</v>
      </c>
      <c r="M942">
        <v>8.75</v>
      </c>
      <c r="O942">
        <v>1290000</v>
      </c>
      <c r="P942">
        <v>6.6526503720000001</v>
      </c>
      <c r="Q942">
        <v>2802.1662040000001</v>
      </c>
      <c r="R942">
        <v>2.23</v>
      </c>
      <c r="S942">
        <v>23200</v>
      </c>
      <c r="T942">
        <v>11.825138000000001</v>
      </c>
      <c r="U942">
        <v>42.590274999999998</v>
      </c>
    </row>
    <row r="943" spans="1:21">
      <c r="A943" t="s">
        <v>65</v>
      </c>
      <c r="B943">
        <v>2017</v>
      </c>
      <c r="C943">
        <v>3036.1372000000001</v>
      </c>
      <c r="D943">
        <v>419.99998690000001</v>
      </c>
      <c r="E943">
        <v>0.06</v>
      </c>
      <c r="F943">
        <v>0</v>
      </c>
      <c r="G943">
        <v>0</v>
      </c>
      <c r="H943">
        <v>0</v>
      </c>
      <c r="I943">
        <v>0.38</v>
      </c>
      <c r="J943">
        <v>24.13</v>
      </c>
      <c r="K943">
        <v>43</v>
      </c>
      <c r="L943">
        <v>60.2</v>
      </c>
      <c r="M943">
        <v>9</v>
      </c>
      <c r="O943">
        <v>1730000</v>
      </c>
      <c r="P943">
        <v>5.4030998429999997</v>
      </c>
      <c r="Q943">
        <v>2914.358197</v>
      </c>
      <c r="R943">
        <v>2.17</v>
      </c>
      <c r="S943">
        <v>23200</v>
      </c>
      <c r="T943">
        <v>11.825138000000001</v>
      </c>
      <c r="U943">
        <v>42.590274999999998</v>
      </c>
    </row>
    <row r="944" spans="1:21">
      <c r="A944" t="s">
        <v>65</v>
      </c>
      <c r="B944">
        <v>2018</v>
      </c>
      <c r="C944">
        <v>3133.4805000000001</v>
      </c>
      <c r="D944">
        <v>400.00000599999998</v>
      </c>
      <c r="E944">
        <v>0.05</v>
      </c>
      <c r="F944">
        <v>0</v>
      </c>
      <c r="G944">
        <v>0</v>
      </c>
      <c r="H944">
        <v>0</v>
      </c>
      <c r="I944">
        <v>0.38</v>
      </c>
      <c r="J944">
        <v>27.84</v>
      </c>
      <c r="K944">
        <v>43</v>
      </c>
      <c r="L944">
        <v>60.564185999999999</v>
      </c>
      <c r="M944">
        <v>9.3000000000000007</v>
      </c>
      <c r="O944">
        <v>30470000</v>
      </c>
      <c r="P944">
        <v>8.4076626660000002</v>
      </c>
      <c r="Q944">
        <v>3141.861711</v>
      </c>
      <c r="R944">
        <v>2.02</v>
      </c>
      <c r="S944">
        <v>23200</v>
      </c>
      <c r="T944">
        <v>11.825138000000001</v>
      </c>
      <c r="U944">
        <v>42.590274999999998</v>
      </c>
    </row>
    <row r="945" spans="1:21">
      <c r="A945" t="s">
        <v>65</v>
      </c>
      <c r="B945">
        <v>2019</v>
      </c>
      <c r="C945">
        <v>2848.7865999999999</v>
      </c>
      <c r="D945">
        <v>419.99998690000001</v>
      </c>
      <c r="E945">
        <v>0.06</v>
      </c>
      <c r="F945">
        <v>0</v>
      </c>
      <c r="G945">
        <v>0</v>
      </c>
      <c r="H945">
        <v>0</v>
      </c>
      <c r="I945">
        <v>0.37</v>
      </c>
      <c r="J945">
        <v>27.92</v>
      </c>
      <c r="K945">
        <v>43</v>
      </c>
      <c r="L945">
        <v>61.211930000000002</v>
      </c>
      <c r="M945">
        <v>9.5</v>
      </c>
      <c r="O945">
        <v>26860000</v>
      </c>
      <c r="P945">
        <v>7.7704972569999997</v>
      </c>
      <c r="Q945">
        <v>3414.9161779999999</v>
      </c>
      <c r="R945">
        <v>1.89</v>
      </c>
      <c r="S945">
        <v>23200</v>
      </c>
      <c r="T945">
        <v>11.825138000000001</v>
      </c>
      <c r="U945">
        <v>42.590274999999998</v>
      </c>
    </row>
    <row r="946" spans="1:21">
      <c r="A946" t="s">
        <v>65</v>
      </c>
      <c r="B946">
        <v>2020</v>
      </c>
      <c r="C946">
        <v>2701.7908000000002</v>
      </c>
      <c r="E946">
        <v>0.05</v>
      </c>
      <c r="F946">
        <v>0</v>
      </c>
      <c r="G946">
        <v>0</v>
      </c>
      <c r="H946">
        <v>0</v>
      </c>
      <c r="I946">
        <v>0.37</v>
      </c>
      <c r="K946">
        <v>43</v>
      </c>
      <c r="L946">
        <v>61.767082000000002</v>
      </c>
      <c r="M946">
        <v>9.65</v>
      </c>
      <c r="P946">
        <v>0.5</v>
      </c>
      <c r="Q946">
        <v>3425.4841759999999</v>
      </c>
      <c r="S946">
        <v>23200</v>
      </c>
      <c r="T946">
        <v>11.825138000000001</v>
      </c>
      <c r="U946">
        <v>42.590274999999998</v>
      </c>
    </row>
    <row r="947" spans="1:21">
      <c r="A947" t="s">
        <v>66</v>
      </c>
      <c r="B947">
        <v>2000</v>
      </c>
      <c r="C947">
        <v>7741.9916999999996</v>
      </c>
      <c r="D947">
        <v>130</v>
      </c>
      <c r="E947">
        <v>0.04</v>
      </c>
      <c r="F947">
        <v>0</v>
      </c>
      <c r="G947">
        <v>0.03</v>
      </c>
      <c r="H947">
        <v>42.857143000000001</v>
      </c>
      <c r="I947">
        <v>110.27</v>
      </c>
      <c r="J947">
        <v>11.06</v>
      </c>
      <c r="K947">
        <v>96</v>
      </c>
      <c r="L947">
        <v>80.951809999999995</v>
      </c>
      <c r="M947">
        <v>81</v>
      </c>
      <c r="P947">
        <v>2.3402193210000002</v>
      </c>
      <c r="Q947">
        <v>4787.8014409999996</v>
      </c>
      <c r="R947">
        <v>2.46</v>
      </c>
      <c r="S947">
        <v>751</v>
      </c>
      <c r="T947">
        <v>15.414999</v>
      </c>
      <c r="U947">
        <v>-61.370975999999999</v>
      </c>
    </row>
    <row r="948" spans="1:21">
      <c r="A948" t="s">
        <v>66</v>
      </c>
      <c r="B948">
        <v>2001</v>
      </c>
      <c r="C948">
        <v>8312.1579999999994</v>
      </c>
      <c r="D948">
        <v>150</v>
      </c>
      <c r="E948">
        <v>0.05</v>
      </c>
      <c r="F948">
        <v>0</v>
      </c>
      <c r="G948">
        <v>0.03</v>
      </c>
      <c r="H948">
        <v>37.5</v>
      </c>
      <c r="I948">
        <v>110.23</v>
      </c>
      <c r="J948">
        <v>9.41</v>
      </c>
      <c r="K948">
        <v>96</v>
      </c>
      <c r="L948">
        <v>82.279210000000006</v>
      </c>
      <c r="M948">
        <v>82</v>
      </c>
      <c r="P948">
        <v>-6.3844730000000002E-2</v>
      </c>
      <c r="Q948">
        <v>4883.0030239999996</v>
      </c>
      <c r="R948">
        <v>2.63</v>
      </c>
      <c r="S948">
        <v>751</v>
      </c>
      <c r="T948">
        <v>15.414999</v>
      </c>
      <c r="U948">
        <v>-61.370975999999999</v>
      </c>
    </row>
    <row r="949" spans="1:21">
      <c r="A949" t="s">
        <v>66</v>
      </c>
      <c r="B949">
        <v>2002</v>
      </c>
      <c r="C949">
        <v>7820.6606000000002</v>
      </c>
      <c r="D949">
        <v>119.9999973</v>
      </c>
      <c r="E949">
        <v>0.04</v>
      </c>
      <c r="F949">
        <v>0</v>
      </c>
      <c r="G949">
        <v>0.03</v>
      </c>
      <c r="H949">
        <v>42.857143000000001</v>
      </c>
      <c r="I949">
        <v>110.11</v>
      </c>
      <c r="J949">
        <v>13.6</v>
      </c>
      <c r="K949">
        <v>96</v>
      </c>
      <c r="L949">
        <v>87.7</v>
      </c>
      <c r="M949">
        <v>82.8</v>
      </c>
      <c r="P949">
        <v>-2.8279988930000002</v>
      </c>
      <c r="Q949">
        <v>4770.8518940000004</v>
      </c>
      <c r="R949">
        <v>2.54</v>
      </c>
      <c r="S949">
        <v>751</v>
      </c>
      <c r="T949">
        <v>15.414999</v>
      </c>
      <c r="U949">
        <v>-61.370975999999999</v>
      </c>
    </row>
    <row r="950" spans="1:21">
      <c r="A950" t="s">
        <v>66</v>
      </c>
      <c r="B950">
        <v>2003</v>
      </c>
      <c r="C950">
        <v>8702.4230000000007</v>
      </c>
      <c r="D950">
        <v>140.00000059999999</v>
      </c>
      <c r="E950">
        <v>0.05</v>
      </c>
      <c r="F950">
        <v>0</v>
      </c>
      <c r="G950">
        <v>0.03</v>
      </c>
      <c r="H950">
        <v>37.5</v>
      </c>
      <c r="I950">
        <v>109.7</v>
      </c>
      <c r="J950">
        <v>10.56</v>
      </c>
      <c r="K950">
        <v>96</v>
      </c>
      <c r="L950">
        <v>84.913619999999995</v>
      </c>
      <c r="M950">
        <v>83.6</v>
      </c>
      <c r="P950">
        <v>6.3531371219999997</v>
      </c>
      <c r="Q950">
        <v>4897.3083669999996</v>
      </c>
      <c r="R950">
        <v>2.67</v>
      </c>
      <c r="S950">
        <v>751</v>
      </c>
      <c r="T950">
        <v>15.414999</v>
      </c>
      <c r="U950">
        <v>-61.370975999999999</v>
      </c>
    </row>
    <row r="951" spans="1:21">
      <c r="A951" t="s">
        <v>66</v>
      </c>
      <c r="B951">
        <v>2004</v>
      </c>
      <c r="C951">
        <v>10289.641</v>
      </c>
      <c r="D951">
        <v>159.99999639999999</v>
      </c>
      <c r="E951">
        <v>0.04</v>
      </c>
      <c r="F951">
        <v>0</v>
      </c>
      <c r="G951">
        <v>0.03</v>
      </c>
      <c r="H951">
        <v>42.857143000000001</v>
      </c>
      <c r="I951">
        <v>109.39</v>
      </c>
      <c r="J951">
        <v>11.56</v>
      </c>
      <c r="K951">
        <v>96</v>
      </c>
      <c r="L951">
        <v>86.225309999999993</v>
      </c>
      <c r="M951">
        <v>84</v>
      </c>
      <c r="P951">
        <v>3.0506902949999999</v>
      </c>
      <c r="Q951">
        <v>5216.8724339999999</v>
      </c>
      <c r="R951">
        <v>3.06</v>
      </c>
      <c r="S951">
        <v>751</v>
      </c>
      <c r="T951">
        <v>15.414999</v>
      </c>
      <c r="U951">
        <v>-61.370975999999999</v>
      </c>
    </row>
    <row r="952" spans="1:21">
      <c r="A952" t="s">
        <v>66</v>
      </c>
      <c r="B952">
        <v>2005</v>
      </c>
      <c r="C952">
        <v>9846.5869999999995</v>
      </c>
      <c r="D952">
        <v>159.99999639999999</v>
      </c>
      <c r="E952">
        <v>0.05</v>
      </c>
      <c r="F952">
        <v>0</v>
      </c>
      <c r="G952">
        <v>0.03</v>
      </c>
      <c r="H952">
        <v>37.5</v>
      </c>
      <c r="I952">
        <v>109.1</v>
      </c>
      <c r="J952">
        <v>10.8</v>
      </c>
      <c r="K952">
        <v>96</v>
      </c>
      <c r="L952">
        <v>87.536475999999993</v>
      </c>
      <c r="M952">
        <v>85</v>
      </c>
      <c r="P952">
        <v>0.655862269</v>
      </c>
      <c r="Q952">
        <v>5160.8891409999997</v>
      </c>
      <c r="R952">
        <v>3.02</v>
      </c>
      <c r="S952">
        <v>751</v>
      </c>
      <c r="T952">
        <v>15.414999</v>
      </c>
      <c r="U952">
        <v>-61.370975999999999</v>
      </c>
    </row>
    <row r="953" spans="1:21">
      <c r="A953" t="s">
        <v>66</v>
      </c>
      <c r="B953">
        <v>2006</v>
      </c>
      <c r="C953">
        <v>9808.0205000000005</v>
      </c>
      <c r="D953">
        <v>170.00000180000001</v>
      </c>
      <c r="E953">
        <v>0.05</v>
      </c>
      <c r="F953">
        <v>0</v>
      </c>
      <c r="G953">
        <v>0.03</v>
      </c>
      <c r="H953">
        <v>37.5</v>
      </c>
      <c r="I953">
        <v>109.17</v>
      </c>
      <c r="J953">
        <v>9.8800000000000008</v>
      </c>
      <c r="K953">
        <v>96</v>
      </c>
      <c r="L953">
        <v>88.849509999999995</v>
      </c>
      <c r="M953">
        <v>85.5</v>
      </c>
      <c r="P953">
        <v>4.6594554859999997</v>
      </c>
      <c r="Q953">
        <v>5518.4232000000002</v>
      </c>
      <c r="R953">
        <v>2.88</v>
      </c>
      <c r="S953">
        <v>751</v>
      </c>
      <c r="T953">
        <v>15.414999</v>
      </c>
      <c r="U953">
        <v>-61.370975999999999</v>
      </c>
    </row>
    <row r="954" spans="1:21">
      <c r="A954" t="s">
        <v>66</v>
      </c>
      <c r="B954">
        <v>2007</v>
      </c>
      <c r="C954">
        <v>11844.854499999999</v>
      </c>
      <c r="D954">
        <v>180.0000072</v>
      </c>
      <c r="E954">
        <v>0.06</v>
      </c>
      <c r="F954">
        <v>0</v>
      </c>
      <c r="G954">
        <v>0.02</v>
      </c>
      <c r="H954">
        <v>25</v>
      </c>
      <c r="I954">
        <v>109.89</v>
      </c>
      <c r="J954">
        <v>8.68</v>
      </c>
      <c r="K954">
        <v>96</v>
      </c>
      <c r="L954">
        <v>90.167060000000006</v>
      </c>
      <c r="M954">
        <v>86.3</v>
      </c>
      <c r="P954">
        <v>6.3529724390000002</v>
      </c>
      <c r="Q954">
        <v>5951.863413</v>
      </c>
      <c r="R954">
        <v>3.39</v>
      </c>
      <c r="S954">
        <v>751</v>
      </c>
      <c r="T954">
        <v>15.414999</v>
      </c>
      <c r="U954">
        <v>-61.370975999999999</v>
      </c>
    </row>
    <row r="955" spans="1:21">
      <c r="A955" t="s">
        <v>66</v>
      </c>
      <c r="B955">
        <v>2008</v>
      </c>
      <c r="C955">
        <v>10663.4375</v>
      </c>
      <c r="D955">
        <v>180.0000072</v>
      </c>
      <c r="E955">
        <v>0.06</v>
      </c>
      <c r="F955">
        <v>0</v>
      </c>
      <c r="G955">
        <v>0.02</v>
      </c>
      <c r="H955">
        <v>25</v>
      </c>
      <c r="I955">
        <v>70.17</v>
      </c>
      <c r="J955">
        <v>8.4499999999999993</v>
      </c>
      <c r="K955">
        <v>96</v>
      </c>
      <c r="L955">
        <v>90.9</v>
      </c>
      <c r="M955">
        <v>87</v>
      </c>
      <c r="P955">
        <v>7.1210579860000003</v>
      </c>
      <c r="Q955">
        <v>6468.944767</v>
      </c>
      <c r="R955">
        <v>2.82</v>
      </c>
      <c r="S955">
        <v>751</v>
      </c>
      <c r="T955">
        <v>15.414999</v>
      </c>
      <c r="U955">
        <v>-61.370975999999999</v>
      </c>
    </row>
    <row r="956" spans="1:21">
      <c r="A956" t="s">
        <v>66</v>
      </c>
      <c r="B956">
        <v>2009</v>
      </c>
      <c r="C956">
        <v>10826.458000000001</v>
      </c>
      <c r="D956">
        <v>500</v>
      </c>
      <c r="E956">
        <v>0.06</v>
      </c>
      <c r="F956">
        <v>0</v>
      </c>
      <c r="G956">
        <v>0.02</v>
      </c>
      <c r="H956">
        <v>25</v>
      </c>
      <c r="I956">
        <v>70.290000000000006</v>
      </c>
      <c r="J956">
        <v>9.23</v>
      </c>
      <c r="K956">
        <v>96</v>
      </c>
      <c r="L956">
        <v>92.826570000000004</v>
      </c>
      <c r="M956">
        <v>87.4</v>
      </c>
      <c r="P956">
        <v>-1.169590643</v>
      </c>
      <c r="Q956">
        <v>6903.1458060000004</v>
      </c>
      <c r="R956">
        <v>2.83</v>
      </c>
      <c r="S956">
        <v>751</v>
      </c>
      <c r="T956">
        <v>15.414999</v>
      </c>
      <c r="U956">
        <v>-61.370975999999999</v>
      </c>
    </row>
    <row r="957" spans="1:21">
      <c r="A957" t="s">
        <v>66</v>
      </c>
      <c r="B957">
        <v>2010</v>
      </c>
      <c r="C957">
        <v>11327.723</v>
      </c>
      <c r="D957">
        <v>180.0000072</v>
      </c>
      <c r="E957">
        <v>7.0000000000000007E-2</v>
      </c>
      <c r="F957">
        <v>0</v>
      </c>
      <c r="G957">
        <v>0.02</v>
      </c>
      <c r="H957">
        <v>22.222221000000001</v>
      </c>
      <c r="I957">
        <v>99.04</v>
      </c>
      <c r="J957">
        <v>10.28</v>
      </c>
      <c r="K957">
        <v>96</v>
      </c>
      <c r="L957">
        <v>94.173940000000002</v>
      </c>
      <c r="M957">
        <v>87.8</v>
      </c>
      <c r="P957">
        <v>0.67263439999999997</v>
      </c>
      <c r="Q957">
        <v>6967.364955</v>
      </c>
      <c r="R957">
        <v>2.99</v>
      </c>
      <c r="S957">
        <v>751</v>
      </c>
      <c r="T957">
        <v>15.414999</v>
      </c>
      <c r="U957">
        <v>-61.370975999999999</v>
      </c>
    </row>
    <row r="958" spans="1:21">
      <c r="A958" t="s">
        <v>66</v>
      </c>
      <c r="B958">
        <v>2011</v>
      </c>
      <c r="C958">
        <v>11478.59</v>
      </c>
      <c r="D958">
        <v>180.0000072</v>
      </c>
      <c r="E958">
        <v>0.06</v>
      </c>
      <c r="F958">
        <v>0</v>
      </c>
      <c r="G958">
        <v>0.04</v>
      </c>
      <c r="H958">
        <v>40</v>
      </c>
      <c r="I958">
        <v>99</v>
      </c>
      <c r="J958">
        <v>13.8</v>
      </c>
      <c r="K958">
        <v>96</v>
      </c>
      <c r="L958">
        <v>95.536674000000005</v>
      </c>
      <c r="M958">
        <v>88.3</v>
      </c>
      <c r="P958">
        <v>-0.223550688</v>
      </c>
      <c r="Q958">
        <v>7065.4603719999996</v>
      </c>
      <c r="R958">
        <v>2.77</v>
      </c>
      <c r="S958">
        <v>751</v>
      </c>
      <c r="T958">
        <v>15.414999</v>
      </c>
      <c r="U958">
        <v>-61.370975999999999</v>
      </c>
    </row>
    <row r="959" spans="1:21">
      <c r="A959" t="s">
        <v>66</v>
      </c>
      <c r="B959">
        <v>2012</v>
      </c>
      <c r="C959">
        <v>11020.953</v>
      </c>
      <c r="D959">
        <v>250</v>
      </c>
      <c r="E959">
        <v>7.0000000000000007E-2</v>
      </c>
      <c r="F959">
        <v>0</v>
      </c>
      <c r="G959">
        <v>0.03</v>
      </c>
      <c r="H959">
        <v>30</v>
      </c>
      <c r="I959">
        <v>99.08</v>
      </c>
      <c r="J959">
        <v>11.33</v>
      </c>
      <c r="K959">
        <v>96</v>
      </c>
      <c r="L959">
        <v>96.917479999999998</v>
      </c>
      <c r="M959">
        <v>88.4</v>
      </c>
      <c r="P959">
        <v>-1.0590002430000001</v>
      </c>
      <c r="Q959">
        <v>6849.4559330000002</v>
      </c>
      <c r="R959">
        <v>2.99</v>
      </c>
      <c r="S959">
        <v>751</v>
      </c>
      <c r="T959">
        <v>15.414999</v>
      </c>
      <c r="U959">
        <v>-61.370975999999999</v>
      </c>
    </row>
    <row r="960" spans="1:21">
      <c r="A960" t="s">
        <v>66</v>
      </c>
      <c r="B960">
        <v>2013</v>
      </c>
      <c r="C960">
        <v>11020.252</v>
      </c>
      <c r="D960">
        <v>170.00000180000001</v>
      </c>
      <c r="E960">
        <v>0.06</v>
      </c>
      <c r="F960">
        <v>0</v>
      </c>
      <c r="G960">
        <v>0.04</v>
      </c>
      <c r="H960">
        <v>40</v>
      </c>
      <c r="I960">
        <v>98.99</v>
      </c>
      <c r="J960">
        <v>11.57</v>
      </c>
      <c r="K960">
        <v>96</v>
      </c>
      <c r="L960">
        <v>98.318110000000004</v>
      </c>
      <c r="M960">
        <v>88.7</v>
      </c>
      <c r="O960">
        <v>7640000</v>
      </c>
      <c r="P960">
        <v>-0.99994063099999997</v>
      </c>
      <c r="Q960">
        <v>7016.3800709999996</v>
      </c>
      <c r="R960">
        <v>3.07</v>
      </c>
      <c r="S960">
        <v>751</v>
      </c>
      <c r="T960">
        <v>15.414999</v>
      </c>
      <c r="U960">
        <v>-61.370975999999999</v>
      </c>
    </row>
    <row r="961" spans="1:21">
      <c r="A961" t="s">
        <v>66</v>
      </c>
      <c r="B961">
        <v>2014</v>
      </c>
      <c r="C961">
        <v>11281.383</v>
      </c>
      <c r="D961">
        <v>180.0000072</v>
      </c>
      <c r="E961">
        <v>7.0000000000000007E-2</v>
      </c>
      <c r="F961">
        <v>0</v>
      </c>
      <c r="G961">
        <v>0.03</v>
      </c>
      <c r="H961">
        <v>30</v>
      </c>
      <c r="I961">
        <v>98.89</v>
      </c>
      <c r="J961">
        <v>9.9700000000000006</v>
      </c>
      <c r="K961">
        <v>96</v>
      </c>
      <c r="L961">
        <v>99.736549999999994</v>
      </c>
      <c r="M961">
        <v>88.9</v>
      </c>
      <c r="O961">
        <v>1700000</v>
      </c>
      <c r="P961">
        <v>4.4479473650000001</v>
      </c>
      <c r="Q961">
        <v>7317.4861430000001</v>
      </c>
      <c r="R961">
        <v>3.05</v>
      </c>
      <c r="S961">
        <v>751</v>
      </c>
      <c r="T961">
        <v>15.414999</v>
      </c>
      <c r="U961">
        <v>-61.370975999999999</v>
      </c>
    </row>
    <row r="962" spans="1:21">
      <c r="A962" t="s">
        <v>66</v>
      </c>
      <c r="B962">
        <v>2015</v>
      </c>
      <c r="C962">
        <v>11610.773999999999</v>
      </c>
      <c r="D962">
        <v>180.0000072</v>
      </c>
      <c r="E962">
        <v>0.08</v>
      </c>
      <c r="F962">
        <v>0</v>
      </c>
      <c r="G962">
        <v>0.02</v>
      </c>
      <c r="H962">
        <v>20</v>
      </c>
      <c r="I962">
        <v>98.77</v>
      </c>
      <c r="J962">
        <v>8.8000000000000007</v>
      </c>
      <c r="K962">
        <v>96</v>
      </c>
      <c r="L962">
        <v>99.82902</v>
      </c>
      <c r="M962">
        <v>89.3</v>
      </c>
      <c r="P962">
        <v>-2.6911089239999999</v>
      </c>
      <c r="Q962">
        <v>7597.2888940000003</v>
      </c>
      <c r="R962">
        <v>3.12</v>
      </c>
      <c r="S962">
        <v>751</v>
      </c>
      <c r="T962">
        <v>15.414999</v>
      </c>
      <c r="U962">
        <v>-61.370975999999999</v>
      </c>
    </row>
    <row r="963" spans="1:21">
      <c r="A963" t="s">
        <v>66</v>
      </c>
      <c r="B963">
        <v>2016</v>
      </c>
      <c r="C963">
        <v>12128.221</v>
      </c>
      <c r="D963">
        <v>180.0000072</v>
      </c>
      <c r="E963">
        <v>7.0000000000000007E-2</v>
      </c>
      <c r="F963">
        <v>0</v>
      </c>
      <c r="G963">
        <v>0.04</v>
      </c>
      <c r="H963">
        <v>36.363636</v>
      </c>
      <c r="I963">
        <v>104.2</v>
      </c>
      <c r="J963">
        <v>10.88</v>
      </c>
      <c r="K963">
        <v>96</v>
      </c>
      <c r="L963">
        <v>99.983536000000001</v>
      </c>
      <c r="M963">
        <v>89.3</v>
      </c>
      <c r="P963">
        <v>2.5564949129999999</v>
      </c>
      <c r="Q963">
        <v>8080.9686229999998</v>
      </c>
      <c r="R963">
        <v>3.12</v>
      </c>
      <c r="S963">
        <v>751</v>
      </c>
      <c r="T963">
        <v>15.414999</v>
      </c>
      <c r="U963">
        <v>-61.370975999999999</v>
      </c>
    </row>
    <row r="964" spans="1:21">
      <c r="A964" t="s">
        <v>66</v>
      </c>
      <c r="B964">
        <v>2017</v>
      </c>
      <c r="C964">
        <v>11274.687</v>
      </c>
      <c r="D964">
        <v>170.00000180000001</v>
      </c>
      <c r="E964">
        <v>0.05</v>
      </c>
      <c r="F964">
        <v>0</v>
      </c>
      <c r="G964">
        <v>0.03</v>
      </c>
      <c r="H964">
        <v>37.5</v>
      </c>
      <c r="I964">
        <v>103.97</v>
      </c>
      <c r="J964">
        <v>9.84</v>
      </c>
      <c r="K964">
        <v>96</v>
      </c>
      <c r="L964">
        <v>100</v>
      </c>
      <c r="M964">
        <v>89.3</v>
      </c>
      <c r="O964">
        <v>13270000</v>
      </c>
      <c r="P964">
        <v>-6.79942797</v>
      </c>
      <c r="Q964">
        <v>7274.5177309999999</v>
      </c>
      <c r="R964">
        <v>3.02</v>
      </c>
      <c r="S964">
        <v>751</v>
      </c>
      <c r="T964">
        <v>15.414999</v>
      </c>
      <c r="U964">
        <v>-61.370975999999999</v>
      </c>
    </row>
    <row r="965" spans="1:21">
      <c r="A965" t="s">
        <v>66</v>
      </c>
      <c r="B965">
        <v>2018</v>
      </c>
      <c r="C965">
        <v>11557.898999999999</v>
      </c>
      <c r="D965">
        <v>170.00000180000001</v>
      </c>
      <c r="E965">
        <v>0.04</v>
      </c>
      <c r="F965">
        <v>0</v>
      </c>
      <c r="G965">
        <v>0.02</v>
      </c>
      <c r="H965">
        <v>33.333336000000003</v>
      </c>
      <c r="I965">
        <v>99.33</v>
      </c>
      <c r="J965">
        <v>8.3000000000000007</v>
      </c>
      <c r="K965">
        <v>96</v>
      </c>
      <c r="L965">
        <v>100</v>
      </c>
      <c r="M965">
        <v>89.1</v>
      </c>
      <c r="O965">
        <v>1640000</v>
      </c>
      <c r="P965">
        <v>2.2143052409999999</v>
      </c>
      <c r="Q965">
        <v>7687.4629629999999</v>
      </c>
      <c r="R965">
        <v>2.94</v>
      </c>
      <c r="S965">
        <v>751</v>
      </c>
      <c r="T965">
        <v>15.414999</v>
      </c>
      <c r="U965">
        <v>-61.370975999999999</v>
      </c>
    </row>
    <row r="966" spans="1:21">
      <c r="A966" t="s">
        <v>66</v>
      </c>
      <c r="B966">
        <v>2019</v>
      </c>
      <c r="C966">
        <v>11049.87</v>
      </c>
      <c r="D966">
        <v>170.00000180000001</v>
      </c>
      <c r="E966">
        <v>7.0000000000000007E-2</v>
      </c>
      <c r="F966">
        <v>0</v>
      </c>
      <c r="G966">
        <v>0.02</v>
      </c>
      <c r="H966">
        <v>22.222221000000001</v>
      </c>
      <c r="I966">
        <v>99.08</v>
      </c>
      <c r="J966">
        <v>8.0500000000000007</v>
      </c>
      <c r="K966">
        <v>96</v>
      </c>
      <c r="L966">
        <v>100</v>
      </c>
      <c r="M966">
        <v>89.3</v>
      </c>
      <c r="O966">
        <v>8940000</v>
      </c>
      <c r="P966">
        <v>7.5713915969999999</v>
      </c>
      <c r="Q966">
        <v>8516.2800389999993</v>
      </c>
      <c r="R966">
        <v>2.97</v>
      </c>
      <c r="S966">
        <v>751</v>
      </c>
      <c r="T966">
        <v>15.414999</v>
      </c>
      <c r="U966">
        <v>-61.370975999999999</v>
      </c>
    </row>
    <row r="967" spans="1:21">
      <c r="A967" t="s">
        <v>66</v>
      </c>
      <c r="B967">
        <v>2020</v>
      </c>
      <c r="C967">
        <v>10056.245999999999</v>
      </c>
      <c r="E967">
        <v>0.12</v>
      </c>
      <c r="F967">
        <v>0</v>
      </c>
      <c r="G967">
        <v>0.04</v>
      </c>
      <c r="H967">
        <v>25</v>
      </c>
      <c r="I967">
        <v>98.83</v>
      </c>
      <c r="K967">
        <v>96</v>
      </c>
      <c r="L967">
        <v>100</v>
      </c>
      <c r="M967">
        <v>88.9</v>
      </c>
      <c r="P967">
        <v>-16.60491154</v>
      </c>
      <c r="Q967">
        <v>7003.8590210000002</v>
      </c>
      <c r="S967">
        <v>751</v>
      </c>
      <c r="T967">
        <v>15.414999</v>
      </c>
      <c r="U967">
        <v>-61.370975999999999</v>
      </c>
    </row>
    <row r="968" spans="1:21">
      <c r="A968" t="s">
        <v>67</v>
      </c>
      <c r="B968">
        <v>2000</v>
      </c>
      <c r="C968">
        <v>10094.044</v>
      </c>
      <c r="D968">
        <v>18670</v>
      </c>
      <c r="E968">
        <v>7.34</v>
      </c>
      <c r="F968">
        <v>0</v>
      </c>
      <c r="G968">
        <v>0.75</v>
      </c>
      <c r="H968">
        <v>9.2707040000000003</v>
      </c>
      <c r="I968">
        <v>53.73</v>
      </c>
      <c r="J968">
        <v>19.11</v>
      </c>
      <c r="K968">
        <v>225</v>
      </c>
      <c r="L968">
        <v>88.764930000000007</v>
      </c>
      <c r="M968">
        <v>84.1</v>
      </c>
      <c r="O968">
        <v>11100000</v>
      </c>
      <c r="P968">
        <v>4.6617622799999996</v>
      </c>
      <c r="Q968">
        <v>2869.1781390000001</v>
      </c>
      <c r="R968">
        <v>3.9</v>
      </c>
      <c r="S968">
        <v>48670</v>
      </c>
      <c r="T968">
        <v>18.735693000000001</v>
      </c>
      <c r="U968">
        <v>-70.162650999999997</v>
      </c>
    </row>
    <row r="969" spans="1:21">
      <c r="A969" t="s">
        <v>67</v>
      </c>
      <c r="B969">
        <v>2001</v>
      </c>
      <c r="C969">
        <v>9667.4</v>
      </c>
      <c r="D969">
        <v>18980</v>
      </c>
      <c r="E969">
        <v>9.07</v>
      </c>
      <c r="F969">
        <v>0</v>
      </c>
      <c r="G969">
        <v>0.7</v>
      </c>
      <c r="H969">
        <v>7.1647897</v>
      </c>
      <c r="I969">
        <v>54.11</v>
      </c>
      <c r="J969">
        <v>18.89</v>
      </c>
      <c r="K969">
        <v>225</v>
      </c>
      <c r="L969">
        <v>89.791359999999997</v>
      </c>
      <c r="M969">
        <v>84.7</v>
      </c>
      <c r="O969">
        <v>4170000</v>
      </c>
      <c r="P969">
        <v>2.4595163680000001</v>
      </c>
      <c r="Q969">
        <v>2977.43451</v>
      </c>
      <c r="R969">
        <v>3.7</v>
      </c>
      <c r="S969">
        <v>48670</v>
      </c>
      <c r="T969">
        <v>18.735693000000001</v>
      </c>
      <c r="U969">
        <v>-70.162650999999997</v>
      </c>
    </row>
    <row r="970" spans="1:21">
      <c r="A970" t="s">
        <v>67</v>
      </c>
      <c r="B970">
        <v>2002</v>
      </c>
      <c r="C970">
        <v>10064.789000000001</v>
      </c>
      <c r="D970">
        <v>20879.999159999999</v>
      </c>
      <c r="E970">
        <v>10.98</v>
      </c>
      <c r="F970">
        <v>0</v>
      </c>
      <c r="G970">
        <v>0.87</v>
      </c>
      <c r="H970">
        <v>7.3417719999999997</v>
      </c>
      <c r="I970">
        <v>53.33</v>
      </c>
      <c r="J970">
        <v>17.940000000000001</v>
      </c>
      <c r="K970">
        <v>225</v>
      </c>
      <c r="L970">
        <v>89.74982</v>
      </c>
      <c r="M970">
        <v>85.5</v>
      </c>
      <c r="O970">
        <v>670000</v>
      </c>
      <c r="P970">
        <v>4.4951034029999999</v>
      </c>
      <c r="Q970">
        <v>3110.3254470000002</v>
      </c>
      <c r="R970">
        <v>3.87</v>
      </c>
      <c r="S970">
        <v>48670</v>
      </c>
      <c r="T970">
        <v>18.735693000000001</v>
      </c>
      <c r="U970">
        <v>-70.162650999999997</v>
      </c>
    </row>
    <row r="971" spans="1:21">
      <c r="A971" t="s">
        <v>67</v>
      </c>
      <c r="B971">
        <v>2003</v>
      </c>
      <c r="C971">
        <v>9104.6419999999998</v>
      </c>
      <c r="D971">
        <v>18729.999540000001</v>
      </c>
      <c r="E971">
        <v>11.38</v>
      </c>
      <c r="F971">
        <v>0</v>
      </c>
      <c r="G971">
        <v>1.19</v>
      </c>
      <c r="H971">
        <v>9.4669860000000003</v>
      </c>
      <c r="I971">
        <v>52.62</v>
      </c>
      <c r="J971">
        <v>18.940000000000001</v>
      </c>
      <c r="K971">
        <v>225</v>
      </c>
      <c r="L971">
        <v>89.173805000000002</v>
      </c>
      <c r="M971">
        <v>86.05</v>
      </c>
      <c r="P971">
        <v>-1.3457061850000001</v>
      </c>
      <c r="Q971">
        <v>2418.350422</v>
      </c>
      <c r="R971">
        <v>3.53</v>
      </c>
      <c r="S971">
        <v>48670</v>
      </c>
      <c r="T971">
        <v>18.735693000000001</v>
      </c>
      <c r="U971">
        <v>-70.162650999999997</v>
      </c>
    </row>
    <row r="972" spans="1:21">
      <c r="A972" t="s">
        <v>67</v>
      </c>
      <c r="B972">
        <v>2004</v>
      </c>
      <c r="C972">
        <v>8357.8955000000005</v>
      </c>
      <c r="D972">
        <v>17280.000690000001</v>
      </c>
      <c r="E972">
        <v>9.58</v>
      </c>
      <c r="F972">
        <v>0</v>
      </c>
      <c r="G972">
        <v>1.6</v>
      </c>
      <c r="H972">
        <v>14.31127</v>
      </c>
      <c r="I972">
        <v>51.89</v>
      </c>
      <c r="J972">
        <v>20.67</v>
      </c>
      <c r="K972">
        <v>225</v>
      </c>
      <c r="L972">
        <v>90.316569999999999</v>
      </c>
      <c r="M972">
        <v>86.4</v>
      </c>
      <c r="O972">
        <v>460000</v>
      </c>
      <c r="P972">
        <v>2.5701342789999999</v>
      </c>
      <c r="Q972">
        <v>2487.3290609999999</v>
      </c>
      <c r="R972">
        <v>3.34</v>
      </c>
      <c r="S972">
        <v>48670</v>
      </c>
      <c r="T972">
        <v>18.735693000000001</v>
      </c>
      <c r="U972">
        <v>-70.162650999999997</v>
      </c>
    </row>
    <row r="973" spans="1:21">
      <c r="A973" t="s">
        <v>67</v>
      </c>
      <c r="B973">
        <v>2005</v>
      </c>
      <c r="C973">
        <v>9065.0879999999997</v>
      </c>
      <c r="D973">
        <v>18690.000530000001</v>
      </c>
      <c r="E973">
        <v>10.14</v>
      </c>
      <c r="F973">
        <v>0</v>
      </c>
      <c r="G973">
        <v>1.91</v>
      </c>
      <c r="H973">
        <v>15.850622</v>
      </c>
      <c r="I973">
        <v>51.21</v>
      </c>
      <c r="J973">
        <v>19.440000000000001</v>
      </c>
      <c r="K973">
        <v>225</v>
      </c>
      <c r="L973">
        <v>90.141229999999993</v>
      </c>
      <c r="M973">
        <v>86.7</v>
      </c>
      <c r="O973">
        <v>6260000</v>
      </c>
      <c r="P973">
        <v>9.4282369470000003</v>
      </c>
      <c r="Q973">
        <v>3932.7844070000001</v>
      </c>
      <c r="R973">
        <v>3.19</v>
      </c>
      <c r="S973">
        <v>48670</v>
      </c>
      <c r="T973">
        <v>18.735693000000001</v>
      </c>
      <c r="U973">
        <v>-70.162650999999997</v>
      </c>
    </row>
    <row r="974" spans="1:21">
      <c r="A974" t="s">
        <v>67</v>
      </c>
      <c r="B974">
        <v>2006</v>
      </c>
      <c r="C974">
        <v>8931.6010000000006</v>
      </c>
      <c r="D974">
        <v>20370.000840000001</v>
      </c>
      <c r="E974">
        <v>11.36</v>
      </c>
      <c r="F974">
        <v>0</v>
      </c>
      <c r="G974">
        <v>1.75</v>
      </c>
      <c r="H974">
        <v>13.348589</v>
      </c>
      <c r="I974">
        <v>50.64</v>
      </c>
      <c r="J974">
        <v>17.98</v>
      </c>
      <c r="K974">
        <v>225</v>
      </c>
      <c r="L974">
        <v>90.11815</v>
      </c>
      <c r="M974">
        <v>87</v>
      </c>
      <c r="O974">
        <v>530000</v>
      </c>
      <c r="P974">
        <v>9.1743554060000001</v>
      </c>
      <c r="Q974">
        <v>4109.0335910000003</v>
      </c>
      <c r="R974">
        <v>3.03</v>
      </c>
      <c r="S974">
        <v>48670</v>
      </c>
      <c r="T974">
        <v>18.735693000000001</v>
      </c>
      <c r="U974">
        <v>-70.162650999999997</v>
      </c>
    </row>
    <row r="975" spans="1:21">
      <c r="A975" t="s">
        <v>67</v>
      </c>
      <c r="B975">
        <v>2007</v>
      </c>
      <c r="C975">
        <v>9066.1980000000003</v>
      </c>
      <c r="D975">
        <v>20629.999159999999</v>
      </c>
      <c r="E975">
        <v>11.98</v>
      </c>
      <c r="F975">
        <v>0</v>
      </c>
      <c r="G975">
        <v>1.7</v>
      </c>
      <c r="H975">
        <v>12.4269</v>
      </c>
      <c r="I975">
        <v>50</v>
      </c>
      <c r="J975">
        <v>17.89</v>
      </c>
      <c r="K975">
        <v>225</v>
      </c>
      <c r="L975">
        <v>96.876339999999999</v>
      </c>
      <c r="M975">
        <v>87.1</v>
      </c>
      <c r="O975">
        <v>370000</v>
      </c>
      <c r="P975">
        <v>7.4159517150000003</v>
      </c>
      <c r="Q975">
        <v>4707.7950520000004</v>
      </c>
      <c r="R975">
        <v>2.93</v>
      </c>
      <c r="S975">
        <v>48670</v>
      </c>
      <c r="T975">
        <v>18.735693000000001</v>
      </c>
      <c r="U975">
        <v>-70.162650999999997</v>
      </c>
    </row>
    <row r="976" spans="1:21">
      <c r="A976" t="s">
        <v>67</v>
      </c>
      <c r="B976">
        <v>2008</v>
      </c>
      <c r="C976">
        <v>8900.0789999999997</v>
      </c>
      <c r="D976">
        <v>20579.999919999998</v>
      </c>
      <c r="E976">
        <v>10.34</v>
      </c>
      <c r="F976">
        <v>0</v>
      </c>
      <c r="G976">
        <v>1.38</v>
      </c>
      <c r="H976">
        <v>11.774744</v>
      </c>
      <c r="I976">
        <v>49.72</v>
      </c>
      <c r="J976">
        <v>17.68</v>
      </c>
      <c r="K976">
        <v>225</v>
      </c>
      <c r="L976">
        <v>97.576194999999998</v>
      </c>
      <c r="M976">
        <v>87.3</v>
      </c>
      <c r="O976">
        <v>150000</v>
      </c>
      <c r="P976">
        <v>3.2095042619999998</v>
      </c>
      <c r="Q976">
        <v>5087.9832130000004</v>
      </c>
      <c r="R976">
        <v>2.73</v>
      </c>
      <c r="S976">
        <v>48670</v>
      </c>
      <c r="T976">
        <v>18.735693000000001</v>
      </c>
      <c r="U976">
        <v>-70.162650999999997</v>
      </c>
    </row>
    <row r="977" spans="1:21">
      <c r="A977" t="s">
        <v>67</v>
      </c>
      <c r="B977">
        <v>2009</v>
      </c>
      <c r="C977">
        <v>8679.0130000000008</v>
      </c>
      <c r="D977">
        <v>19659.99985</v>
      </c>
      <c r="E977">
        <v>10.130000000000001</v>
      </c>
      <c r="F977">
        <v>0</v>
      </c>
      <c r="G977">
        <v>1.46</v>
      </c>
      <c r="H977">
        <v>12.597066</v>
      </c>
      <c r="I977">
        <v>54.86</v>
      </c>
      <c r="J977">
        <v>17.34</v>
      </c>
      <c r="K977">
        <v>225</v>
      </c>
      <c r="L977">
        <v>97.857759999999999</v>
      </c>
      <c r="M977">
        <v>87.4</v>
      </c>
      <c r="O977">
        <v>310000</v>
      </c>
      <c r="P977">
        <v>0.94615516799999999</v>
      </c>
      <c r="Q977">
        <v>5039.4031219999997</v>
      </c>
      <c r="R977">
        <v>2.64</v>
      </c>
      <c r="S977">
        <v>48670</v>
      </c>
      <c r="T977">
        <v>18.735693000000001</v>
      </c>
      <c r="U977">
        <v>-70.162650999999997</v>
      </c>
    </row>
    <row r="978" spans="1:21">
      <c r="A978" t="s">
        <v>67</v>
      </c>
      <c r="B978">
        <v>2010</v>
      </c>
      <c r="C978">
        <v>8981.36</v>
      </c>
      <c r="D978">
        <v>20680.000309999999</v>
      </c>
      <c r="E978">
        <v>12.5</v>
      </c>
      <c r="F978">
        <v>0</v>
      </c>
      <c r="G978">
        <v>1.48</v>
      </c>
      <c r="H978">
        <v>10.586553</v>
      </c>
      <c r="I978">
        <v>55.59</v>
      </c>
      <c r="J978">
        <v>16.91</v>
      </c>
      <c r="K978">
        <v>225</v>
      </c>
      <c r="L978">
        <v>98.145420000000001</v>
      </c>
      <c r="M978">
        <v>87.6</v>
      </c>
      <c r="O978">
        <v>180000</v>
      </c>
      <c r="P978">
        <v>8.3396510599999996</v>
      </c>
      <c r="Q978">
        <v>5555.392014</v>
      </c>
      <c r="R978">
        <v>2.57</v>
      </c>
      <c r="S978">
        <v>48670</v>
      </c>
      <c r="T978">
        <v>18.735693000000001</v>
      </c>
      <c r="U978">
        <v>-70.162650999999997</v>
      </c>
    </row>
    <row r="979" spans="1:21">
      <c r="A979" t="s">
        <v>67</v>
      </c>
      <c r="B979">
        <v>2011</v>
      </c>
      <c r="C979">
        <v>8723.768</v>
      </c>
      <c r="D979">
        <v>20909.99985</v>
      </c>
      <c r="E979">
        <v>13.33</v>
      </c>
      <c r="F979">
        <v>0</v>
      </c>
      <c r="G979">
        <v>1.59</v>
      </c>
      <c r="H979">
        <v>10.656836500000001</v>
      </c>
      <c r="I979">
        <v>58.34</v>
      </c>
      <c r="J979">
        <v>16.75</v>
      </c>
      <c r="K979">
        <v>225</v>
      </c>
      <c r="L979">
        <v>97.898870000000002</v>
      </c>
      <c r="M979">
        <v>87.8</v>
      </c>
      <c r="O979">
        <v>240000</v>
      </c>
      <c r="P979">
        <v>3.1334230029999999</v>
      </c>
      <c r="Q979">
        <v>5913.426649</v>
      </c>
      <c r="R979">
        <v>2.54</v>
      </c>
      <c r="S979">
        <v>48670</v>
      </c>
      <c r="T979">
        <v>18.735693000000001</v>
      </c>
      <c r="U979">
        <v>-70.162650999999997</v>
      </c>
    </row>
    <row r="980" spans="1:21">
      <c r="A980" t="s">
        <v>67</v>
      </c>
      <c r="B980">
        <v>2012</v>
      </c>
      <c r="C980">
        <v>9560.2559999999994</v>
      </c>
      <c r="D980">
        <v>21680.000309999999</v>
      </c>
      <c r="E980">
        <v>13.86</v>
      </c>
      <c r="F980">
        <v>0</v>
      </c>
      <c r="G980">
        <v>1.93</v>
      </c>
      <c r="H980">
        <v>12.222925999999999</v>
      </c>
      <c r="I980">
        <v>72.12</v>
      </c>
      <c r="J980">
        <v>16.48</v>
      </c>
      <c r="K980">
        <v>225</v>
      </c>
      <c r="L980">
        <v>97.867050000000006</v>
      </c>
      <c r="M980">
        <v>87.9</v>
      </c>
      <c r="O980">
        <v>1390000</v>
      </c>
      <c r="P980">
        <v>2.7173678969999999</v>
      </c>
      <c r="Q980">
        <v>6110.3665760000004</v>
      </c>
      <c r="R980">
        <v>2.54</v>
      </c>
      <c r="S980">
        <v>48670</v>
      </c>
      <c r="T980">
        <v>18.735693000000001</v>
      </c>
      <c r="U980">
        <v>-70.162650999999997</v>
      </c>
    </row>
    <row r="981" spans="1:21">
      <c r="A981" t="s">
        <v>67</v>
      </c>
      <c r="B981">
        <v>2013</v>
      </c>
      <c r="C981">
        <v>9002.1669999999995</v>
      </c>
      <c r="D981">
        <v>21290.000919999999</v>
      </c>
      <c r="E981">
        <v>14.54</v>
      </c>
      <c r="F981">
        <v>0</v>
      </c>
      <c r="G981">
        <v>2.19</v>
      </c>
      <c r="H981">
        <v>13.090258</v>
      </c>
      <c r="I981">
        <v>72.06</v>
      </c>
      <c r="J981">
        <v>16.55</v>
      </c>
      <c r="K981">
        <v>225</v>
      </c>
      <c r="L981">
        <v>98.385859999999994</v>
      </c>
      <c r="M981">
        <v>88.2</v>
      </c>
      <c r="O981">
        <v>20000</v>
      </c>
      <c r="P981">
        <v>4.8752050929999999</v>
      </c>
      <c r="Q981">
        <v>6238.1323670000002</v>
      </c>
      <c r="R981">
        <v>2.36</v>
      </c>
      <c r="S981">
        <v>48670</v>
      </c>
      <c r="T981">
        <v>18.735693000000001</v>
      </c>
      <c r="U981">
        <v>-70.162650999999997</v>
      </c>
    </row>
    <row r="982" spans="1:21">
      <c r="A982" t="s">
        <v>67</v>
      </c>
      <c r="B982">
        <v>2014</v>
      </c>
      <c r="C982">
        <v>8537.9619999999995</v>
      </c>
      <c r="D982">
        <v>21450.000759999999</v>
      </c>
      <c r="E982">
        <v>14.63</v>
      </c>
      <c r="F982">
        <v>0</v>
      </c>
      <c r="G982">
        <v>1.64</v>
      </c>
      <c r="H982">
        <v>10.079902000000001</v>
      </c>
      <c r="I982">
        <v>72.209999999999994</v>
      </c>
      <c r="J982">
        <v>17.28</v>
      </c>
      <c r="K982">
        <v>225</v>
      </c>
      <c r="L982">
        <v>98.470979999999997</v>
      </c>
      <c r="M982">
        <v>88.5</v>
      </c>
      <c r="O982">
        <v>450000</v>
      </c>
      <c r="P982">
        <v>7.0504636899999999</v>
      </c>
      <c r="Q982">
        <v>6608.8255010000003</v>
      </c>
      <c r="R982">
        <v>2.19</v>
      </c>
      <c r="S982">
        <v>48670</v>
      </c>
      <c r="T982">
        <v>18.735693000000001</v>
      </c>
      <c r="U982">
        <v>-70.162650999999997</v>
      </c>
    </row>
    <row r="983" spans="1:21">
      <c r="A983" t="s">
        <v>67</v>
      </c>
      <c r="B983">
        <v>2015</v>
      </c>
      <c r="C983">
        <v>9354.6419999999998</v>
      </c>
      <c r="D983">
        <v>23590.00015</v>
      </c>
      <c r="E983">
        <v>15.59</v>
      </c>
      <c r="F983">
        <v>0</v>
      </c>
      <c r="G983">
        <v>1.32</v>
      </c>
      <c r="H983">
        <v>7.8060320000000001</v>
      </c>
      <c r="I983">
        <v>72.48</v>
      </c>
      <c r="J983">
        <v>14.88</v>
      </c>
      <c r="K983">
        <v>225</v>
      </c>
      <c r="L983">
        <v>98.560360000000003</v>
      </c>
      <c r="M983">
        <v>89</v>
      </c>
      <c r="O983">
        <v>70000</v>
      </c>
      <c r="P983">
        <v>6.9270187720000003</v>
      </c>
      <c r="Q983">
        <v>6921.5205939999996</v>
      </c>
      <c r="R983">
        <v>2.21</v>
      </c>
      <c r="S983">
        <v>48670</v>
      </c>
      <c r="T983">
        <v>18.735693000000001</v>
      </c>
      <c r="U983">
        <v>-70.162650999999997</v>
      </c>
    </row>
    <row r="984" spans="1:21">
      <c r="A984" t="s">
        <v>67</v>
      </c>
      <c r="B984">
        <v>2016</v>
      </c>
      <c r="C984">
        <v>9835.1229999999996</v>
      </c>
      <c r="D984">
        <v>24590.00015</v>
      </c>
      <c r="E984">
        <v>16.53</v>
      </c>
      <c r="F984">
        <v>0</v>
      </c>
      <c r="G984">
        <v>2.14</v>
      </c>
      <c r="H984">
        <v>11.462239</v>
      </c>
      <c r="I984">
        <v>83.72</v>
      </c>
      <c r="J984">
        <v>15.31</v>
      </c>
      <c r="K984">
        <v>225</v>
      </c>
      <c r="L984">
        <v>98.9</v>
      </c>
      <c r="M984">
        <v>89.5</v>
      </c>
      <c r="O984">
        <v>81910000</v>
      </c>
      <c r="P984">
        <v>6.6592002629999998</v>
      </c>
      <c r="Q984">
        <v>7280.8836099999999</v>
      </c>
      <c r="R984">
        <v>2.21</v>
      </c>
      <c r="S984">
        <v>48670</v>
      </c>
      <c r="T984">
        <v>18.735693000000001</v>
      </c>
      <c r="U984">
        <v>-70.162650999999997</v>
      </c>
    </row>
    <row r="985" spans="1:21">
      <c r="A985" t="s">
        <v>67</v>
      </c>
      <c r="B985">
        <v>2017</v>
      </c>
      <c r="C985">
        <v>9591.366</v>
      </c>
      <c r="D985">
        <v>23549.999240000001</v>
      </c>
      <c r="E985">
        <v>16.07</v>
      </c>
      <c r="F985">
        <v>0</v>
      </c>
      <c r="G985">
        <v>2.94</v>
      </c>
      <c r="H985">
        <v>15.465545000000001</v>
      </c>
      <c r="I985">
        <v>85.9</v>
      </c>
      <c r="J985">
        <v>16.87</v>
      </c>
      <c r="K985">
        <v>225</v>
      </c>
      <c r="L985">
        <v>100</v>
      </c>
      <c r="M985">
        <v>90</v>
      </c>
      <c r="O985">
        <v>82190000</v>
      </c>
      <c r="P985">
        <v>4.6667046770000002</v>
      </c>
      <c r="Q985">
        <v>7609.3532750000004</v>
      </c>
      <c r="R985">
        <v>2.09</v>
      </c>
      <c r="S985">
        <v>48670</v>
      </c>
      <c r="T985">
        <v>18.735693000000001</v>
      </c>
      <c r="U985">
        <v>-70.162650999999997</v>
      </c>
    </row>
    <row r="986" spans="1:21">
      <c r="A986" t="s">
        <v>67</v>
      </c>
      <c r="B986">
        <v>2018</v>
      </c>
      <c r="C986">
        <v>10487.733</v>
      </c>
      <c r="D986">
        <v>25309.999469999999</v>
      </c>
      <c r="E986">
        <v>16.89</v>
      </c>
      <c r="F986">
        <v>0</v>
      </c>
      <c r="G986">
        <v>2.74</v>
      </c>
      <c r="H986">
        <v>13.958228</v>
      </c>
      <c r="I986">
        <v>98.92</v>
      </c>
      <c r="J986">
        <v>15.95</v>
      </c>
      <c r="K986">
        <v>225</v>
      </c>
      <c r="L986">
        <v>98.9</v>
      </c>
      <c r="M986">
        <v>90.4</v>
      </c>
      <c r="O986">
        <v>380000</v>
      </c>
      <c r="P986">
        <v>6.9825275849999997</v>
      </c>
      <c r="Q986">
        <v>8050.6440759999996</v>
      </c>
      <c r="R986">
        <v>2.06</v>
      </c>
      <c r="S986">
        <v>48670</v>
      </c>
      <c r="T986">
        <v>18.735693000000001</v>
      </c>
      <c r="U986">
        <v>-70.162650999999997</v>
      </c>
    </row>
    <row r="987" spans="1:21">
      <c r="A987" t="s">
        <v>67</v>
      </c>
      <c r="B987">
        <v>2019</v>
      </c>
      <c r="C987">
        <v>11098.332</v>
      </c>
      <c r="D987">
        <v>27229.999540000001</v>
      </c>
      <c r="E987">
        <v>16.91</v>
      </c>
      <c r="F987">
        <v>0</v>
      </c>
      <c r="G987">
        <v>2.36</v>
      </c>
      <c r="H987">
        <v>12.247014999999999</v>
      </c>
      <c r="I987">
        <v>114.65</v>
      </c>
      <c r="J987">
        <v>13.98</v>
      </c>
      <c r="K987">
        <v>225</v>
      </c>
      <c r="L987">
        <v>99</v>
      </c>
      <c r="M987">
        <v>90.9</v>
      </c>
      <c r="O987">
        <v>42670000</v>
      </c>
      <c r="P987">
        <v>5.0521680199999999</v>
      </c>
      <c r="Q987">
        <v>8282.1171310000009</v>
      </c>
      <c r="R987">
        <v>2.08</v>
      </c>
      <c r="S987">
        <v>48670</v>
      </c>
      <c r="T987">
        <v>18.735693000000001</v>
      </c>
      <c r="U987">
        <v>-70.162650999999997</v>
      </c>
    </row>
    <row r="988" spans="1:21">
      <c r="A988" t="s">
        <v>67</v>
      </c>
      <c r="B988">
        <v>2020</v>
      </c>
      <c r="C988">
        <v>9496.6679999999997</v>
      </c>
      <c r="E988">
        <v>13.74</v>
      </c>
      <c r="F988">
        <v>0</v>
      </c>
      <c r="G988">
        <v>2.9</v>
      </c>
      <c r="H988">
        <v>17.427885</v>
      </c>
      <c r="I988">
        <v>120.72</v>
      </c>
      <c r="K988">
        <v>225</v>
      </c>
      <c r="L988">
        <v>100</v>
      </c>
      <c r="M988">
        <v>91.5</v>
      </c>
      <c r="P988">
        <v>-6.7202393730000001</v>
      </c>
      <c r="Q988">
        <v>7268.1969099999997</v>
      </c>
      <c r="S988">
        <v>48670</v>
      </c>
      <c r="T988">
        <v>18.735693000000001</v>
      </c>
      <c r="U988">
        <v>-70.162650999999997</v>
      </c>
    </row>
    <row r="989" spans="1:21">
      <c r="A989" t="s">
        <v>68</v>
      </c>
      <c r="B989">
        <v>2000</v>
      </c>
      <c r="C989">
        <v>8246.84</v>
      </c>
      <c r="D989">
        <v>22050</v>
      </c>
      <c r="E989">
        <v>2.82</v>
      </c>
      <c r="F989">
        <v>0</v>
      </c>
      <c r="G989">
        <v>7.53</v>
      </c>
      <c r="H989">
        <v>72.753624000000002</v>
      </c>
      <c r="I989">
        <v>135.21</v>
      </c>
      <c r="J989">
        <v>19.43</v>
      </c>
      <c r="K989">
        <v>71</v>
      </c>
      <c r="L989">
        <v>93.732259999999997</v>
      </c>
      <c r="M989">
        <v>87.8</v>
      </c>
      <c r="N989">
        <v>21.613928000000001</v>
      </c>
      <c r="O989">
        <v>2220000</v>
      </c>
      <c r="P989">
        <v>1.0918015640000001</v>
      </c>
      <c r="Q989">
        <v>1445.2793240000001</v>
      </c>
      <c r="R989">
        <v>3.27</v>
      </c>
      <c r="S989">
        <v>283561</v>
      </c>
      <c r="T989">
        <v>-1.8312390000000001</v>
      </c>
      <c r="U989">
        <v>-78.183406000000005</v>
      </c>
    </row>
    <row r="990" spans="1:21">
      <c r="A990" t="s">
        <v>68</v>
      </c>
      <c r="B990">
        <v>2001</v>
      </c>
      <c r="C990">
        <v>8211.6509999999998</v>
      </c>
      <c r="D990">
        <v>24250</v>
      </c>
      <c r="E990">
        <v>3.74</v>
      </c>
      <c r="F990">
        <v>0</v>
      </c>
      <c r="G990">
        <v>7</v>
      </c>
      <c r="H990">
        <v>65.176910000000007</v>
      </c>
      <c r="I990">
        <v>134.56</v>
      </c>
      <c r="J990">
        <v>17.05</v>
      </c>
      <c r="K990">
        <v>71</v>
      </c>
      <c r="L990">
        <v>94.024619999999999</v>
      </c>
      <c r="M990">
        <v>88.75</v>
      </c>
      <c r="N990">
        <v>19.692354000000002</v>
      </c>
      <c r="O990">
        <v>2140000</v>
      </c>
      <c r="P990">
        <v>4.0156299000000004</v>
      </c>
      <c r="Q990">
        <v>1894.6161959999999</v>
      </c>
      <c r="R990">
        <v>3.35</v>
      </c>
      <c r="S990">
        <v>283561</v>
      </c>
      <c r="T990">
        <v>-1.8312390000000001</v>
      </c>
      <c r="U990">
        <v>-78.183406000000005</v>
      </c>
    </row>
    <row r="991" spans="1:21">
      <c r="A991" t="s">
        <v>68</v>
      </c>
      <c r="B991">
        <v>2002</v>
      </c>
      <c r="C991">
        <v>7965.1454999999996</v>
      </c>
      <c r="D991">
        <v>24170.000080000002</v>
      </c>
      <c r="E991">
        <v>4.0999999999999996</v>
      </c>
      <c r="F991">
        <v>0</v>
      </c>
      <c r="G991">
        <v>7.45</v>
      </c>
      <c r="H991">
        <v>64.502170000000007</v>
      </c>
      <c r="I991">
        <v>132.83000000000001</v>
      </c>
      <c r="J991">
        <v>17.100000000000001</v>
      </c>
      <c r="K991">
        <v>71</v>
      </c>
      <c r="L991">
        <v>94.309389999999993</v>
      </c>
      <c r="M991">
        <v>89.8</v>
      </c>
      <c r="N991">
        <v>21.095179000000002</v>
      </c>
      <c r="O991">
        <v>830000</v>
      </c>
      <c r="P991">
        <v>4.0967766589999997</v>
      </c>
      <c r="Q991">
        <v>2172.1018770000001</v>
      </c>
      <c r="R991">
        <v>3.48</v>
      </c>
      <c r="S991">
        <v>283561</v>
      </c>
      <c r="T991">
        <v>-1.8312390000000001</v>
      </c>
      <c r="U991">
        <v>-78.183406000000005</v>
      </c>
    </row>
    <row r="992" spans="1:21">
      <c r="A992" t="s">
        <v>68</v>
      </c>
      <c r="B992">
        <v>2003</v>
      </c>
      <c r="C992">
        <v>8014.88</v>
      </c>
      <c r="D992">
        <v>24659.99985</v>
      </c>
      <c r="E992">
        <v>4.1100000000000003</v>
      </c>
      <c r="F992">
        <v>0</v>
      </c>
      <c r="G992">
        <v>7.11</v>
      </c>
      <c r="H992">
        <v>63.368983999999998</v>
      </c>
      <c r="I992">
        <v>130.59</v>
      </c>
      <c r="J992">
        <v>16.55</v>
      </c>
      <c r="K992">
        <v>71</v>
      </c>
      <c r="L992">
        <v>94.973044999999999</v>
      </c>
      <c r="M992">
        <v>90.6</v>
      </c>
      <c r="N992">
        <v>19.533442999999998</v>
      </c>
      <c r="O992">
        <v>360000</v>
      </c>
      <c r="P992">
        <v>2.7228773369999999</v>
      </c>
      <c r="Q992">
        <v>2425.851842</v>
      </c>
      <c r="R992">
        <v>3.73</v>
      </c>
      <c r="S992">
        <v>283561</v>
      </c>
      <c r="T992">
        <v>-1.8312390000000001</v>
      </c>
      <c r="U992">
        <v>-78.183406000000005</v>
      </c>
    </row>
    <row r="993" spans="1:21">
      <c r="A993" t="s">
        <v>68</v>
      </c>
      <c r="B993">
        <v>2004</v>
      </c>
      <c r="C993">
        <v>8426.991</v>
      </c>
      <c r="D993">
        <v>26180.000309999999</v>
      </c>
      <c r="E993">
        <v>5.59</v>
      </c>
      <c r="F993">
        <v>0</v>
      </c>
      <c r="G993">
        <v>7.5</v>
      </c>
      <c r="H993">
        <v>57.295647000000002</v>
      </c>
      <c r="I993">
        <v>130.97999999999999</v>
      </c>
      <c r="J993">
        <v>16.73</v>
      </c>
      <c r="K993">
        <v>71</v>
      </c>
      <c r="L993">
        <v>94.865570000000005</v>
      </c>
      <c r="M993">
        <v>91.1</v>
      </c>
      <c r="N993">
        <v>18.734905000000001</v>
      </c>
      <c r="O993">
        <v>310000</v>
      </c>
      <c r="P993">
        <v>8.2110209170000008</v>
      </c>
      <c r="Q993">
        <v>2691.277685</v>
      </c>
      <c r="R993">
        <v>3.54</v>
      </c>
      <c r="S993">
        <v>283561</v>
      </c>
      <c r="T993">
        <v>-1.8312390000000001</v>
      </c>
      <c r="U993">
        <v>-78.183406000000005</v>
      </c>
    </row>
    <row r="994" spans="1:21">
      <c r="A994" t="s">
        <v>68</v>
      </c>
      <c r="B994">
        <v>2005</v>
      </c>
      <c r="C994">
        <v>8767.223</v>
      </c>
      <c r="D994">
        <v>28219.999309999999</v>
      </c>
      <c r="E994">
        <v>5.09</v>
      </c>
      <c r="F994">
        <v>0</v>
      </c>
      <c r="G994">
        <v>7.07</v>
      </c>
      <c r="H994">
        <v>58.141449999999999</v>
      </c>
      <c r="I994">
        <v>132.24</v>
      </c>
      <c r="J994">
        <v>16.16</v>
      </c>
      <c r="K994">
        <v>71</v>
      </c>
      <c r="L994">
        <v>95.832650000000001</v>
      </c>
      <c r="M994">
        <v>91.7</v>
      </c>
      <c r="N994">
        <v>16.596605</v>
      </c>
      <c r="O994">
        <v>8400000</v>
      </c>
      <c r="P994">
        <v>5.2913082669999998</v>
      </c>
      <c r="Q994">
        <v>3002.1386040000002</v>
      </c>
      <c r="R994">
        <v>3.65</v>
      </c>
      <c r="S994">
        <v>283561</v>
      </c>
      <c r="T994">
        <v>-1.8312390000000001</v>
      </c>
      <c r="U994">
        <v>-78.183406000000005</v>
      </c>
    </row>
    <row r="995" spans="1:21">
      <c r="A995" t="s">
        <v>68</v>
      </c>
      <c r="B995">
        <v>2006</v>
      </c>
      <c r="C995">
        <v>9114.5040000000008</v>
      </c>
      <c r="D995">
        <v>30129.999159999999</v>
      </c>
      <c r="E995">
        <v>6.17</v>
      </c>
      <c r="F995">
        <v>0</v>
      </c>
      <c r="G995">
        <v>7.35</v>
      </c>
      <c r="H995">
        <v>54.363903000000001</v>
      </c>
      <c r="I995">
        <v>133.33000000000001</v>
      </c>
      <c r="J995">
        <v>14.19</v>
      </c>
      <c r="K995">
        <v>71</v>
      </c>
      <c r="L995">
        <v>96.315259999999995</v>
      </c>
      <c r="M995">
        <v>92.3</v>
      </c>
      <c r="N995">
        <v>16.251609999999999</v>
      </c>
      <c r="O995">
        <v>10000</v>
      </c>
      <c r="P995">
        <v>4.4035264339999998</v>
      </c>
      <c r="Q995">
        <v>3328.8841560000001</v>
      </c>
      <c r="R995">
        <v>3.43</v>
      </c>
      <c r="S995">
        <v>283561</v>
      </c>
      <c r="T995">
        <v>-1.8312390000000001</v>
      </c>
      <c r="U995">
        <v>-78.183406000000005</v>
      </c>
    </row>
    <row r="996" spans="1:21">
      <c r="A996" t="s">
        <v>68</v>
      </c>
      <c r="B996">
        <v>2007</v>
      </c>
      <c r="C996">
        <v>9420.0169999999998</v>
      </c>
      <c r="D996">
        <v>30639.999390000001</v>
      </c>
      <c r="E996">
        <v>7.33</v>
      </c>
      <c r="F996">
        <v>0</v>
      </c>
      <c r="G996">
        <v>9.26</v>
      </c>
      <c r="H996">
        <v>55.816757000000003</v>
      </c>
      <c r="I996">
        <v>149.22</v>
      </c>
      <c r="J996">
        <v>15.88</v>
      </c>
      <c r="K996">
        <v>71</v>
      </c>
      <c r="L996">
        <v>96.812613999999996</v>
      </c>
      <c r="M996">
        <v>92.7</v>
      </c>
      <c r="N996">
        <v>19.557272000000001</v>
      </c>
      <c r="P996">
        <v>2.1900639719999999</v>
      </c>
      <c r="Q996">
        <v>3567.8371860000002</v>
      </c>
      <c r="R996">
        <v>3.69</v>
      </c>
      <c r="S996">
        <v>283561</v>
      </c>
      <c r="T996">
        <v>-1.8312390000000001</v>
      </c>
      <c r="U996">
        <v>-78.183406000000005</v>
      </c>
    </row>
    <row r="997" spans="1:21">
      <c r="A997" t="s">
        <v>68</v>
      </c>
      <c r="B997">
        <v>2008</v>
      </c>
      <c r="C997">
        <v>9883.9120000000003</v>
      </c>
      <c r="D997">
        <v>31690.000530000001</v>
      </c>
      <c r="E997">
        <v>6.68</v>
      </c>
      <c r="F997">
        <v>0</v>
      </c>
      <c r="G997">
        <v>11.58</v>
      </c>
      <c r="H997">
        <v>63.417304999999999</v>
      </c>
      <c r="I997">
        <v>148.97999999999999</v>
      </c>
      <c r="J997">
        <v>15.32</v>
      </c>
      <c r="K997">
        <v>71</v>
      </c>
      <c r="L997">
        <v>97.206569999999999</v>
      </c>
      <c r="M997">
        <v>93.05</v>
      </c>
      <c r="N997">
        <v>22.617521</v>
      </c>
      <c r="O997">
        <v>2770000</v>
      </c>
      <c r="P997">
        <v>6.3571305999999996</v>
      </c>
      <c r="Q997">
        <v>4249.0189700000001</v>
      </c>
      <c r="R997">
        <v>3.07</v>
      </c>
      <c r="S997">
        <v>283561</v>
      </c>
      <c r="T997">
        <v>-1.8312390000000001</v>
      </c>
      <c r="U997">
        <v>-78.183406000000005</v>
      </c>
    </row>
    <row r="998" spans="1:21">
      <c r="A998" t="s">
        <v>68</v>
      </c>
      <c r="B998">
        <v>2009</v>
      </c>
      <c r="C998">
        <v>9482.9639999999999</v>
      </c>
      <c r="D998">
        <v>34500</v>
      </c>
      <c r="E998">
        <v>8.36</v>
      </c>
      <c r="F998">
        <v>0</v>
      </c>
      <c r="G998">
        <v>9.57</v>
      </c>
      <c r="H998">
        <v>53.374232999999997</v>
      </c>
      <c r="I998">
        <v>146.77000000000001</v>
      </c>
      <c r="J998">
        <v>12.87</v>
      </c>
      <c r="K998">
        <v>71</v>
      </c>
      <c r="L998">
        <v>96.470860000000002</v>
      </c>
      <c r="M998">
        <v>93.3</v>
      </c>
      <c r="N998">
        <v>18.929243</v>
      </c>
      <c r="O998">
        <v>1270000</v>
      </c>
      <c r="P998">
        <v>0.56649159199999999</v>
      </c>
      <c r="Q998">
        <v>4231.6192350000001</v>
      </c>
      <c r="R998">
        <v>3.39</v>
      </c>
      <c r="S998">
        <v>283561</v>
      </c>
      <c r="T998">
        <v>-1.8312390000000001</v>
      </c>
      <c r="U998">
        <v>-78.183406000000005</v>
      </c>
    </row>
    <row r="999" spans="1:21">
      <c r="A999" t="s">
        <v>68</v>
      </c>
      <c r="B999">
        <v>2010</v>
      </c>
      <c r="C999">
        <v>10353.473</v>
      </c>
      <c r="D999">
        <v>37250</v>
      </c>
      <c r="E999">
        <v>9.77</v>
      </c>
      <c r="F999">
        <v>0</v>
      </c>
      <c r="G999">
        <v>9</v>
      </c>
      <c r="H999">
        <v>47.948853</v>
      </c>
      <c r="I999">
        <v>156.29</v>
      </c>
      <c r="J999">
        <v>11.79</v>
      </c>
      <c r="K999">
        <v>71</v>
      </c>
      <c r="L999">
        <v>97.462140000000005</v>
      </c>
      <c r="M999">
        <v>93.6</v>
      </c>
      <c r="N999">
        <v>15.936484999999999</v>
      </c>
      <c r="O999">
        <v>2811680000</v>
      </c>
      <c r="P999">
        <v>3.5252986690000001</v>
      </c>
      <c r="Q999">
        <v>4633.5912840000001</v>
      </c>
      <c r="R999">
        <v>3.47</v>
      </c>
      <c r="S999">
        <v>283561</v>
      </c>
      <c r="T999">
        <v>-1.8312390000000001</v>
      </c>
      <c r="U999">
        <v>-78.183406000000005</v>
      </c>
    </row>
    <row r="1000" spans="1:21">
      <c r="A1000" t="s">
        <v>68</v>
      </c>
      <c r="B1000">
        <v>2011</v>
      </c>
      <c r="C1000">
        <v>10805.037</v>
      </c>
      <c r="D1000">
        <v>37099.998469999999</v>
      </c>
      <c r="E1000">
        <v>8.4700000000000006</v>
      </c>
      <c r="F1000">
        <v>0</v>
      </c>
      <c r="G1000">
        <v>11.41</v>
      </c>
      <c r="H1000">
        <v>57.394367000000003</v>
      </c>
      <c r="I1000">
        <v>153.38</v>
      </c>
      <c r="J1000">
        <v>13.15</v>
      </c>
      <c r="K1000">
        <v>71</v>
      </c>
      <c r="L1000">
        <v>96.872696000000005</v>
      </c>
      <c r="M1000">
        <v>93.9</v>
      </c>
      <c r="N1000">
        <v>19.198841000000002</v>
      </c>
      <c r="O1000">
        <v>394900000</v>
      </c>
      <c r="P1000">
        <v>7.868140919</v>
      </c>
      <c r="Q1000">
        <v>5200.5551079999996</v>
      </c>
      <c r="R1000">
        <v>3.38</v>
      </c>
      <c r="S1000">
        <v>283561</v>
      </c>
      <c r="T1000">
        <v>-1.8312390000000001</v>
      </c>
      <c r="U1000">
        <v>-78.183406000000005</v>
      </c>
    </row>
    <row r="1001" spans="1:21">
      <c r="A1001" t="s">
        <v>68</v>
      </c>
      <c r="B1001">
        <v>2012</v>
      </c>
      <c r="C1001">
        <v>11233.191999999999</v>
      </c>
      <c r="D1001">
        <v>37090.00015</v>
      </c>
      <c r="E1001">
        <v>9.57</v>
      </c>
      <c r="F1001">
        <v>0</v>
      </c>
      <c r="G1001">
        <v>12.54</v>
      </c>
      <c r="H1001">
        <v>56.716414999999998</v>
      </c>
      <c r="I1001">
        <v>153.01</v>
      </c>
      <c r="J1001">
        <v>13.2</v>
      </c>
      <c r="K1001">
        <v>71</v>
      </c>
      <c r="L1001">
        <v>97.194929999999999</v>
      </c>
      <c r="M1001">
        <v>94</v>
      </c>
      <c r="N1001">
        <v>19.840085999999999</v>
      </c>
      <c r="O1001">
        <v>26490000</v>
      </c>
      <c r="P1001">
        <v>5.6419620669999997</v>
      </c>
      <c r="Q1001">
        <v>5682.0461079999995</v>
      </c>
      <c r="R1001">
        <v>3.17</v>
      </c>
      <c r="S1001">
        <v>283561</v>
      </c>
      <c r="T1001">
        <v>-1.8312390000000001</v>
      </c>
      <c r="U1001">
        <v>-78.183406000000005</v>
      </c>
    </row>
    <row r="1002" spans="1:21">
      <c r="A1002" t="s">
        <v>68</v>
      </c>
      <c r="B1002">
        <v>2013</v>
      </c>
      <c r="C1002">
        <v>11416.986999999999</v>
      </c>
      <c r="D1002">
        <v>39700.000760000003</v>
      </c>
      <c r="E1002">
        <v>10.98</v>
      </c>
      <c r="F1002">
        <v>0</v>
      </c>
      <c r="G1002">
        <v>11.46</v>
      </c>
      <c r="H1002">
        <v>51.069519999999997</v>
      </c>
      <c r="I1002">
        <v>152.03</v>
      </c>
      <c r="J1002">
        <v>11.85</v>
      </c>
      <c r="K1002">
        <v>71</v>
      </c>
      <c r="L1002">
        <v>98.034676000000005</v>
      </c>
      <c r="M1002">
        <v>94.1</v>
      </c>
      <c r="N1002">
        <v>17.377462000000001</v>
      </c>
      <c r="O1002">
        <v>331000000</v>
      </c>
      <c r="P1002">
        <v>4.946511267</v>
      </c>
      <c r="Q1002">
        <v>6056.3312130000004</v>
      </c>
      <c r="R1002">
        <v>3.21</v>
      </c>
      <c r="S1002">
        <v>283561</v>
      </c>
      <c r="T1002">
        <v>-1.8312390000000001</v>
      </c>
      <c r="U1002">
        <v>-78.183406000000005</v>
      </c>
    </row>
    <row r="1003" spans="1:21">
      <c r="A1003" t="s">
        <v>68</v>
      </c>
      <c r="B1003">
        <v>2014</v>
      </c>
      <c r="C1003">
        <v>11816.218999999999</v>
      </c>
      <c r="D1003">
        <v>41799.999239999997</v>
      </c>
      <c r="E1003">
        <v>11.36</v>
      </c>
      <c r="F1003">
        <v>0</v>
      </c>
      <c r="G1003">
        <v>12.09</v>
      </c>
      <c r="H1003">
        <v>51.556502999999999</v>
      </c>
      <c r="I1003">
        <v>152.96</v>
      </c>
      <c r="J1003">
        <v>12.18</v>
      </c>
      <c r="K1003">
        <v>71</v>
      </c>
      <c r="L1003">
        <v>98.976070000000007</v>
      </c>
      <c r="M1003">
        <v>94.3</v>
      </c>
      <c r="N1003">
        <v>17.276142</v>
      </c>
      <c r="O1003">
        <v>509020000</v>
      </c>
      <c r="P1003">
        <v>3.788868549</v>
      </c>
      <c r="Q1003">
        <v>6377.0939289999997</v>
      </c>
      <c r="R1003">
        <v>3.38</v>
      </c>
      <c r="S1003">
        <v>283561</v>
      </c>
      <c r="T1003">
        <v>-1.8312390000000001</v>
      </c>
      <c r="U1003">
        <v>-78.183406000000005</v>
      </c>
    </row>
    <row r="1004" spans="1:21">
      <c r="A1004" t="s">
        <v>68</v>
      </c>
      <c r="B1004">
        <v>2015</v>
      </c>
      <c r="C1004">
        <v>11610.723</v>
      </c>
      <c r="D1004">
        <v>41520.000460000003</v>
      </c>
      <c r="E1004">
        <v>11.34</v>
      </c>
      <c r="F1004">
        <v>0</v>
      </c>
      <c r="G1004">
        <v>13.74</v>
      </c>
      <c r="H1004">
        <v>54.784689999999998</v>
      </c>
      <c r="I1004">
        <v>160.29</v>
      </c>
      <c r="J1004">
        <v>13.07</v>
      </c>
      <c r="K1004">
        <v>71</v>
      </c>
      <c r="L1004">
        <v>98.825879999999998</v>
      </c>
      <c r="M1004">
        <v>94.4</v>
      </c>
      <c r="N1004">
        <v>19.640232000000001</v>
      </c>
      <c r="O1004">
        <v>31740000</v>
      </c>
      <c r="P1004">
        <v>9.8872608000000001E-2</v>
      </c>
      <c r="Q1004">
        <v>6124.4908869999999</v>
      </c>
      <c r="R1004">
        <v>3.26</v>
      </c>
      <c r="S1004">
        <v>283561</v>
      </c>
      <c r="T1004">
        <v>-1.8312390000000001</v>
      </c>
      <c r="U1004">
        <v>-78.183406000000005</v>
      </c>
    </row>
    <row r="1005" spans="1:21">
      <c r="A1005" t="s">
        <v>68</v>
      </c>
      <c r="B1005">
        <v>2016</v>
      </c>
      <c r="C1005">
        <v>11399.546</v>
      </c>
      <c r="D1005">
        <v>39810.001369999998</v>
      </c>
      <c r="E1005">
        <v>10.77</v>
      </c>
      <c r="F1005">
        <v>0</v>
      </c>
      <c r="G1005">
        <v>16.37</v>
      </c>
      <c r="H1005">
        <v>60.316882999999997</v>
      </c>
      <c r="I1005">
        <v>281.35000000000002</v>
      </c>
      <c r="J1005">
        <v>14.75</v>
      </c>
      <c r="K1005">
        <v>71</v>
      </c>
      <c r="L1005">
        <v>98.7</v>
      </c>
      <c r="M1005">
        <v>94.4</v>
      </c>
      <c r="N1005">
        <v>23.628025000000001</v>
      </c>
      <c r="O1005">
        <v>134670000</v>
      </c>
      <c r="P1005">
        <v>-1.226383985</v>
      </c>
      <c r="Q1005">
        <v>6060.0929619999997</v>
      </c>
      <c r="R1005">
        <v>3.16</v>
      </c>
      <c r="S1005">
        <v>283561</v>
      </c>
      <c r="T1005">
        <v>-1.8312390000000001</v>
      </c>
      <c r="U1005">
        <v>-78.183406000000005</v>
      </c>
    </row>
    <row r="1006" spans="1:21">
      <c r="A1006" t="s">
        <v>68</v>
      </c>
      <c r="B1006">
        <v>2017</v>
      </c>
      <c r="C1006">
        <v>11658.197</v>
      </c>
      <c r="D1006">
        <v>38549.999239999997</v>
      </c>
      <c r="E1006">
        <v>7.4</v>
      </c>
      <c r="F1006">
        <v>0</v>
      </c>
      <c r="G1006">
        <v>20.440000000000001</v>
      </c>
      <c r="H1006">
        <v>73.419539999999998</v>
      </c>
      <c r="I1006">
        <v>280.86</v>
      </c>
      <c r="J1006">
        <v>17.05</v>
      </c>
      <c r="K1006">
        <v>71</v>
      </c>
      <c r="L1006">
        <v>99.2</v>
      </c>
      <c r="M1006">
        <v>94.4</v>
      </c>
      <c r="N1006">
        <v>28.335857000000001</v>
      </c>
      <c r="O1006">
        <v>36680000</v>
      </c>
      <c r="P1006">
        <v>2.3683865260000001</v>
      </c>
      <c r="Q1006">
        <v>6213.5031269999999</v>
      </c>
      <c r="R1006">
        <v>3.18</v>
      </c>
      <c r="S1006">
        <v>283561</v>
      </c>
      <c r="T1006">
        <v>-1.8312390000000001</v>
      </c>
      <c r="U1006">
        <v>-78.183406000000005</v>
      </c>
    </row>
    <row r="1007" spans="1:21">
      <c r="A1007" t="s">
        <v>68</v>
      </c>
      <c r="B1007">
        <v>2018</v>
      </c>
      <c r="C1007">
        <v>12100.159</v>
      </c>
      <c r="D1007">
        <v>40139.999389999997</v>
      </c>
      <c r="E1007">
        <v>7.97</v>
      </c>
      <c r="F1007">
        <v>0</v>
      </c>
      <c r="G1007">
        <v>21.06</v>
      </c>
      <c r="H1007">
        <v>72.545640000000006</v>
      </c>
      <c r="I1007">
        <v>308.23</v>
      </c>
      <c r="J1007">
        <v>16.329999999999998</v>
      </c>
      <c r="K1007">
        <v>71</v>
      </c>
      <c r="L1007">
        <v>98.7</v>
      </c>
      <c r="M1007">
        <v>94.5</v>
      </c>
      <c r="N1007">
        <v>27.386934</v>
      </c>
      <c r="O1007">
        <v>890000</v>
      </c>
      <c r="P1007">
        <v>1.2892919329999999</v>
      </c>
      <c r="Q1007">
        <v>6295.9346619999997</v>
      </c>
      <c r="R1007">
        <v>3.1</v>
      </c>
      <c r="S1007">
        <v>283561</v>
      </c>
      <c r="T1007">
        <v>-1.8312390000000001</v>
      </c>
      <c r="U1007">
        <v>-78.183406000000005</v>
      </c>
    </row>
    <row r="1008" spans="1:21">
      <c r="A1008" t="s">
        <v>68</v>
      </c>
      <c r="B1008">
        <v>2019</v>
      </c>
      <c r="C1008">
        <v>12160.402</v>
      </c>
      <c r="D1008">
        <v>39290.000919999999</v>
      </c>
      <c r="E1008">
        <v>7.09</v>
      </c>
      <c r="F1008">
        <v>0</v>
      </c>
      <c r="G1008">
        <v>25.2</v>
      </c>
      <c r="H1008">
        <v>78.042730000000006</v>
      </c>
      <c r="I1008">
        <v>303.72000000000003</v>
      </c>
      <c r="J1008">
        <v>17.73</v>
      </c>
      <c r="K1008">
        <v>71</v>
      </c>
      <c r="L1008">
        <v>99.09</v>
      </c>
      <c r="M1008">
        <v>94.45</v>
      </c>
      <c r="N1008">
        <v>31.769020000000001</v>
      </c>
      <c r="O1008">
        <v>60120000</v>
      </c>
      <c r="P1008">
        <v>1.2105103000000001E-2</v>
      </c>
      <c r="Q1008">
        <v>6222.5246530000004</v>
      </c>
      <c r="R1008">
        <v>3.26</v>
      </c>
      <c r="S1008">
        <v>283561</v>
      </c>
      <c r="T1008">
        <v>-1.8312390000000001</v>
      </c>
      <c r="U1008">
        <v>-78.183406000000005</v>
      </c>
    </row>
    <row r="1009" spans="1:21">
      <c r="A1009" t="s">
        <v>68</v>
      </c>
      <c r="B1009">
        <v>2020</v>
      </c>
      <c r="C1009">
        <v>10374.727000000001</v>
      </c>
      <c r="E1009">
        <v>6.45</v>
      </c>
      <c r="F1009">
        <v>0</v>
      </c>
      <c r="G1009">
        <v>24.83</v>
      </c>
      <c r="H1009">
        <v>79.37979</v>
      </c>
      <c r="I1009">
        <v>300.29000000000002</v>
      </c>
      <c r="K1009">
        <v>71</v>
      </c>
      <c r="L1009">
        <v>98.85</v>
      </c>
      <c r="M1009">
        <v>94.3</v>
      </c>
      <c r="N1009">
        <v>36.035774000000004</v>
      </c>
      <c r="P1009">
        <v>-7.7501233770000004</v>
      </c>
      <c r="Q1009">
        <v>5600.389615</v>
      </c>
      <c r="S1009">
        <v>283561</v>
      </c>
      <c r="T1009">
        <v>-1.8312390000000001</v>
      </c>
      <c r="U1009">
        <v>-78.183406000000005</v>
      </c>
    </row>
    <row r="1010" spans="1:21">
      <c r="A1010" t="s">
        <v>69</v>
      </c>
      <c r="B1010">
        <v>2000</v>
      </c>
      <c r="C1010">
        <v>7965.8477000000003</v>
      </c>
      <c r="E1010">
        <v>60.77</v>
      </c>
      <c r="F1010">
        <v>0</v>
      </c>
      <c r="G1010">
        <v>13.7</v>
      </c>
      <c r="H1010">
        <v>18.39667</v>
      </c>
      <c r="I1010">
        <v>42.53</v>
      </c>
      <c r="J1010">
        <v>8.26</v>
      </c>
      <c r="K1010">
        <v>103</v>
      </c>
      <c r="L1010">
        <v>97.7</v>
      </c>
      <c r="M1010">
        <v>83.5</v>
      </c>
      <c r="N1010">
        <v>7.4160680000000001</v>
      </c>
      <c r="O1010">
        <v>10780000</v>
      </c>
      <c r="R1010">
        <v>3.27</v>
      </c>
      <c r="S1010">
        <v>1001450</v>
      </c>
      <c r="T1010">
        <v>26.820553</v>
      </c>
      <c r="U1010">
        <v>30.802498</v>
      </c>
    </row>
    <row r="1011" spans="1:21">
      <c r="A1011" t="s">
        <v>69</v>
      </c>
      <c r="B1011">
        <v>2001</v>
      </c>
      <c r="C1011">
        <v>8143.8459999999995</v>
      </c>
      <c r="E1011">
        <v>64.17</v>
      </c>
      <c r="F1011">
        <v>0</v>
      </c>
      <c r="G1011">
        <v>15.2</v>
      </c>
      <c r="H1011">
        <v>19.150811999999998</v>
      </c>
      <c r="I1011">
        <v>41.73</v>
      </c>
      <c r="J1011">
        <v>7.82</v>
      </c>
      <c r="K1011">
        <v>103</v>
      </c>
      <c r="L1011">
        <v>97.344080000000005</v>
      </c>
      <c r="M1011">
        <v>86.7</v>
      </c>
      <c r="N1011">
        <v>7.2259089999999997</v>
      </c>
      <c r="O1011">
        <v>31600000</v>
      </c>
      <c r="R1011">
        <v>3.59</v>
      </c>
      <c r="S1011">
        <v>1001450</v>
      </c>
      <c r="T1011">
        <v>26.820553</v>
      </c>
      <c r="U1011">
        <v>30.802498</v>
      </c>
    </row>
    <row r="1012" spans="1:21">
      <c r="A1012" t="s">
        <v>69</v>
      </c>
      <c r="B1012">
        <v>2002</v>
      </c>
      <c r="C1012">
        <v>8202.89</v>
      </c>
      <c r="E1012">
        <v>71.88</v>
      </c>
      <c r="F1012">
        <v>0</v>
      </c>
      <c r="G1012">
        <v>12.93</v>
      </c>
      <c r="H1012">
        <v>15.245844</v>
      </c>
      <c r="I1012">
        <v>40.950000000000003</v>
      </c>
      <c r="J1012">
        <v>7.35</v>
      </c>
      <c r="K1012">
        <v>103</v>
      </c>
      <c r="L1012">
        <v>97.536180000000002</v>
      </c>
      <c r="M1012">
        <v>89.4</v>
      </c>
      <c r="N1012">
        <v>6.795776</v>
      </c>
      <c r="O1012">
        <v>530000</v>
      </c>
      <c r="R1012">
        <v>3.59</v>
      </c>
      <c r="S1012">
        <v>1001450</v>
      </c>
      <c r="T1012">
        <v>26.820553</v>
      </c>
      <c r="U1012">
        <v>30.802498</v>
      </c>
    </row>
    <row r="1013" spans="1:21">
      <c r="A1013" t="s">
        <v>69</v>
      </c>
      <c r="B1013">
        <v>2003</v>
      </c>
      <c r="C1013">
        <v>8503.9930000000004</v>
      </c>
      <c r="E1013">
        <v>77.22</v>
      </c>
      <c r="F1013">
        <v>0</v>
      </c>
      <c r="G1013">
        <v>13.26</v>
      </c>
      <c r="H1013">
        <v>14.655170999999999</v>
      </c>
      <c r="I1013">
        <v>40.21</v>
      </c>
      <c r="J1013">
        <v>7.45</v>
      </c>
      <c r="K1013">
        <v>103</v>
      </c>
      <c r="L1013">
        <v>98.8</v>
      </c>
      <c r="M1013">
        <v>92</v>
      </c>
      <c r="N1013">
        <v>5.9376980000000001</v>
      </c>
      <c r="O1013">
        <v>209660000</v>
      </c>
      <c r="R1013">
        <v>3.62</v>
      </c>
      <c r="S1013">
        <v>1001450</v>
      </c>
      <c r="T1013">
        <v>26.820553</v>
      </c>
      <c r="U1013">
        <v>30.802498</v>
      </c>
    </row>
    <row r="1014" spans="1:21">
      <c r="A1014" t="s">
        <v>69</v>
      </c>
      <c r="B1014">
        <v>2004</v>
      </c>
      <c r="C1014">
        <v>8798.1489999999994</v>
      </c>
      <c r="E1014">
        <v>83.17</v>
      </c>
      <c r="F1014">
        <v>0</v>
      </c>
      <c r="G1014">
        <v>13.04</v>
      </c>
      <c r="H1014">
        <v>13.553685</v>
      </c>
      <c r="I1014">
        <v>40.51</v>
      </c>
      <c r="J1014">
        <v>7.57</v>
      </c>
      <c r="K1014">
        <v>103</v>
      </c>
      <c r="L1014">
        <v>97.907030000000006</v>
      </c>
      <c r="M1014">
        <v>93.85</v>
      </c>
      <c r="N1014">
        <v>5.6346439999999998</v>
      </c>
      <c r="O1014">
        <v>47570000</v>
      </c>
      <c r="R1014">
        <v>3.79</v>
      </c>
      <c r="S1014">
        <v>1001450</v>
      </c>
      <c r="T1014">
        <v>26.820553</v>
      </c>
      <c r="U1014">
        <v>30.802498</v>
      </c>
    </row>
    <row r="1015" spans="1:21">
      <c r="A1015" t="s">
        <v>69</v>
      </c>
      <c r="B1015">
        <v>2005</v>
      </c>
      <c r="C1015">
        <v>8844.9429999999993</v>
      </c>
      <c r="E1015">
        <v>90.09</v>
      </c>
      <c r="F1015">
        <v>0</v>
      </c>
      <c r="G1015">
        <v>13.07</v>
      </c>
      <c r="H1015">
        <v>12.669639</v>
      </c>
      <c r="I1015">
        <v>39.78</v>
      </c>
      <c r="J1015">
        <v>6.48</v>
      </c>
      <c r="K1015">
        <v>103</v>
      </c>
      <c r="L1015">
        <v>99.4</v>
      </c>
      <c r="M1015">
        <v>95.5</v>
      </c>
      <c r="N1015">
        <v>5.3857059999999999</v>
      </c>
      <c r="O1015">
        <v>102760000</v>
      </c>
      <c r="R1015">
        <v>4.17</v>
      </c>
      <c r="S1015">
        <v>1001450</v>
      </c>
      <c r="T1015">
        <v>26.820553</v>
      </c>
      <c r="U1015">
        <v>30.802498</v>
      </c>
    </row>
    <row r="1016" spans="1:21">
      <c r="A1016" t="s">
        <v>69</v>
      </c>
      <c r="B1016">
        <v>2006</v>
      </c>
      <c r="C1016">
        <v>9136.1450000000004</v>
      </c>
      <c r="E1016">
        <v>96.08</v>
      </c>
      <c r="F1016">
        <v>0</v>
      </c>
      <c r="G1016">
        <v>13.42</v>
      </c>
      <c r="H1016">
        <v>12.255708</v>
      </c>
      <c r="I1016">
        <v>40.19</v>
      </c>
      <c r="J1016">
        <v>6.22</v>
      </c>
      <c r="K1016">
        <v>103</v>
      </c>
      <c r="L1016">
        <v>99.04</v>
      </c>
      <c r="M1016">
        <v>96.7</v>
      </c>
      <c r="N1016">
        <v>5.1723137000000001</v>
      </c>
      <c r="O1016">
        <v>500000</v>
      </c>
      <c r="R1016">
        <v>4.12</v>
      </c>
      <c r="S1016">
        <v>1001450</v>
      </c>
      <c r="T1016">
        <v>26.820553</v>
      </c>
      <c r="U1016">
        <v>30.802498</v>
      </c>
    </row>
    <row r="1017" spans="1:21">
      <c r="A1017" t="s">
        <v>69</v>
      </c>
      <c r="B1017">
        <v>2007</v>
      </c>
      <c r="C1017">
        <v>9542.5830000000005</v>
      </c>
      <c r="E1017">
        <v>102.6</v>
      </c>
      <c r="F1017">
        <v>0</v>
      </c>
      <c r="G1017">
        <v>16.18</v>
      </c>
      <c r="H1017">
        <v>13.621822</v>
      </c>
      <c r="I1017">
        <v>40.51</v>
      </c>
      <c r="J1017">
        <v>6.05</v>
      </c>
      <c r="K1017">
        <v>103</v>
      </c>
      <c r="L1017">
        <v>98.465630000000004</v>
      </c>
      <c r="M1017">
        <v>97.6</v>
      </c>
      <c r="N1017">
        <v>5.3631554000000001</v>
      </c>
      <c r="O1017">
        <v>97280000</v>
      </c>
      <c r="R1017">
        <v>4.1100000000000003</v>
      </c>
      <c r="S1017">
        <v>1001450</v>
      </c>
      <c r="T1017">
        <v>26.820553</v>
      </c>
      <c r="U1017">
        <v>30.802498</v>
      </c>
    </row>
    <row r="1018" spans="1:21">
      <c r="A1018" t="s">
        <v>69</v>
      </c>
      <c r="B1018">
        <v>2008</v>
      </c>
      <c r="C1018">
        <v>9921.1669999999995</v>
      </c>
      <c r="E1018">
        <v>108.85</v>
      </c>
      <c r="F1018">
        <v>0</v>
      </c>
      <c r="G1018">
        <v>15.44</v>
      </c>
      <c r="H1018">
        <v>12.422560000000001</v>
      </c>
      <c r="I1018">
        <v>40.97</v>
      </c>
      <c r="J1018">
        <v>6.17</v>
      </c>
      <c r="K1018">
        <v>103</v>
      </c>
      <c r="L1018">
        <v>99.8</v>
      </c>
      <c r="M1018">
        <v>98.2</v>
      </c>
      <c r="N1018">
        <v>5.414237</v>
      </c>
      <c r="O1018">
        <v>85760000</v>
      </c>
      <c r="R1018">
        <v>3.97</v>
      </c>
      <c r="S1018">
        <v>1001450</v>
      </c>
      <c r="T1018">
        <v>26.820553</v>
      </c>
      <c r="U1018">
        <v>30.802498</v>
      </c>
    </row>
    <row r="1019" spans="1:21">
      <c r="A1019" t="s">
        <v>69</v>
      </c>
      <c r="B1019">
        <v>2009</v>
      </c>
      <c r="C1019">
        <v>10077.901</v>
      </c>
      <c r="E1019">
        <v>117.81</v>
      </c>
      <c r="F1019">
        <v>0</v>
      </c>
      <c r="G1019">
        <v>13.86</v>
      </c>
      <c r="H1019">
        <v>10.526316</v>
      </c>
      <c r="I1019">
        <v>40.78</v>
      </c>
      <c r="J1019">
        <v>5.9</v>
      </c>
      <c r="K1019">
        <v>103</v>
      </c>
      <c r="L1019">
        <v>98.869709999999998</v>
      </c>
      <c r="M1019">
        <v>98.8</v>
      </c>
      <c r="N1019">
        <v>4.8005950000000004</v>
      </c>
      <c r="O1019">
        <v>257900000</v>
      </c>
      <c r="R1019">
        <v>3.88</v>
      </c>
      <c r="S1019">
        <v>1001450</v>
      </c>
      <c r="T1019">
        <v>26.820553</v>
      </c>
      <c r="U1019">
        <v>30.802498</v>
      </c>
    </row>
    <row r="1020" spans="1:21">
      <c r="A1020" t="s">
        <v>69</v>
      </c>
      <c r="B1020">
        <v>2010</v>
      </c>
      <c r="C1020">
        <v>10258.876</v>
      </c>
      <c r="E1020">
        <v>145.66</v>
      </c>
      <c r="F1020">
        <v>0</v>
      </c>
      <c r="G1020">
        <v>14.63</v>
      </c>
      <c r="H1020">
        <v>9.1272079999999995</v>
      </c>
      <c r="I1020">
        <v>41.53</v>
      </c>
      <c r="J1020">
        <v>5.57</v>
      </c>
      <c r="K1020">
        <v>103</v>
      </c>
      <c r="L1020">
        <v>99.394553999999999</v>
      </c>
      <c r="M1020">
        <v>99.1</v>
      </c>
      <c r="N1020">
        <v>4.4617190000000004</v>
      </c>
      <c r="O1020">
        <v>1025120000</v>
      </c>
      <c r="R1020">
        <v>3.66</v>
      </c>
      <c r="S1020">
        <v>1001450</v>
      </c>
      <c r="T1020">
        <v>26.820553</v>
      </c>
      <c r="U1020">
        <v>30.802498</v>
      </c>
    </row>
    <row r="1021" spans="1:21">
      <c r="A1021" t="s">
        <v>69</v>
      </c>
      <c r="B1021">
        <v>2011</v>
      </c>
      <c r="C1021">
        <v>10516.575999999999</v>
      </c>
      <c r="E1021">
        <v>142.53</v>
      </c>
      <c r="F1021">
        <v>0</v>
      </c>
      <c r="G1021">
        <v>14.55</v>
      </c>
      <c r="H1021">
        <v>9.2627950000000006</v>
      </c>
      <c r="I1021">
        <v>40.9</v>
      </c>
      <c r="J1021">
        <v>5.53</v>
      </c>
      <c r="K1021">
        <v>103</v>
      </c>
      <c r="L1021">
        <v>99.452160000000006</v>
      </c>
      <c r="M1021">
        <v>99.4</v>
      </c>
      <c r="N1021">
        <v>4.3315444000000003</v>
      </c>
      <c r="O1021">
        <v>118940000</v>
      </c>
      <c r="R1021">
        <v>3.77</v>
      </c>
      <c r="S1021">
        <v>1001450</v>
      </c>
      <c r="T1021">
        <v>26.820553</v>
      </c>
      <c r="U1021">
        <v>30.802498</v>
      </c>
    </row>
    <row r="1022" spans="1:21">
      <c r="A1022" t="s">
        <v>69</v>
      </c>
      <c r="B1022">
        <v>2012</v>
      </c>
      <c r="C1022">
        <v>10688.419</v>
      </c>
      <c r="E1022">
        <v>150.04</v>
      </c>
      <c r="F1022">
        <v>0</v>
      </c>
      <c r="G1022">
        <v>14.35</v>
      </c>
      <c r="H1022">
        <v>8.729241</v>
      </c>
      <c r="I1022">
        <v>40</v>
      </c>
      <c r="J1022">
        <v>5.5</v>
      </c>
      <c r="K1022">
        <v>103</v>
      </c>
      <c r="L1022">
        <v>99.7</v>
      </c>
      <c r="M1022">
        <v>99.55</v>
      </c>
      <c r="N1022">
        <v>4.1802897000000003</v>
      </c>
      <c r="O1022">
        <v>14920000</v>
      </c>
      <c r="R1022">
        <v>3.8</v>
      </c>
      <c r="S1022">
        <v>1001450</v>
      </c>
      <c r="T1022">
        <v>26.820553</v>
      </c>
      <c r="U1022">
        <v>30.802498</v>
      </c>
    </row>
    <row r="1023" spans="1:21">
      <c r="A1023" t="s">
        <v>69</v>
      </c>
      <c r="B1023">
        <v>2013</v>
      </c>
      <c r="C1023">
        <v>10368.022000000001</v>
      </c>
      <c r="E1023">
        <v>153.57</v>
      </c>
      <c r="F1023">
        <v>0</v>
      </c>
      <c r="G1023">
        <v>14.66</v>
      </c>
      <c r="H1023">
        <v>8.7142599999999995</v>
      </c>
      <c r="I1023">
        <v>39.1</v>
      </c>
      <c r="J1023">
        <v>5.49</v>
      </c>
      <c r="K1023">
        <v>103</v>
      </c>
      <c r="L1023">
        <v>99.850390000000004</v>
      </c>
      <c r="M1023">
        <v>99.7</v>
      </c>
      <c r="N1023">
        <v>4.1771846000000004</v>
      </c>
      <c r="O1023">
        <v>159850000</v>
      </c>
      <c r="R1023">
        <v>3.62</v>
      </c>
      <c r="S1023">
        <v>1001450</v>
      </c>
      <c r="T1023">
        <v>26.820553</v>
      </c>
      <c r="U1023">
        <v>30.802498</v>
      </c>
    </row>
    <row r="1024" spans="1:21">
      <c r="A1024" t="s">
        <v>69</v>
      </c>
      <c r="B1024">
        <v>2014</v>
      </c>
      <c r="C1024">
        <v>9999.6180000000004</v>
      </c>
      <c r="E1024">
        <v>159.93</v>
      </c>
      <c r="F1024">
        <v>0</v>
      </c>
      <c r="G1024">
        <v>15.36</v>
      </c>
      <c r="H1024">
        <v>8.7626220000000004</v>
      </c>
      <c r="I1024">
        <v>38.229999999999997</v>
      </c>
      <c r="J1024">
        <v>5.59</v>
      </c>
      <c r="K1024">
        <v>103</v>
      </c>
      <c r="L1024">
        <v>99.8</v>
      </c>
      <c r="M1024">
        <v>99.8</v>
      </c>
      <c r="N1024">
        <v>4.1816525000000002</v>
      </c>
      <c r="O1024">
        <v>80000</v>
      </c>
      <c r="R1024">
        <v>3.63</v>
      </c>
      <c r="S1024">
        <v>1001450</v>
      </c>
      <c r="T1024">
        <v>26.820553</v>
      </c>
      <c r="U1024">
        <v>30.802498</v>
      </c>
    </row>
    <row r="1025" spans="1:21">
      <c r="A1025" t="s">
        <v>69</v>
      </c>
      <c r="B1025">
        <v>2015</v>
      </c>
      <c r="C1025">
        <v>9943.5400000000009</v>
      </c>
      <c r="E1025">
        <v>170.68</v>
      </c>
      <c r="F1025">
        <v>0</v>
      </c>
      <c r="G1025">
        <v>15.64</v>
      </c>
      <c r="H1025">
        <v>8.3941599999999994</v>
      </c>
      <c r="I1025">
        <v>39.67</v>
      </c>
      <c r="J1025">
        <v>5.45</v>
      </c>
      <c r="K1025">
        <v>103</v>
      </c>
      <c r="L1025">
        <v>99.3</v>
      </c>
      <c r="M1025">
        <v>99.8</v>
      </c>
      <c r="N1025">
        <v>4.3288529999999996</v>
      </c>
      <c r="O1025">
        <v>239160000</v>
      </c>
      <c r="R1025">
        <v>3.46</v>
      </c>
      <c r="S1025">
        <v>1001450</v>
      </c>
      <c r="T1025">
        <v>26.820553</v>
      </c>
      <c r="U1025">
        <v>30.802498</v>
      </c>
    </row>
    <row r="1026" spans="1:21">
      <c r="A1026" t="s">
        <v>69</v>
      </c>
      <c r="B1026">
        <v>2016</v>
      </c>
      <c r="C1026">
        <v>10278.023999999999</v>
      </c>
      <c r="E1026">
        <v>174.07</v>
      </c>
      <c r="F1026">
        <v>0</v>
      </c>
      <c r="G1026">
        <v>15.5</v>
      </c>
      <c r="H1026">
        <v>8.176399</v>
      </c>
      <c r="I1026">
        <v>38.97</v>
      </c>
      <c r="J1026">
        <v>5.31</v>
      </c>
      <c r="K1026">
        <v>103</v>
      </c>
      <c r="L1026">
        <v>100</v>
      </c>
      <c r="M1026">
        <v>99.8</v>
      </c>
      <c r="N1026">
        <v>4.1314679999999999</v>
      </c>
      <c r="O1026">
        <v>312350000</v>
      </c>
      <c r="R1026">
        <v>3.64</v>
      </c>
      <c r="S1026">
        <v>1001450</v>
      </c>
      <c r="T1026">
        <v>26.820553</v>
      </c>
      <c r="U1026">
        <v>30.802498</v>
      </c>
    </row>
    <row r="1027" spans="1:21">
      <c r="A1027" t="s">
        <v>69</v>
      </c>
      <c r="B1027">
        <v>2017</v>
      </c>
      <c r="C1027">
        <v>10471.645500000001</v>
      </c>
      <c r="E1027">
        <v>181.31</v>
      </c>
      <c r="F1027">
        <v>0</v>
      </c>
      <c r="G1027">
        <v>15.53</v>
      </c>
      <c r="H1027">
        <v>7.8896565000000001</v>
      </c>
      <c r="I1027">
        <v>39.42</v>
      </c>
      <c r="J1027">
        <v>5.0999999999999996</v>
      </c>
      <c r="K1027">
        <v>103</v>
      </c>
      <c r="L1027">
        <v>100</v>
      </c>
      <c r="M1027">
        <v>99.9</v>
      </c>
      <c r="N1027">
        <v>3.8699905999999999</v>
      </c>
      <c r="O1027">
        <v>2070240000</v>
      </c>
      <c r="R1027">
        <v>3.67</v>
      </c>
      <c r="S1027">
        <v>1001450</v>
      </c>
      <c r="T1027">
        <v>26.820553</v>
      </c>
      <c r="U1027">
        <v>30.802498</v>
      </c>
    </row>
    <row r="1028" spans="1:21">
      <c r="A1028" t="s">
        <v>69</v>
      </c>
      <c r="B1028">
        <v>2018</v>
      </c>
      <c r="C1028">
        <v>10286.718999999999</v>
      </c>
      <c r="E1028">
        <v>182.31</v>
      </c>
      <c r="F1028">
        <v>0</v>
      </c>
      <c r="G1028">
        <v>17.309999999999999</v>
      </c>
      <c r="H1028">
        <v>8.6714760000000002</v>
      </c>
      <c r="I1028">
        <v>48.71</v>
      </c>
      <c r="J1028">
        <v>5.23</v>
      </c>
      <c r="K1028">
        <v>103</v>
      </c>
      <c r="L1028">
        <v>100</v>
      </c>
      <c r="M1028">
        <v>99.9</v>
      </c>
      <c r="N1028">
        <v>4.0554056000000003</v>
      </c>
      <c r="O1028">
        <v>124930000</v>
      </c>
      <c r="R1028">
        <v>3.59</v>
      </c>
      <c r="S1028">
        <v>1001450</v>
      </c>
      <c r="T1028">
        <v>26.820553</v>
      </c>
      <c r="U1028">
        <v>30.802498</v>
      </c>
    </row>
    <row r="1029" spans="1:21">
      <c r="A1029" t="s">
        <v>69</v>
      </c>
      <c r="B1029">
        <v>2019</v>
      </c>
      <c r="C1029">
        <v>9919.5439999999999</v>
      </c>
      <c r="E1029">
        <v>173.86</v>
      </c>
      <c r="F1029">
        <v>0</v>
      </c>
      <c r="G1029">
        <v>20.75</v>
      </c>
      <c r="H1029">
        <v>10.662350999999999</v>
      </c>
      <c r="I1029">
        <v>59.16</v>
      </c>
      <c r="J1029">
        <v>5.3</v>
      </c>
      <c r="K1029">
        <v>103</v>
      </c>
      <c r="L1029">
        <v>100</v>
      </c>
      <c r="M1029">
        <v>99.9</v>
      </c>
      <c r="N1029">
        <v>5.1698975999999996</v>
      </c>
      <c r="O1029">
        <v>340400000</v>
      </c>
      <c r="R1029">
        <v>3.41</v>
      </c>
      <c r="S1029">
        <v>1001450</v>
      </c>
      <c r="T1029">
        <v>26.820553</v>
      </c>
      <c r="U1029">
        <v>30.802498</v>
      </c>
    </row>
    <row r="1030" spans="1:21">
      <c r="A1030" t="s">
        <v>69</v>
      </c>
      <c r="B1030">
        <v>2020</v>
      </c>
      <c r="C1030">
        <v>9153.9889999999996</v>
      </c>
      <c r="E1030">
        <v>168.46</v>
      </c>
      <c r="F1030">
        <v>0</v>
      </c>
      <c r="G1030">
        <v>20.83</v>
      </c>
      <c r="H1030">
        <v>11.004279</v>
      </c>
      <c r="I1030">
        <v>58.35</v>
      </c>
      <c r="K1030">
        <v>103</v>
      </c>
      <c r="L1030">
        <v>100</v>
      </c>
      <c r="M1030">
        <v>99.9</v>
      </c>
      <c r="N1030">
        <v>6.5646240000000002</v>
      </c>
      <c r="S1030">
        <v>1001450</v>
      </c>
      <c r="T1030">
        <v>26.820553</v>
      </c>
      <c r="U1030">
        <v>30.802498</v>
      </c>
    </row>
    <row r="1031" spans="1:21">
      <c r="A1031" t="s">
        <v>70</v>
      </c>
      <c r="B1031">
        <v>2000</v>
      </c>
      <c r="C1031">
        <v>4934.59</v>
      </c>
      <c r="D1031">
        <v>5630</v>
      </c>
      <c r="E1031">
        <v>1.7</v>
      </c>
      <c r="F1031">
        <v>0</v>
      </c>
      <c r="G1031">
        <v>2.0299999999999998</v>
      </c>
      <c r="H1031">
        <v>54.423589999999997</v>
      </c>
      <c r="I1031">
        <v>97.82</v>
      </c>
      <c r="J1031">
        <v>33.51</v>
      </c>
      <c r="K1031">
        <v>313</v>
      </c>
      <c r="L1031">
        <v>84.51925</v>
      </c>
      <c r="M1031">
        <v>57.9</v>
      </c>
      <c r="P1031">
        <v>1.1279069770000001</v>
      </c>
      <c r="Q1031">
        <v>2001.540049</v>
      </c>
      <c r="R1031">
        <v>3.47</v>
      </c>
      <c r="S1031">
        <v>21041</v>
      </c>
      <c r="T1031">
        <v>13.794185000000001</v>
      </c>
      <c r="U1031">
        <v>-88.896529999999998</v>
      </c>
    </row>
    <row r="1032" spans="1:21">
      <c r="A1032" t="s">
        <v>70</v>
      </c>
      <c r="B1032">
        <v>2001</v>
      </c>
      <c r="C1032">
        <v>5098.6440000000002</v>
      </c>
      <c r="D1032">
        <v>5870</v>
      </c>
      <c r="E1032">
        <v>1.46</v>
      </c>
      <c r="F1032">
        <v>0</v>
      </c>
      <c r="G1032">
        <v>2.33</v>
      </c>
      <c r="H1032">
        <v>61.477573</v>
      </c>
      <c r="I1032">
        <v>107.65</v>
      </c>
      <c r="J1032">
        <v>33.11</v>
      </c>
      <c r="K1032">
        <v>313</v>
      </c>
      <c r="L1032">
        <v>87.063829999999996</v>
      </c>
      <c r="M1032">
        <v>59.95</v>
      </c>
      <c r="P1032">
        <v>0.87961365999999996</v>
      </c>
      <c r="Q1032">
        <v>2072.3015909999999</v>
      </c>
      <c r="R1032">
        <v>3.65</v>
      </c>
      <c r="S1032">
        <v>21041</v>
      </c>
      <c r="T1032">
        <v>13.794185000000001</v>
      </c>
      <c r="U1032">
        <v>-88.896529999999998</v>
      </c>
    </row>
    <row r="1033" spans="1:21">
      <c r="A1033" t="s">
        <v>70</v>
      </c>
      <c r="B1033">
        <v>2002</v>
      </c>
      <c r="C1033">
        <v>5202.2905000000001</v>
      </c>
      <c r="D1033">
        <v>5940.0000570000002</v>
      </c>
      <c r="E1033">
        <v>1.57</v>
      </c>
      <c r="F1033">
        <v>0</v>
      </c>
      <c r="G1033">
        <v>2.4</v>
      </c>
      <c r="H1033">
        <v>60.453403000000002</v>
      </c>
      <c r="I1033">
        <v>110.29</v>
      </c>
      <c r="J1033">
        <v>34.020000000000003</v>
      </c>
      <c r="K1033">
        <v>313</v>
      </c>
      <c r="L1033">
        <v>87.549059999999997</v>
      </c>
      <c r="M1033">
        <v>62</v>
      </c>
      <c r="P1033">
        <v>1.572918448</v>
      </c>
      <c r="Q1033">
        <v>2124.1018199999999</v>
      </c>
      <c r="R1033">
        <v>3.69</v>
      </c>
      <c r="S1033">
        <v>21041</v>
      </c>
      <c r="T1033">
        <v>13.794185000000001</v>
      </c>
      <c r="U1033">
        <v>-88.896529999999998</v>
      </c>
    </row>
    <row r="1034" spans="1:21">
      <c r="A1034" t="s">
        <v>70</v>
      </c>
      <c r="B1034">
        <v>2003</v>
      </c>
      <c r="C1034">
        <v>5536.21</v>
      </c>
      <c r="D1034">
        <v>6510.0002290000002</v>
      </c>
      <c r="E1034">
        <v>1.46</v>
      </c>
      <c r="F1034">
        <v>0</v>
      </c>
      <c r="G1034">
        <v>2.81</v>
      </c>
      <c r="H1034">
        <v>65.807959999999994</v>
      </c>
      <c r="I1034">
        <v>117.44</v>
      </c>
      <c r="J1034">
        <v>33.85</v>
      </c>
      <c r="K1034">
        <v>313</v>
      </c>
      <c r="L1034">
        <v>86.961150000000004</v>
      </c>
      <c r="M1034">
        <v>63.9</v>
      </c>
      <c r="P1034">
        <v>1.5653930309999999</v>
      </c>
      <c r="Q1034">
        <v>2209.497245</v>
      </c>
      <c r="R1034">
        <v>3.9</v>
      </c>
      <c r="S1034">
        <v>21041</v>
      </c>
      <c r="T1034">
        <v>13.794185000000001</v>
      </c>
      <c r="U1034">
        <v>-88.896529999999998</v>
      </c>
    </row>
    <row r="1035" spans="1:21">
      <c r="A1035" t="s">
        <v>70</v>
      </c>
      <c r="B1035">
        <v>2004</v>
      </c>
      <c r="C1035">
        <v>5513.2592999999997</v>
      </c>
      <c r="D1035">
        <v>6679.999828</v>
      </c>
      <c r="E1035">
        <v>1.61</v>
      </c>
      <c r="F1035">
        <v>0</v>
      </c>
      <c r="G1035">
        <v>2.73</v>
      </c>
      <c r="H1035">
        <v>62.903224999999999</v>
      </c>
      <c r="I1035">
        <v>114.54</v>
      </c>
      <c r="J1035">
        <v>33.33</v>
      </c>
      <c r="K1035">
        <v>313</v>
      </c>
      <c r="L1035">
        <v>87.357050000000001</v>
      </c>
      <c r="M1035">
        <v>65.8</v>
      </c>
      <c r="O1035">
        <v>1300000</v>
      </c>
      <c r="P1035">
        <v>0.88940448599999999</v>
      </c>
      <c r="Q1035">
        <v>2278.4303300000001</v>
      </c>
      <c r="R1035">
        <v>3.9</v>
      </c>
      <c r="S1035">
        <v>21041</v>
      </c>
      <c r="T1035">
        <v>13.794185000000001</v>
      </c>
      <c r="U1035">
        <v>-88.896529999999998</v>
      </c>
    </row>
    <row r="1036" spans="1:21">
      <c r="A1036" t="s">
        <v>70</v>
      </c>
      <c r="B1036">
        <v>2005</v>
      </c>
      <c r="C1036">
        <v>5701.8530000000001</v>
      </c>
      <c r="D1036">
        <v>6840.000153</v>
      </c>
      <c r="E1036">
        <v>1.64</v>
      </c>
      <c r="F1036">
        <v>0</v>
      </c>
      <c r="G1036">
        <v>3.07</v>
      </c>
      <c r="H1036">
        <v>65.180465999999996</v>
      </c>
      <c r="I1036">
        <v>118.97</v>
      </c>
      <c r="J1036">
        <v>34.08</v>
      </c>
      <c r="K1036">
        <v>313</v>
      </c>
      <c r="L1036">
        <v>87.525840000000002</v>
      </c>
      <c r="M1036">
        <v>67.7</v>
      </c>
      <c r="P1036">
        <v>2.7103980729999999</v>
      </c>
      <c r="Q1036">
        <v>2428.5688789999999</v>
      </c>
      <c r="R1036">
        <v>3.89</v>
      </c>
      <c r="S1036">
        <v>21041</v>
      </c>
      <c r="T1036">
        <v>13.794185000000001</v>
      </c>
      <c r="U1036">
        <v>-88.896529999999998</v>
      </c>
    </row>
    <row r="1037" spans="1:21">
      <c r="A1037" t="s">
        <v>70</v>
      </c>
      <c r="B1037">
        <v>2006</v>
      </c>
      <c r="C1037">
        <v>6029.8819999999996</v>
      </c>
      <c r="D1037">
        <v>7239.9997709999998</v>
      </c>
      <c r="E1037">
        <v>2.11</v>
      </c>
      <c r="F1037">
        <v>0</v>
      </c>
      <c r="G1037">
        <v>3.49</v>
      </c>
      <c r="H1037">
        <v>62.321429999999999</v>
      </c>
      <c r="I1037">
        <v>120.36</v>
      </c>
      <c r="J1037">
        <v>34.76</v>
      </c>
      <c r="K1037">
        <v>313</v>
      </c>
      <c r="L1037">
        <v>89.20147</v>
      </c>
      <c r="M1037">
        <v>69.400000000000006</v>
      </c>
      <c r="O1037">
        <v>0</v>
      </c>
      <c r="P1037">
        <v>4.3448128800000001</v>
      </c>
      <c r="Q1037">
        <v>2631.8227390000002</v>
      </c>
      <c r="R1037">
        <v>3.98</v>
      </c>
      <c r="S1037">
        <v>21041</v>
      </c>
      <c r="T1037">
        <v>13.794185000000001</v>
      </c>
      <c r="U1037">
        <v>-88.896529999999998</v>
      </c>
    </row>
    <row r="1038" spans="1:21">
      <c r="A1038" t="s">
        <v>70</v>
      </c>
      <c r="B1038">
        <v>2007</v>
      </c>
      <c r="C1038">
        <v>6277.0609999999997</v>
      </c>
      <c r="D1038">
        <v>7630.0001140000004</v>
      </c>
      <c r="E1038">
        <v>2.21</v>
      </c>
      <c r="F1038">
        <v>0</v>
      </c>
      <c r="G1038">
        <v>3.51</v>
      </c>
      <c r="H1038">
        <v>61.363639999999997</v>
      </c>
      <c r="I1038">
        <v>131.44999999999999</v>
      </c>
      <c r="J1038">
        <v>28.24</v>
      </c>
      <c r="K1038">
        <v>313</v>
      </c>
      <c r="L1038">
        <v>91.109560000000002</v>
      </c>
      <c r="M1038">
        <v>71.400000000000006</v>
      </c>
      <c r="O1038">
        <v>250000</v>
      </c>
      <c r="P1038">
        <v>1.859704695</v>
      </c>
      <c r="Q1038">
        <v>2786.1577739999998</v>
      </c>
      <c r="R1038">
        <v>3.95</v>
      </c>
      <c r="S1038">
        <v>21041</v>
      </c>
      <c r="T1038">
        <v>13.794185000000001</v>
      </c>
      <c r="U1038">
        <v>-88.896529999999998</v>
      </c>
    </row>
    <row r="1039" spans="1:21">
      <c r="A1039" t="s">
        <v>70</v>
      </c>
      <c r="B1039">
        <v>2008</v>
      </c>
      <c r="C1039">
        <v>6136.0747000000001</v>
      </c>
      <c r="D1039">
        <v>6909.999847</v>
      </c>
      <c r="E1039">
        <v>2.08</v>
      </c>
      <c r="F1039">
        <v>0</v>
      </c>
      <c r="G1039">
        <v>3.91</v>
      </c>
      <c r="H1039">
        <v>65.275459999999995</v>
      </c>
      <c r="I1039">
        <v>130.41</v>
      </c>
      <c r="J1039">
        <v>31.5</v>
      </c>
      <c r="K1039">
        <v>313</v>
      </c>
      <c r="L1039">
        <v>91.000230000000002</v>
      </c>
      <c r="M1039">
        <v>73.099999999999994</v>
      </c>
      <c r="O1039">
        <v>20000</v>
      </c>
      <c r="P1039">
        <v>2.1266991019999999</v>
      </c>
      <c r="Q1039">
        <v>2933.3942400000001</v>
      </c>
      <c r="R1039">
        <v>3.91</v>
      </c>
      <c r="S1039">
        <v>21041</v>
      </c>
      <c r="T1039">
        <v>13.794185000000001</v>
      </c>
      <c r="U1039">
        <v>-88.896529999999998</v>
      </c>
    </row>
    <row r="1040" spans="1:21">
      <c r="A1040" t="s">
        <v>70</v>
      </c>
      <c r="B1040">
        <v>2009</v>
      </c>
      <c r="C1040">
        <v>5893.16</v>
      </c>
      <c r="D1040">
        <v>6679.999828</v>
      </c>
      <c r="E1040">
        <v>2.38</v>
      </c>
      <c r="F1040">
        <v>0</v>
      </c>
      <c r="G1040">
        <v>3.47</v>
      </c>
      <c r="H1040">
        <v>59.316240000000001</v>
      </c>
      <c r="I1040">
        <v>133.03</v>
      </c>
      <c r="J1040">
        <v>32.200000000000003</v>
      </c>
      <c r="K1040">
        <v>313</v>
      </c>
      <c r="L1040">
        <v>91.084019999999995</v>
      </c>
      <c r="M1040">
        <v>75.099999999999994</v>
      </c>
      <c r="O1040">
        <v>100000</v>
      </c>
      <c r="P1040">
        <v>-2.087323805</v>
      </c>
      <c r="Q1040">
        <v>2858.4833440000002</v>
      </c>
      <c r="R1040">
        <v>3.93</v>
      </c>
      <c r="S1040">
        <v>21041</v>
      </c>
      <c r="T1040">
        <v>13.794185000000001</v>
      </c>
      <c r="U1040">
        <v>-88.896529999999998</v>
      </c>
    </row>
    <row r="1041" spans="1:21">
      <c r="A1041" t="s">
        <v>70</v>
      </c>
      <c r="B1041">
        <v>2010</v>
      </c>
      <c r="C1041">
        <v>6082.8459999999995</v>
      </c>
      <c r="D1041">
        <v>6539.9999619999999</v>
      </c>
      <c r="E1041">
        <v>2</v>
      </c>
      <c r="F1041">
        <v>0</v>
      </c>
      <c r="G1041">
        <v>3.97</v>
      </c>
      <c r="H1041">
        <v>66.499170000000007</v>
      </c>
      <c r="I1041">
        <v>132.59</v>
      </c>
      <c r="J1041">
        <v>32.619999999999997</v>
      </c>
      <c r="K1041">
        <v>313</v>
      </c>
      <c r="L1041">
        <v>91.580240000000003</v>
      </c>
      <c r="M1041">
        <v>76.8</v>
      </c>
      <c r="O1041">
        <v>90000</v>
      </c>
      <c r="P1041">
        <v>2.1067415729999999</v>
      </c>
      <c r="Q1041">
        <v>2983.2288060000001</v>
      </c>
      <c r="R1041">
        <v>3.91</v>
      </c>
      <c r="S1041">
        <v>21041</v>
      </c>
      <c r="T1041">
        <v>13.794185000000001</v>
      </c>
      <c r="U1041">
        <v>-88.896529999999998</v>
      </c>
    </row>
    <row r="1042" spans="1:21">
      <c r="A1042" t="s">
        <v>70</v>
      </c>
      <c r="B1042">
        <v>2011</v>
      </c>
      <c r="C1042">
        <v>6068.4242999999997</v>
      </c>
      <c r="D1042">
        <v>6780.0002100000002</v>
      </c>
      <c r="E1042">
        <v>1.97</v>
      </c>
      <c r="F1042">
        <v>0</v>
      </c>
      <c r="G1042">
        <v>4.12</v>
      </c>
      <c r="H1042">
        <v>67.651886000000005</v>
      </c>
      <c r="I1042">
        <v>143.66</v>
      </c>
      <c r="J1042">
        <v>29.52</v>
      </c>
      <c r="K1042">
        <v>313</v>
      </c>
      <c r="L1042">
        <v>92.574684000000005</v>
      </c>
      <c r="M1042">
        <v>78.7</v>
      </c>
      <c r="O1042">
        <v>960000</v>
      </c>
      <c r="P1042">
        <v>3.8170563959999999</v>
      </c>
      <c r="Q1042">
        <v>3266.0109779999998</v>
      </c>
      <c r="R1042">
        <v>3.75</v>
      </c>
      <c r="S1042">
        <v>21041</v>
      </c>
      <c r="T1042">
        <v>13.794185000000001</v>
      </c>
      <c r="U1042">
        <v>-88.896529999999998</v>
      </c>
    </row>
    <row r="1043" spans="1:21">
      <c r="A1043" t="s">
        <v>70</v>
      </c>
      <c r="B1043">
        <v>2012</v>
      </c>
      <c r="C1043">
        <v>6096.5063</v>
      </c>
      <c r="D1043">
        <v>6769.9999809999999</v>
      </c>
      <c r="E1043">
        <v>2.08</v>
      </c>
      <c r="F1043">
        <v>0</v>
      </c>
      <c r="G1043">
        <v>4.18</v>
      </c>
      <c r="H1043">
        <v>66.773155000000003</v>
      </c>
      <c r="I1043">
        <v>152.24</v>
      </c>
      <c r="J1043">
        <v>30.27</v>
      </c>
      <c r="K1043">
        <v>313</v>
      </c>
      <c r="L1043">
        <v>93.680570000000003</v>
      </c>
      <c r="M1043">
        <v>80.3</v>
      </c>
      <c r="O1043">
        <v>1440000</v>
      </c>
      <c r="P1043">
        <v>2.8155018219999999</v>
      </c>
      <c r="Q1043">
        <v>3428.4093320000002</v>
      </c>
      <c r="R1043">
        <v>3.71</v>
      </c>
      <c r="S1043">
        <v>21041</v>
      </c>
      <c r="T1043">
        <v>13.794185000000001</v>
      </c>
      <c r="U1043">
        <v>-88.896529999999998</v>
      </c>
    </row>
    <row r="1044" spans="1:21">
      <c r="A1044" t="s">
        <v>70</v>
      </c>
      <c r="B1044">
        <v>2013</v>
      </c>
      <c r="C1044">
        <v>5903.0893999999998</v>
      </c>
      <c r="D1044">
        <v>6460.0000380000001</v>
      </c>
      <c r="E1044">
        <v>2.15</v>
      </c>
      <c r="F1044">
        <v>0</v>
      </c>
      <c r="G1044">
        <v>4.12</v>
      </c>
      <c r="H1044">
        <v>65.709729999999993</v>
      </c>
      <c r="I1044">
        <v>155.46</v>
      </c>
      <c r="J1044">
        <v>27.54</v>
      </c>
      <c r="K1044">
        <v>313</v>
      </c>
      <c r="L1044">
        <v>95.043105999999995</v>
      </c>
      <c r="M1044">
        <v>82.1</v>
      </c>
      <c r="O1044">
        <v>54180000</v>
      </c>
      <c r="P1044">
        <v>2.2321428569999999</v>
      </c>
      <c r="Q1044">
        <v>3509.5265359999999</v>
      </c>
      <c r="R1044">
        <v>3.43</v>
      </c>
      <c r="S1044">
        <v>21041</v>
      </c>
      <c r="T1044">
        <v>13.794185000000001</v>
      </c>
      <c r="U1044">
        <v>-88.896529999999998</v>
      </c>
    </row>
    <row r="1045" spans="1:21">
      <c r="A1045" t="s">
        <v>70</v>
      </c>
      <c r="B1045">
        <v>2014</v>
      </c>
      <c r="C1045">
        <v>6015.0190000000002</v>
      </c>
      <c r="D1045">
        <v>6590.000153</v>
      </c>
      <c r="E1045">
        <v>2.1</v>
      </c>
      <c r="F1045">
        <v>0</v>
      </c>
      <c r="G1045">
        <v>4.1399999999999997</v>
      </c>
      <c r="H1045">
        <v>66.346149999999994</v>
      </c>
      <c r="I1045">
        <v>160.38999999999999</v>
      </c>
      <c r="J1045">
        <v>23.95</v>
      </c>
      <c r="K1045">
        <v>313</v>
      </c>
      <c r="L1045">
        <v>95.125420000000005</v>
      </c>
      <c r="M1045">
        <v>84</v>
      </c>
      <c r="O1045">
        <v>10000</v>
      </c>
      <c r="P1045">
        <v>1.7107099450000001</v>
      </c>
      <c r="Q1045">
        <v>3589.0428849999998</v>
      </c>
      <c r="R1045">
        <v>3.33</v>
      </c>
      <c r="S1045">
        <v>21041</v>
      </c>
      <c r="T1045">
        <v>13.794185000000001</v>
      </c>
      <c r="U1045">
        <v>-88.896529999999998</v>
      </c>
    </row>
    <row r="1046" spans="1:21">
      <c r="A1046" t="s">
        <v>70</v>
      </c>
      <c r="B1046">
        <v>2015</v>
      </c>
      <c r="C1046">
        <v>6200.1719999999996</v>
      </c>
      <c r="D1046">
        <v>7000</v>
      </c>
      <c r="E1046">
        <v>2.44</v>
      </c>
      <c r="F1046">
        <v>0</v>
      </c>
      <c r="G1046">
        <v>3.57</v>
      </c>
      <c r="H1046">
        <v>59.400996999999997</v>
      </c>
      <c r="I1046">
        <v>146.12</v>
      </c>
      <c r="J1046">
        <v>21.03</v>
      </c>
      <c r="K1046">
        <v>313</v>
      </c>
      <c r="L1046">
        <v>95.4</v>
      </c>
      <c r="M1046">
        <v>85.5</v>
      </c>
      <c r="O1046">
        <v>150500000</v>
      </c>
      <c r="P1046">
        <v>2.3989731330000001</v>
      </c>
      <c r="Q1046">
        <v>3705.5797040000002</v>
      </c>
      <c r="R1046">
        <v>3.39</v>
      </c>
      <c r="S1046">
        <v>21041</v>
      </c>
      <c r="T1046">
        <v>13.794185000000001</v>
      </c>
      <c r="U1046">
        <v>-88.896529999999998</v>
      </c>
    </row>
    <row r="1047" spans="1:21">
      <c r="A1047" t="s">
        <v>70</v>
      </c>
      <c r="B1047">
        <v>2016</v>
      </c>
      <c r="C1047">
        <v>6231.5946999999996</v>
      </c>
      <c r="D1047">
        <v>7170.0000760000003</v>
      </c>
      <c r="E1047">
        <v>2.34</v>
      </c>
      <c r="F1047">
        <v>0</v>
      </c>
      <c r="G1047">
        <v>3.68</v>
      </c>
      <c r="H1047">
        <v>61.129570000000001</v>
      </c>
      <c r="I1047">
        <v>154.53</v>
      </c>
      <c r="J1047">
        <v>20.71</v>
      </c>
      <c r="K1047">
        <v>313</v>
      </c>
      <c r="L1047">
        <v>96</v>
      </c>
      <c r="M1047">
        <v>86.9</v>
      </c>
      <c r="O1047">
        <v>67690000</v>
      </c>
      <c r="P1047">
        <v>2.5459260860000001</v>
      </c>
      <c r="Q1047">
        <v>3805.9956860000002</v>
      </c>
      <c r="R1047">
        <v>3.38</v>
      </c>
      <c r="S1047">
        <v>21041</v>
      </c>
      <c r="T1047">
        <v>13.794185000000001</v>
      </c>
      <c r="U1047">
        <v>-88.896529999999998</v>
      </c>
    </row>
    <row r="1048" spans="1:21">
      <c r="A1048" t="s">
        <v>70</v>
      </c>
      <c r="B1048">
        <v>2017</v>
      </c>
      <c r="C1048">
        <v>6173.1143000000002</v>
      </c>
      <c r="D1048">
        <v>6380.0001140000004</v>
      </c>
      <c r="E1048">
        <v>1.55</v>
      </c>
      <c r="F1048">
        <v>0</v>
      </c>
      <c r="G1048">
        <v>3.94</v>
      </c>
      <c r="H1048">
        <v>71.766850000000005</v>
      </c>
      <c r="I1048">
        <v>182.96</v>
      </c>
      <c r="J1048">
        <v>24.99</v>
      </c>
      <c r="K1048">
        <v>313</v>
      </c>
      <c r="L1048">
        <v>96.8</v>
      </c>
      <c r="M1048">
        <v>88.2</v>
      </c>
      <c r="O1048">
        <v>222340000</v>
      </c>
      <c r="P1048">
        <v>2.2466700390000001</v>
      </c>
      <c r="Q1048">
        <v>3910.2544029999999</v>
      </c>
      <c r="R1048">
        <v>3.25</v>
      </c>
      <c r="S1048">
        <v>21041</v>
      </c>
      <c r="T1048">
        <v>13.794185000000001</v>
      </c>
      <c r="U1048">
        <v>-88.896529999999998</v>
      </c>
    </row>
    <row r="1049" spans="1:21">
      <c r="A1049" t="s">
        <v>70</v>
      </c>
      <c r="B1049">
        <v>2018</v>
      </c>
      <c r="C1049">
        <v>6645.6760000000004</v>
      </c>
      <c r="D1049">
        <v>6809.9999429999998</v>
      </c>
      <c r="E1049">
        <v>1.38</v>
      </c>
      <c r="F1049">
        <v>0</v>
      </c>
      <c r="G1049">
        <v>3.95</v>
      </c>
      <c r="H1049">
        <v>74.108819999999994</v>
      </c>
      <c r="I1049">
        <v>199.49</v>
      </c>
      <c r="J1049">
        <v>23.21</v>
      </c>
      <c r="K1049">
        <v>313</v>
      </c>
      <c r="L1049">
        <v>97</v>
      </c>
      <c r="M1049">
        <v>89.4</v>
      </c>
      <c r="O1049">
        <v>31910000</v>
      </c>
      <c r="P1049">
        <v>2.4322875869999998</v>
      </c>
      <c r="Q1049">
        <v>4052.6247750000002</v>
      </c>
      <c r="R1049">
        <v>3.27</v>
      </c>
      <c r="S1049">
        <v>21041</v>
      </c>
      <c r="T1049">
        <v>13.794185000000001</v>
      </c>
      <c r="U1049">
        <v>-88.896529999999998</v>
      </c>
    </row>
    <row r="1050" spans="1:21">
      <c r="A1050" t="s">
        <v>70</v>
      </c>
      <c r="B1050">
        <v>2019</v>
      </c>
      <c r="C1050">
        <v>7271.5204999999996</v>
      </c>
      <c r="D1050">
        <v>7800.0001910000001</v>
      </c>
      <c r="E1050">
        <v>1.84</v>
      </c>
      <c r="F1050">
        <v>0</v>
      </c>
      <c r="G1050">
        <v>4.1500000000000004</v>
      </c>
      <c r="H1050">
        <v>69.282139999999998</v>
      </c>
      <c r="I1050">
        <v>230.3</v>
      </c>
      <c r="J1050">
        <v>19.39</v>
      </c>
      <c r="K1050">
        <v>313</v>
      </c>
      <c r="L1050">
        <v>97.36</v>
      </c>
      <c r="M1050">
        <v>90.75</v>
      </c>
      <c r="O1050">
        <v>1180000</v>
      </c>
      <c r="P1050">
        <v>2.3825813980000001</v>
      </c>
      <c r="Q1050">
        <v>4167.730939</v>
      </c>
      <c r="R1050">
        <v>3.37</v>
      </c>
      <c r="S1050">
        <v>21041</v>
      </c>
      <c r="T1050">
        <v>13.794185000000001</v>
      </c>
      <c r="U1050">
        <v>-88.896529999999998</v>
      </c>
    </row>
    <row r="1051" spans="1:21">
      <c r="A1051" t="s">
        <v>70</v>
      </c>
      <c r="B1051">
        <v>2020</v>
      </c>
      <c r="C1051">
        <v>6715.6080000000002</v>
      </c>
      <c r="E1051">
        <v>1.29</v>
      </c>
      <c r="F1051">
        <v>0</v>
      </c>
      <c r="G1051">
        <v>4.97</v>
      </c>
      <c r="H1051">
        <v>79.392970000000005</v>
      </c>
      <c r="I1051">
        <v>232.16</v>
      </c>
      <c r="K1051">
        <v>313</v>
      </c>
      <c r="L1051">
        <v>100</v>
      </c>
      <c r="M1051">
        <v>91.8</v>
      </c>
      <c r="P1051">
        <v>-8.5813121579999994</v>
      </c>
      <c r="Q1051">
        <v>3798.6365209999999</v>
      </c>
      <c r="S1051">
        <v>21041</v>
      </c>
      <c r="T1051">
        <v>13.794185000000001</v>
      </c>
      <c r="U1051">
        <v>-88.896529999999998</v>
      </c>
    </row>
    <row r="1052" spans="1:21">
      <c r="A1052" t="s">
        <v>71</v>
      </c>
      <c r="B1052">
        <v>2000</v>
      </c>
      <c r="C1052">
        <v>4751.2704999999996</v>
      </c>
      <c r="D1052">
        <v>2220</v>
      </c>
      <c r="E1052">
        <v>0.08</v>
      </c>
      <c r="F1052">
        <v>0</v>
      </c>
      <c r="G1052">
        <v>0.01</v>
      </c>
      <c r="H1052">
        <v>11.111110999999999</v>
      </c>
      <c r="I1052">
        <v>9.24</v>
      </c>
      <c r="J1052">
        <v>45.85</v>
      </c>
      <c r="K1052">
        <v>50</v>
      </c>
      <c r="L1052">
        <v>65.559560000000005</v>
      </c>
      <c r="M1052">
        <v>19</v>
      </c>
      <c r="P1052">
        <v>18.21377996</v>
      </c>
      <c r="Q1052">
        <v>1725.5575839999999</v>
      </c>
      <c r="R1052">
        <v>1.57</v>
      </c>
      <c r="S1052">
        <v>28051</v>
      </c>
      <c r="T1052">
        <v>1.650801</v>
      </c>
      <c r="U1052">
        <v>10.267894999999999</v>
      </c>
    </row>
    <row r="1053" spans="1:21">
      <c r="A1053" t="s">
        <v>71</v>
      </c>
      <c r="B1053">
        <v>2001</v>
      </c>
      <c r="C1053">
        <v>2574.4720000000002</v>
      </c>
      <c r="D1053">
        <v>3400</v>
      </c>
      <c r="E1053">
        <v>0.05</v>
      </c>
      <c r="F1053">
        <v>0</v>
      </c>
      <c r="G1053">
        <v>0.01</v>
      </c>
      <c r="H1053">
        <v>16.666668000000001</v>
      </c>
      <c r="I1053">
        <v>8.8699999999999992</v>
      </c>
      <c r="J1053">
        <v>46.12</v>
      </c>
      <c r="K1053">
        <v>50</v>
      </c>
      <c r="L1053">
        <v>65.571190000000001</v>
      </c>
      <c r="M1053">
        <v>19.5</v>
      </c>
      <c r="O1053">
        <v>180000</v>
      </c>
      <c r="P1053">
        <v>63.379875429999998</v>
      </c>
      <c r="Q1053">
        <v>2313.1659370000002</v>
      </c>
      <c r="R1053">
        <v>1.03</v>
      </c>
      <c r="S1053">
        <v>28051</v>
      </c>
      <c r="T1053">
        <v>1.650801</v>
      </c>
      <c r="U1053">
        <v>10.267894999999999</v>
      </c>
    </row>
    <row r="1054" spans="1:21">
      <c r="A1054" t="s">
        <v>71</v>
      </c>
      <c r="B1054">
        <v>2002</v>
      </c>
      <c r="C1054">
        <v>37471.24</v>
      </c>
      <c r="D1054">
        <v>4630.0001140000004</v>
      </c>
      <c r="E1054">
        <v>0.1</v>
      </c>
      <c r="F1054">
        <v>0</v>
      </c>
      <c r="G1054">
        <v>0.01</v>
      </c>
      <c r="H1054">
        <v>9.0909089999999999</v>
      </c>
      <c r="I1054">
        <v>8.51</v>
      </c>
      <c r="J1054">
        <v>31.31</v>
      </c>
      <c r="K1054">
        <v>50</v>
      </c>
      <c r="L1054">
        <v>65.575230000000005</v>
      </c>
      <c r="M1054">
        <v>19.399999999999999</v>
      </c>
      <c r="O1054">
        <v>170000</v>
      </c>
      <c r="P1054">
        <v>19.462834040000001</v>
      </c>
      <c r="Q1054">
        <v>2744.1914830000001</v>
      </c>
      <c r="R1054">
        <v>1.25</v>
      </c>
      <c r="S1054">
        <v>28051</v>
      </c>
      <c r="T1054">
        <v>1.650801</v>
      </c>
      <c r="U1054">
        <v>10.267894999999999</v>
      </c>
    </row>
    <row r="1055" spans="1:21">
      <c r="A1055" t="s">
        <v>71</v>
      </c>
      <c r="B1055">
        <v>2003</v>
      </c>
      <c r="C1055">
        <v>38771.440000000002</v>
      </c>
      <c r="D1055">
        <v>5010.0002290000002</v>
      </c>
      <c r="E1055">
        <v>0.11</v>
      </c>
      <c r="F1055">
        <v>0</v>
      </c>
      <c r="G1055">
        <v>0.01</v>
      </c>
      <c r="H1055">
        <v>8.3333340000000007</v>
      </c>
      <c r="I1055">
        <v>8.15</v>
      </c>
      <c r="J1055">
        <v>29.49</v>
      </c>
      <c r="K1055">
        <v>50</v>
      </c>
      <c r="L1055">
        <v>65.574039999999997</v>
      </c>
      <c r="M1055">
        <v>19.600000000000001</v>
      </c>
      <c r="O1055">
        <v>40000</v>
      </c>
      <c r="P1055">
        <v>13.955250319999999</v>
      </c>
      <c r="Q1055">
        <v>3618.544476</v>
      </c>
      <c r="R1055">
        <v>1.26</v>
      </c>
      <c r="S1055">
        <v>28051</v>
      </c>
      <c r="T1055">
        <v>1.650801</v>
      </c>
      <c r="U1055">
        <v>10.267894999999999</v>
      </c>
    </row>
    <row r="1056" spans="1:21">
      <c r="A1056" t="s">
        <v>71</v>
      </c>
      <c r="B1056">
        <v>2004</v>
      </c>
      <c r="C1056">
        <v>7523.6549999999997</v>
      </c>
      <c r="D1056">
        <v>6199.9998089999999</v>
      </c>
      <c r="E1056">
        <v>0.16</v>
      </c>
      <c r="F1056">
        <v>0</v>
      </c>
      <c r="G1056">
        <v>0.01</v>
      </c>
      <c r="H1056">
        <v>5.8823530000000002</v>
      </c>
      <c r="I1056">
        <v>7.81</v>
      </c>
      <c r="J1056">
        <v>7.2</v>
      </c>
      <c r="K1056">
        <v>50</v>
      </c>
      <c r="L1056">
        <v>65.569969999999998</v>
      </c>
      <c r="M1056">
        <v>20.100000000000001</v>
      </c>
      <c r="P1056">
        <v>37.998726859999998</v>
      </c>
      <c r="Q1056">
        <v>6152.1312379999999</v>
      </c>
      <c r="R1056">
        <v>3.16</v>
      </c>
      <c r="S1056">
        <v>28051</v>
      </c>
      <c r="T1056">
        <v>1.650801</v>
      </c>
      <c r="U1056">
        <v>10.267894999999999</v>
      </c>
    </row>
    <row r="1057" spans="1:21">
      <c r="A1057" t="s">
        <v>71</v>
      </c>
      <c r="B1057">
        <v>2005</v>
      </c>
      <c r="C1057">
        <v>26154.956999999999</v>
      </c>
      <c r="D1057">
        <v>8319.9996950000004</v>
      </c>
      <c r="E1057">
        <v>0.19</v>
      </c>
      <c r="F1057">
        <v>0</v>
      </c>
      <c r="G1057">
        <v>0.01</v>
      </c>
      <c r="H1057">
        <v>5</v>
      </c>
      <c r="I1057">
        <v>7.47</v>
      </c>
      <c r="J1057">
        <v>7.1</v>
      </c>
      <c r="K1057">
        <v>50</v>
      </c>
      <c r="L1057">
        <v>65.565349999999995</v>
      </c>
      <c r="M1057">
        <v>20.8</v>
      </c>
      <c r="P1057">
        <v>16.74870061</v>
      </c>
      <c r="Q1057">
        <v>10963.40638</v>
      </c>
      <c r="R1057">
        <v>2.7</v>
      </c>
      <c r="S1057">
        <v>28051</v>
      </c>
      <c r="T1057">
        <v>1.650801</v>
      </c>
      <c r="U1057">
        <v>10.267894999999999</v>
      </c>
    </row>
    <row r="1058" spans="1:21">
      <c r="A1058" t="s">
        <v>71</v>
      </c>
      <c r="B1058">
        <v>2006</v>
      </c>
      <c r="C1058">
        <v>30517.991999999998</v>
      </c>
      <c r="D1058">
        <v>9369.9998859999996</v>
      </c>
      <c r="E1058">
        <v>0.25</v>
      </c>
      <c r="F1058">
        <v>0</v>
      </c>
      <c r="G1058">
        <v>0.01</v>
      </c>
      <c r="H1058">
        <v>3.8461539999999999</v>
      </c>
      <c r="I1058">
        <v>7.14</v>
      </c>
      <c r="J1058">
        <v>6.99</v>
      </c>
      <c r="K1058">
        <v>50</v>
      </c>
      <c r="L1058">
        <v>65.562613999999996</v>
      </c>
      <c r="M1058">
        <v>21.3</v>
      </c>
      <c r="O1058">
        <v>464620000</v>
      </c>
      <c r="P1058">
        <v>7.7049176069999996</v>
      </c>
      <c r="Q1058">
        <v>12857.36882</v>
      </c>
      <c r="R1058">
        <v>2.57</v>
      </c>
      <c r="S1058">
        <v>28051</v>
      </c>
      <c r="T1058">
        <v>1.650801</v>
      </c>
      <c r="U1058">
        <v>10.267894999999999</v>
      </c>
    </row>
    <row r="1059" spans="1:21">
      <c r="A1059" t="s">
        <v>71</v>
      </c>
      <c r="B1059">
        <v>2007</v>
      </c>
      <c r="C1059">
        <v>32212.723000000002</v>
      </c>
      <c r="D1059">
        <v>8539.9999619999999</v>
      </c>
      <c r="E1059">
        <v>0.31</v>
      </c>
      <c r="F1059">
        <v>0</v>
      </c>
      <c r="G1059">
        <v>0.01</v>
      </c>
      <c r="H1059">
        <v>3.125</v>
      </c>
      <c r="I1059">
        <v>6.82</v>
      </c>
      <c r="J1059">
        <v>8.49</v>
      </c>
      <c r="K1059">
        <v>50</v>
      </c>
      <c r="L1059">
        <v>65.564390000000003</v>
      </c>
      <c r="M1059">
        <v>21.7</v>
      </c>
      <c r="P1059">
        <v>15.28211392</v>
      </c>
      <c r="Q1059">
        <v>15908.411190000001</v>
      </c>
      <c r="R1059">
        <v>1.9</v>
      </c>
      <c r="S1059">
        <v>28051</v>
      </c>
      <c r="T1059">
        <v>1.650801</v>
      </c>
      <c r="U1059">
        <v>10.267894999999999</v>
      </c>
    </row>
    <row r="1060" spans="1:21">
      <c r="A1060" t="s">
        <v>71</v>
      </c>
      <c r="B1060">
        <v>2008</v>
      </c>
      <c r="C1060">
        <v>30431.822</v>
      </c>
      <c r="D1060">
        <v>9779.9997330000006</v>
      </c>
      <c r="E1060">
        <v>0.41</v>
      </c>
      <c r="F1060">
        <v>0</v>
      </c>
      <c r="G1060">
        <v>0.05</v>
      </c>
      <c r="H1060">
        <v>10.869565</v>
      </c>
      <c r="I1060">
        <v>6.51</v>
      </c>
      <c r="J1060">
        <v>7.23</v>
      </c>
      <c r="K1060">
        <v>50</v>
      </c>
      <c r="L1060">
        <v>65.573409999999996</v>
      </c>
      <c r="M1060">
        <v>22.1</v>
      </c>
      <c r="P1060">
        <v>17.799109130000001</v>
      </c>
      <c r="Q1060">
        <v>22942.610100000002</v>
      </c>
      <c r="R1060">
        <v>1.82</v>
      </c>
      <c r="S1060">
        <v>28051</v>
      </c>
      <c r="T1060">
        <v>1.650801</v>
      </c>
      <c r="U1060">
        <v>10.267894999999999</v>
      </c>
    </row>
    <row r="1061" spans="1:21">
      <c r="A1061" t="s">
        <v>71</v>
      </c>
      <c r="B1061">
        <v>2009</v>
      </c>
      <c r="C1061">
        <v>30738.886999999999</v>
      </c>
      <c r="D1061">
        <v>9710.0000380000001</v>
      </c>
      <c r="E1061">
        <v>0.46</v>
      </c>
      <c r="F1061">
        <v>0</v>
      </c>
      <c r="G1061">
        <v>0.05</v>
      </c>
      <c r="H1061">
        <v>9.803922</v>
      </c>
      <c r="I1061">
        <v>6.21</v>
      </c>
      <c r="J1061">
        <v>9.24</v>
      </c>
      <c r="K1061">
        <v>50</v>
      </c>
      <c r="L1061">
        <v>65.592359999999999</v>
      </c>
      <c r="M1061">
        <v>22.5</v>
      </c>
      <c r="P1061">
        <v>1.3433562880000001</v>
      </c>
      <c r="Q1061">
        <v>16668.1217</v>
      </c>
      <c r="R1061">
        <v>1.44</v>
      </c>
      <c r="S1061">
        <v>28051</v>
      </c>
      <c r="T1061">
        <v>1.650801</v>
      </c>
      <c r="U1061">
        <v>10.267894999999999</v>
      </c>
    </row>
    <row r="1062" spans="1:21">
      <c r="A1062" t="s">
        <v>71</v>
      </c>
      <c r="B1062">
        <v>2010</v>
      </c>
      <c r="C1062">
        <v>28152.884999999998</v>
      </c>
      <c r="D1062">
        <v>9949.9998090000008</v>
      </c>
      <c r="E1062">
        <v>0.55000000000000004</v>
      </c>
      <c r="F1062">
        <v>0</v>
      </c>
      <c r="G1062">
        <v>0.03</v>
      </c>
      <c r="H1062">
        <v>5.1724139999999998</v>
      </c>
      <c r="I1062">
        <v>5.93</v>
      </c>
      <c r="J1062">
        <v>5.74</v>
      </c>
      <c r="K1062">
        <v>50</v>
      </c>
      <c r="L1062">
        <v>66.157264999999995</v>
      </c>
      <c r="M1062">
        <v>22.7</v>
      </c>
      <c r="P1062">
        <v>-8.9241758890000007</v>
      </c>
      <c r="Q1062">
        <v>17288.8426</v>
      </c>
      <c r="R1062">
        <v>2.36</v>
      </c>
      <c r="S1062">
        <v>28051</v>
      </c>
      <c r="T1062">
        <v>1.650801</v>
      </c>
      <c r="U1062">
        <v>10.267894999999999</v>
      </c>
    </row>
    <row r="1063" spans="1:21">
      <c r="A1063" t="s">
        <v>71</v>
      </c>
      <c r="B1063">
        <v>2011</v>
      </c>
      <c r="C1063">
        <v>28943.423999999999</v>
      </c>
      <c r="D1063">
        <v>9989.9997710000007</v>
      </c>
      <c r="E1063">
        <v>0.62</v>
      </c>
      <c r="F1063">
        <v>0</v>
      </c>
      <c r="G1063">
        <v>0.03</v>
      </c>
      <c r="H1063">
        <v>4.6153845999999996</v>
      </c>
      <c r="I1063">
        <v>5.68</v>
      </c>
      <c r="J1063">
        <v>5.58</v>
      </c>
      <c r="K1063">
        <v>50</v>
      </c>
      <c r="L1063">
        <v>66.099999999999994</v>
      </c>
      <c r="M1063">
        <v>23.35</v>
      </c>
      <c r="P1063">
        <v>6.5239236299999996</v>
      </c>
      <c r="Q1063">
        <v>21641.693899999998</v>
      </c>
      <c r="R1063">
        <v>2.2799999999999998</v>
      </c>
      <c r="S1063">
        <v>28051</v>
      </c>
      <c r="T1063">
        <v>1.650801</v>
      </c>
      <c r="U1063">
        <v>10.267894999999999</v>
      </c>
    </row>
    <row r="1064" spans="1:21">
      <c r="A1064" t="s">
        <v>71</v>
      </c>
      <c r="B1064">
        <v>2012</v>
      </c>
      <c r="C1064">
        <v>26990.076000000001</v>
      </c>
      <c r="D1064">
        <v>9819.9996950000004</v>
      </c>
      <c r="E1064">
        <v>0.67</v>
      </c>
      <c r="F1064">
        <v>0</v>
      </c>
      <c r="G1064">
        <v>0.08</v>
      </c>
      <c r="H1064">
        <v>10.666667</v>
      </c>
      <c r="I1064">
        <v>121.8</v>
      </c>
      <c r="J1064">
        <v>4.42</v>
      </c>
      <c r="K1064">
        <v>50</v>
      </c>
      <c r="L1064">
        <v>65.735950000000003</v>
      </c>
      <c r="M1064">
        <v>24</v>
      </c>
      <c r="P1064">
        <v>8.312871844</v>
      </c>
      <c r="Q1064">
        <v>21711.151590000001</v>
      </c>
      <c r="R1064">
        <v>2.71</v>
      </c>
      <c r="S1064">
        <v>28051</v>
      </c>
      <c r="T1064">
        <v>1.650801</v>
      </c>
      <c r="U1064">
        <v>10.267894999999999</v>
      </c>
    </row>
    <row r="1065" spans="1:21">
      <c r="A1065" t="s">
        <v>71</v>
      </c>
      <c r="B1065">
        <v>2013</v>
      </c>
      <c r="C1065">
        <v>26720.798999999999</v>
      </c>
      <c r="D1065">
        <v>9180.0003049999996</v>
      </c>
      <c r="E1065">
        <v>0.71</v>
      </c>
      <c r="F1065">
        <v>0</v>
      </c>
      <c r="G1065">
        <v>0.25</v>
      </c>
      <c r="H1065">
        <v>26.041668000000001</v>
      </c>
      <c r="I1065">
        <v>116.68</v>
      </c>
      <c r="J1065">
        <v>3.68</v>
      </c>
      <c r="K1065">
        <v>50</v>
      </c>
      <c r="L1065">
        <v>65.820809999999994</v>
      </c>
      <c r="M1065">
        <v>23.6</v>
      </c>
      <c r="O1065">
        <v>3420000</v>
      </c>
      <c r="P1065">
        <v>-4.1331985009999999</v>
      </c>
      <c r="Q1065">
        <v>20390.737270000001</v>
      </c>
      <c r="R1065">
        <v>3.48</v>
      </c>
      <c r="S1065">
        <v>28051</v>
      </c>
      <c r="T1065">
        <v>1.650801</v>
      </c>
      <c r="U1065">
        <v>10.267894999999999</v>
      </c>
    </row>
    <row r="1066" spans="1:21">
      <c r="A1066" t="s">
        <v>71</v>
      </c>
      <c r="B1066">
        <v>2014</v>
      </c>
      <c r="C1066">
        <v>24158.016</v>
      </c>
      <c r="D1066">
        <v>7909.999847</v>
      </c>
      <c r="E1066">
        <v>0.71</v>
      </c>
      <c r="F1066">
        <v>0</v>
      </c>
      <c r="G1066">
        <v>0.38</v>
      </c>
      <c r="H1066">
        <v>34.862385000000003</v>
      </c>
      <c r="I1066">
        <v>111.92</v>
      </c>
      <c r="J1066">
        <v>4.2</v>
      </c>
      <c r="K1066">
        <v>50</v>
      </c>
      <c r="L1066">
        <v>65.923469999999995</v>
      </c>
      <c r="M1066">
        <v>23.9</v>
      </c>
      <c r="P1066">
        <v>0.415066302</v>
      </c>
      <c r="Q1066">
        <v>19394.08066</v>
      </c>
      <c r="R1066">
        <v>3.22</v>
      </c>
      <c r="S1066">
        <v>28051</v>
      </c>
      <c r="T1066">
        <v>1.650801</v>
      </c>
      <c r="U1066">
        <v>10.267894999999999</v>
      </c>
    </row>
    <row r="1067" spans="1:21">
      <c r="A1067" t="s">
        <v>71</v>
      </c>
      <c r="B1067">
        <v>2015</v>
      </c>
      <c r="C1067">
        <v>20745.453000000001</v>
      </c>
      <c r="D1067">
        <v>6570.000172</v>
      </c>
      <c r="E1067">
        <v>0.83</v>
      </c>
      <c r="F1067">
        <v>0</v>
      </c>
      <c r="G1067">
        <v>0.47</v>
      </c>
      <c r="H1067">
        <v>36.153846999999999</v>
      </c>
      <c r="I1067">
        <v>107.48</v>
      </c>
      <c r="J1067">
        <v>4.5599999999999996</v>
      </c>
      <c r="K1067">
        <v>50</v>
      </c>
      <c r="L1067">
        <v>66.040980000000005</v>
      </c>
      <c r="M1067">
        <v>24</v>
      </c>
      <c r="O1067">
        <v>20000</v>
      </c>
      <c r="P1067">
        <v>-9.1100411490000006</v>
      </c>
      <c r="Q1067">
        <v>11283.39805</v>
      </c>
      <c r="R1067">
        <v>3.27</v>
      </c>
      <c r="S1067">
        <v>28051</v>
      </c>
      <c r="T1067">
        <v>1.650801</v>
      </c>
      <c r="U1067">
        <v>10.267894999999999</v>
      </c>
    </row>
    <row r="1068" spans="1:21">
      <c r="A1068" t="s">
        <v>71</v>
      </c>
      <c r="B1068">
        <v>2016</v>
      </c>
      <c r="C1068">
        <v>19728.445</v>
      </c>
      <c r="D1068">
        <v>6659.999847</v>
      </c>
      <c r="E1068">
        <v>0.93</v>
      </c>
      <c r="F1068">
        <v>0</v>
      </c>
      <c r="G1068">
        <v>0.47</v>
      </c>
      <c r="H1068">
        <v>33.571429999999999</v>
      </c>
      <c r="I1068">
        <v>103.36</v>
      </c>
      <c r="J1068">
        <v>3.95</v>
      </c>
      <c r="K1068">
        <v>50</v>
      </c>
      <c r="L1068">
        <v>66.170360000000002</v>
      </c>
      <c r="M1068">
        <v>23.9</v>
      </c>
      <c r="P1068">
        <v>-8.8164172319999992</v>
      </c>
      <c r="Q1068">
        <v>9250.3164930000003</v>
      </c>
      <c r="R1068">
        <v>4.05</v>
      </c>
      <c r="S1068">
        <v>28051</v>
      </c>
      <c r="T1068">
        <v>1.650801</v>
      </c>
      <c r="U1068">
        <v>10.267894999999999</v>
      </c>
    </row>
    <row r="1069" spans="1:21">
      <c r="A1069" t="s">
        <v>71</v>
      </c>
      <c r="B1069">
        <v>2017</v>
      </c>
      <c r="C1069">
        <v>21365.682000000001</v>
      </c>
      <c r="D1069">
        <v>5800.0001910000001</v>
      </c>
      <c r="E1069">
        <v>0.9</v>
      </c>
      <c r="F1069">
        <v>0</v>
      </c>
      <c r="G1069">
        <v>0.44</v>
      </c>
      <c r="H1069">
        <v>32.835819999999998</v>
      </c>
      <c r="I1069">
        <v>99.52</v>
      </c>
      <c r="J1069">
        <v>3.54</v>
      </c>
      <c r="K1069">
        <v>50</v>
      </c>
      <c r="L1069">
        <v>66.308639999999997</v>
      </c>
      <c r="M1069">
        <v>24.2</v>
      </c>
      <c r="P1069">
        <v>-5.667502957</v>
      </c>
      <c r="Q1069">
        <v>9667.8578010000001</v>
      </c>
      <c r="R1069">
        <v>4.7</v>
      </c>
      <c r="S1069">
        <v>28051</v>
      </c>
      <c r="T1069">
        <v>1.650801</v>
      </c>
      <c r="U1069">
        <v>10.267894999999999</v>
      </c>
    </row>
    <row r="1070" spans="1:21">
      <c r="A1070" t="s">
        <v>71</v>
      </c>
      <c r="B1070">
        <v>2018</v>
      </c>
      <c r="C1070">
        <v>18711.833999999999</v>
      </c>
      <c r="D1070">
        <v>6429.999828</v>
      </c>
      <c r="E1070">
        <v>0.91</v>
      </c>
      <c r="F1070">
        <v>0</v>
      </c>
      <c r="G1070">
        <v>0.44</v>
      </c>
      <c r="H1070">
        <v>32.592590000000001</v>
      </c>
      <c r="I1070">
        <v>97.13</v>
      </c>
      <c r="J1070">
        <v>4.91</v>
      </c>
      <c r="K1070">
        <v>50</v>
      </c>
      <c r="L1070">
        <v>66.452860000000001</v>
      </c>
      <c r="M1070">
        <v>24.1</v>
      </c>
      <c r="P1070">
        <v>-6.2365509819999998</v>
      </c>
      <c r="Q1070">
        <v>10005.61679</v>
      </c>
      <c r="R1070">
        <v>3.72</v>
      </c>
      <c r="S1070">
        <v>28051</v>
      </c>
      <c r="T1070">
        <v>1.650801</v>
      </c>
      <c r="U1070">
        <v>10.267894999999999</v>
      </c>
    </row>
    <row r="1071" spans="1:21">
      <c r="A1071" t="s">
        <v>71</v>
      </c>
      <c r="B1071">
        <v>2019</v>
      </c>
      <c r="C1071">
        <v>17644.692999999999</v>
      </c>
      <c r="D1071">
        <v>5349.9999049999997</v>
      </c>
      <c r="E1071">
        <v>0.95</v>
      </c>
      <c r="F1071">
        <v>0</v>
      </c>
      <c r="G1071">
        <v>0.45</v>
      </c>
      <c r="H1071">
        <v>32.142856999999999</v>
      </c>
      <c r="I1071">
        <v>93.76</v>
      </c>
      <c r="J1071">
        <v>6.58</v>
      </c>
      <c r="K1071">
        <v>50</v>
      </c>
      <c r="L1071">
        <v>66.600043999999997</v>
      </c>
      <c r="M1071">
        <v>24</v>
      </c>
      <c r="P1071">
        <v>-5.9789369050000003</v>
      </c>
      <c r="Q1071">
        <v>8419.9333360000001</v>
      </c>
      <c r="R1071">
        <v>3.01</v>
      </c>
      <c r="S1071">
        <v>28051</v>
      </c>
      <c r="T1071">
        <v>1.650801</v>
      </c>
      <c r="U1071">
        <v>10.267894999999999</v>
      </c>
    </row>
    <row r="1072" spans="1:21">
      <c r="A1072" t="s">
        <v>71</v>
      </c>
      <c r="B1072">
        <v>2020</v>
      </c>
      <c r="C1072">
        <v>11328.123</v>
      </c>
      <c r="E1072">
        <v>0.92</v>
      </c>
      <c r="F1072">
        <v>0</v>
      </c>
      <c r="G1072">
        <v>0.49</v>
      </c>
      <c r="H1072">
        <v>34.751773999999997</v>
      </c>
      <c r="I1072">
        <v>90.68</v>
      </c>
      <c r="K1072">
        <v>50</v>
      </c>
      <c r="L1072">
        <v>66.747730000000004</v>
      </c>
      <c r="M1072">
        <v>24.5</v>
      </c>
      <c r="P1072">
        <v>-4.893356474</v>
      </c>
      <c r="Q1072">
        <v>7143.2387049999998</v>
      </c>
      <c r="S1072">
        <v>28051</v>
      </c>
      <c r="T1072">
        <v>1.650801</v>
      </c>
      <c r="U1072">
        <v>10.267894999999999</v>
      </c>
    </row>
    <row r="1073" spans="1:21">
      <c r="A1073" t="s">
        <v>72</v>
      </c>
      <c r="B1073">
        <v>2000</v>
      </c>
      <c r="C1073">
        <v>1086.2354</v>
      </c>
      <c r="D1073">
        <v>640</v>
      </c>
      <c r="E1073">
        <v>0.2</v>
      </c>
      <c r="F1073">
        <v>0</v>
      </c>
      <c r="G1073">
        <v>0</v>
      </c>
      <c r="H1073">
        <v>0</v>
      </c>
      <c r="I1073">
        <v>0</v>
      </c>
      <c r="J1073">
        <v>76.62</v>
      </c>
      <c r="K1073">
        <v>35</v>
      </c>
      <c r="L1073">
        <v>29.25451</v>
      </c>
      <c r="M1073">
        <v>3.5</v>
      </c>
      <c r="P1073">
        <v>-3.1419859030000001</v>
      </c>
      <c r="Q1073">
        <v>308.13418680000001</v>
      </c>
      <c r="R1073">
        <v>5.2023726000000003</v>
      </c>
      <c r="S1073">
        <v>117600</v>
      </c>
      <c r="T1073">
        <v>15.179384000000001</v>
      </c>
      <c r="U1073">
        <v>39.782333999999999</v>
      </c>
    </row>
    <row r="1074" spans="1:21">
      <c r="A1074" t="s">
        <v>72</v>
      </c>
      <c r="B1074">
        <v>2001</v>
      </c>
      <c r="C1074">
        <v>1156.5769</v>
      </c>
      <c r="D1074">
        <v>700</v>
      </c>
      <c r="E1074">
        <v>0.22</v>
      </c>
      <c r="F1074">
        <v>0</v>
      </c>
      <c r="G1074">
        <v>0</v>
      </c>
      <c r="H1074">
        <v>0</v>
      </c>
      <c r="I1074">
        <v>0</v>
      </c>
      <c r="J1074">
        <v>74.680000000000007</v>
      </c>
      <c r="K1074">
        <v>35</v>
      </c>
      <c r="L1074">
        <v>30.352561999999999</v>
      </c>
      <c r="M1074">
        <v>3.9</v>
      </c>
      <c r="P1074">
        <v>8.7554355279999996</v>
      </c>
      <c r="Q1074">
        <v>316.82395339999999</v>
      </c>
      <c r="R1074">
        <v>5.0121975000000001</v>
      </c>
      <c r="S1074">
        <v>117600</v>
      </c>
      <c r="T1074">
        <v>15.179384000000001</v>
      </c>
      <c r="U1074">
        <v>39.782333999999999</v>
      </c>
    </row>
    <row r="1075" spans="1:21">
      <c r="A1075" t="s">
        <v>72</v>
      </c>
      <c r="B1075">
        <v>2002</v>
      </c>
      <c r="C1075">
        <v>1019.1684</v>
      </c>
      <c r="D1075">
        <v>680.00000720000003</v>
      </c>
      <c r="E1075">
        <v>0.24</v>
      </c>
      <c r="F1075">
        <v>0</v>
      </c>
      <c r="G1075">
        <v>0</v>
      </c>
      <c r="H1075">
        <v>0</v>
      </c>
      <c r="I1075">
        <v>0</v>
      </c>
      <c r="J1075">
        <v>74.67</v>
      </c>
      <c r="K1075">
        <v>35</v>
      </c>
      <c r="L1075">
        <v>32.200000000000003</v>
      </c>
      <c r="M1075">
        <v>4.4000000000000004</v>
      </c>
      <c r="P1075">
        <v>3.0054291919999998</v>
      </c>
      <c r="Q1075">
        <v>293.95567240000003</v>
      </c>
      <c r="R1075">
        <v>4.9098889999999997</v>
      </c>
      <c r="S1075">
        <v>117600</v>
      </c>
      <c r="T1075">
        <v>15.179384000000001</v>
      </c>
      <c r="U1075">
        <v>39.782333999999999</v>
      </c>
    </row>
    <row r="1076" spans="1:21">
      <c r="A1076" t="s">
        <v>72</v>
      </c>
      <c r="B1076">
        <v>2003</v>
      </c>
      <c r="C1076">
        <v>1172.7673</v>
      </c>
      <c r="D1076">
        <v>689.99999760000003</v>
      </c>
      <c r="E1076">
        <v>0.26</v>
      </c>
      <c r="F1076">
        <v>0</v>
      </c>
      <c r="G1076">
        <v>0</v>
      </c>
      <c r="H1076">
        <v>0</v>
      </c>
      <c r="I1076">
        <v>0</v>
      </c>
      <c r="J1076">
        <v>74.89</v>
      </c>
      <c r="K1076">
        <v>35</v>
      </c>
      <c r="L1076">
        <v>32.528260000000003</v>
      </c>
      <c r="M1076">
        <v>4.9000000000000004</v>
      </c>
      <c r="P1076">
        <v>-2.655515925</v>
      </c>
      <c r="Q1076">
        <v>334.58557150000001</v>
      </c>
      <c r="R1076">
        <v>5.4014144000000002</v>
      </c>
      <c r="S1076">
        <v>117600</v>
      </c>
      <c r="T1076">
        <v>15.179384000000001</v>
      </c>
      <c r="U1076">
        <v>39.782333999999999</v>
      </c>
    </row>
    <row r="1077" spans="1:21">
      <c r="A1077" t="s">
        <v>72</v>
      </c>
      <c r="B1077">
        <v>2004</v>
      </c>
      <c r="C1077">
        <v>1226.452</v>
      </c>
      <c r="D1077">
        <v>680.00000720000003</v>
      </c>
      <c r="E1077">
        <v>0.27</v>
      </c>
      <c r="F1077">
        <v>0</v>
      </c>
      <c r="G1077">
        <v>0</v>
      </c>
      <c r="H1077">
        <v>0</v>
      </c>
      <c r="I1077">
        <v>0</v>
      </c>
      <c r="J1077">
        <v>69.91</v>
      </c>
      <c r="K1077">
        <v>35</v>
      </c>
      <c r="L1077">
        <v>33.610602999999998</v>
      </c>
      <c r="M1077">
        <v>5.4</v>
      </c>
      <c r="P1077">
        <v>1.451735566</v>
      </c>
      <c r="Q1077">
        <v>407.76907699999998</v>
      </c>
      <c r="R1077">
        <v>4.9394093000000003</v>
      </c>
      <c r="S1077">
        <v>117600</v>
      </c>
      <c r="T1077">
        <v>15.179384000000001</v>
      </c>
      <c r="U1077">
        <v>39.782333999999999</v>
      </c>
    </row>
    <row r="1078" spans="1:21">
      <c r="A1078" t="s">
        <v>72</v>
      </c>
      <c r="B1078">
        <v>2005</v>
      </c>
      <c r="C1078">
        <v>1197.5035</v>
      </c>
      <c r="D1078">
        <v>600.00002380000001</v>
      </c>
      <c r="E1078">
        <v>0.27</v>
      </c>
      <c r="F1078">
        <v>0</v>
      </c>
      <c r="G1078">
        <v>0</v>
      </c>
      <c r="H1078">
        <v>0</v>
      </c>
      <c r="I1078">
        <v>0</v>
      </c>
      <c r="J1078">
        <v>74.650000000000006</v>
      </c>
      <c r="K1078">
        <v>35</v>
      </c>
      <c r="L1078">
        <v>34.692410000000002</v>
      </c>
      <c r="M1078">
        <v>5.8</v>
      </c>
      <c r="P1078">
        <v>2.5744495509999998</v>
      </c>
      <c r="Q1078">
        <v>388.59594750000002</v>
      </c>
      <c r="R1078">
        <v>4.9345207000000002</v>
      </c>
      <c r="S1078">
        <v>117600</v>
      </c>
      <c r="T1078">
        <v>15.179384000000001</v>
      </c>
      <c r="U1078">
        <v>39.782333999999999</v>
      </c>
    </row>
    <row r="1079" spans="1:21">
      <c r="A1079" t="s">
        <v>72</v>
      </c>
      <c r="B1079">
        <v>2006</v>
      </c>
      <c r="C1079">
        <v>809.80237</v>
      </c>
      <c r="D1079">
        <v>519.99998089999997</v>
      </c>
      <c r="E1079">
        <v>0.25</v>
      </c>
      <c r="F1079">
        <v>0</v>
      </c>
      <c r="G1079">
        <v>0</v>
      </c>
      <c r="H1079">
        <v>0</v>
      </c>
      <c r="I1079">
        <v>0</v>
      </c>
      <c r="J1079">
        <v>78.34</v>
      </c>
      <c r="K1079">
        <v>35</v>
      </c>
      <c r="L1079">
        <v>35.776093000000003</v>
      </c>
      <c r="M1079">
        <v>6.4</v>
      </c>
      <c r="P1079">
        <v>-0.96921711099999996</v>
      </c>
      <c r="Q1079">
        <v>415.03603049999998</v>
      </c>
      <c r="R1079">
        <v>4.5394249999999996</v>
      </c>
      <c r="S1079">
        <v>117600</v>
      </c>
      <c r="T1079">
        <v>15.179384000000001</v>
      </c>
      <c r="U1079">
        <v>39.782333999999999</v>
      </c>
    </row>
    <row r="1080" spans="1:21">
      <c r="A1080" t="s">
        <v>72</v>
      </c>
      <c r="B1080">
        <v>2007</v>
      </c>
      <c r="C1080">
        <v>818.4819</v>
      </c>
      <c r="D1080">
        <v>509.99999050000002</v>
      </c>
      <c r="E1080">
        <v>0.27</v>
      </c>
      <c r="F1080">
        <v>0</v>
      </c>
      <c r="G1080">
        <v>0</v>
      </c>
      <c r="H1080">
        <v>0</v>
      </c>
      <c r="I1080">
        <v>0.28000000000000003</v>
      </c>
      <c r="J1080">
        <v>79.8</v>
      </c>
      <c r="K1080">
        <v>35</v>
      </c>
      <c r="L1080">
        <v>36.864291999999999</v>
      </c>
      <c r="M1080">
        <v>6.8</v>
      </c>
      <c r="O1080">
        <v>510000</v>
      </c>
      <c r="P1080">
        <v>1.426822211</v>
      </c>
      <c r="Q1080">
        <v>439.83210339999999</v>
      </c>
      <c r="R1080">
        <v>4.6222405000000002</v>
      </c>
      <c r="S1080">
        <v>117600</v>
      </c>
      <c r="T1080">
        <v>15.179384000000001</v>
      </c>
      <c r="U1080">
        <v>39.782333999999999</v>
      </c>
    </row>
    <row r="1081" spans="1:21">
      <c r="A1081" t="s">
        <v>72</v>
      </c>
      <c r="B1081">
        <v>2008</v>
      </c>
      <c r="C1081">
        <v>569.351</v>
      </c>
      <c r="D1081">
        <v>449.9999881</v>
      </c>
      <c r="E1081">
        <v>0.27</v>
      </c>
      <c r="F1081">
        <v>0</v>
      </c>
      <c r="G1081">
        <v>0</v>
      </c>
      <c r="H1081">
        <v>0</v>
      </c>
      <c r="I1081">
        <v>0.27</v>
      </c>
      <c r="J1081">
        <v>81.72</v>
      </c>
      <c r="K1081">
        <v>35</v>
      </c>
      <c r="L1081">
        <v>37.959724000000001</v>
      </c>
      <c r="M1081">
        <v>7.4</v>
      </c>
      <c r="O1081">
        <v>70000</v>
      </c>
      <c r="P1081">
        <v>-9.7830300179999998</v>
      </c>
      <c r="Q1081">
        <v>450.6323989</v>
      </c>
      <c r="R1081">
        <v>4.8200602999999997</v>
      </c>
      <c r="S1081">
        <v>117600</v>
      </c>
      <c r="T1081">
        <v>15.179384000000001</v>
      </c>
      <c r="U1081">
        <v>39.782333999999999</v>
      </c>
    </row>
    <row r="1082" spans="1:21">
      <c r="A1082" t="s">
        <v>72</v>
      </c>
      <c r="B1082">
        <v>2009</v>
      </c>
      <c r="C1082">
        <v>670.50432999999998</v>
      </c>
      <c r="D1082">
        <v>469.99999880000001</v>
      </c>
      <c r="E1082">
        <v>0.28000000000000003</v>
      </c>
      <c r="F1082">
        <v>0</v>
      </c>
      <c r="G1082">
        <v>0</v>
      </c>
      <c r="H1082">
        <v>0</v>
      </c>
      <c r="I1082">
        <v>0.26</v>
      </c>
      <c r="J1082">
        <v>81.63</v>
      </c>
      <c r="K1082">
        <v>35</v>
      </c>
      <c r="L1082">
        <v>39.065097999999999</v>
      </c>
      <c r="M1082">
        <v>7.7</v>
      </c>
      <c r="O1082">
        <v>30000</v>
      </c>
      <c r="P1082">
        <v>3.8765015279999999</v>
      </c>
      <c r="Q1082">
        <v>595.10998719999998</v>
      </c>
      <c r="R1082">
        <v>4.9659696000000002</v>
      </c>
      <c r="S1082">
        <v>117600</v>
      </c>
      <c r="T1082">
        <v>15.179384000000001</v>
      </c>
      <c r="U1082">
        <v>39.782333999999999</v>
      </c>
    </row>
    <row r="1083" spans="1:21">
      <c r="A1083" t="s">
        <v>72</v>
      </c>
      <c r="B1083">
        <v>2010</v>
      </c>
      <c r="C1083">
        <v>654.88982999999996</v>
      </c>
      <c r="D1083">
        <v>500</v>
      </c>
      <c r="E1083">
        <v>0.28999999999999998</v>
      </c>
      <c r="F1083">
        <v>0</v>
      </c>
      <c r="G1083">
        <v>0</v>
      </c>
      <c r="H1083">
        <v>0</v>
      </c>
      <c r="I1083">
        <v>0.26</v>
      </c>
      <c r="J1083">
        <v>81.069999999999993</v>
      </c>
      <c r="K1083">
        <v>35</v>
      </c>
      <c r="L1083">
        <v>40.183120000000002</v>
      </c>
      <c r="M1083">
        <v>8</v>
      </c>
      <c r="O1083">
        <v>50000</v>
      </c>
      <c r="P1083">
        <v>2.1941903489999999</v>
      </c>
      <c r="Q1083">
        <v>501.35531700000001</v>
      </c>
      <c r="R1083">
        <v>4.9872589999999999</v>
      </c>
      <c r="S1083">
        <v>117600</v>
      </c>
      <c r="T1083">
        <v>15.179384000000001</v>
      </c>
      <c r="U1083">
        <v>39.782333999999999</v>
      </c>
    </row>
    <row r="1084" spans="1:21">
      <c r="A1084" t="s">
        <v>72</v>
      </c>
      <c r="B1084">
        <v>2011</v>
      </c>
      <c r="C1084">
        <v>655.35320000000002</v>
      </c>
      <c r="D1084">
        <v>569.99999279999997</v>
      </c>
      <c r="E1084">
        <v>0.3</v>
      </c>
      <c r="F1084">
        <v>0</v>
      </c>
      <c r="G1084">
        <v>0</v>
      </c>
      <c r="H1084">
        <v>0</v>
      </c>
      <c r="I1084">
        <v>0.26</v>
      </c>
      <c r="J1084">
        <v>79.709999999999994</v>
      </c>
      <c r="K1084">
        <v>35</v>
      </c>
      <c r="L1084">
        <v>41.316499999999998</v>
      </c>
      <c r="M1084">
        <v>8.3000000000000007</v>
      </c>
      <c r="O1084">
        <v>250000</v>
      </c>
      <c r="P1084">
        <v>8.6798001009999997</v>
      </c>
      <c r="Q1084">
        <v>642.50825880000002</v>
      </c>
      <c r="R1084">
        <v>4.7054049999999998</v>
      </c>
      <c r="S1084">
        <v>117600</v>
      </c>
      <c r="T1084">
        <v>15.179384000000001</v>
      </c>
      <c r="U1084">
        <v>39.782333999999999</v>
      </c>
    </row>
    <row r="1085" spans="1:21">
      <c r="A1085" t="s">
        <v>72</v>
      </c>
      <c r="B1085">
        <v>2012</v>
      </c>
      <c r="C1085">
        <v>686.76116999999999</v>
      </c>
      <c r="D1085">
        <v>620.00000480000006</v>
      </c>
      <c r="E1085">
        <v>0.31</v>
      </c>
      <c r="F1085">
        <v>0</v>
      </c>
      <c r="G1085">
        <v>0</v>
      </c>
      <c r="H1085">
        <v>0</v>
      </c>
      <c r="I1085">
        <v>0.26</v>
      </c>
      <c r="J1085">
        <v>78.14</v>
      </c>
      <c r="K1085">
        <v>35</v>
      </c>
      <c r="L1085">
        <v>42.467950000000002</v>
      </c>
      <c r="M1085">
        <v>8.6</v>
      </c>
      <c r="R1085">
        <v>4.8085545999999999</v>
      </c>
      <c r="S1085">
        <v>117600</v>
      </c>
      <c r="T1085">
        <v>15.179384000000001</v>
      </c>
      <c r="U1085">
        <v>39.782333999999999</v>
      </c>
    </row>
    <row r="1086" spans="1:21">
      <c r="A1086" t="s">
        <v>72</v>
      </c>
      <c r="B1086">
        <v>2013</v>
      </c>
      <c r="C1086">
        <v>691.8338</v>
      </c>
      <c r="D1086">
        <v>639.99998570000002</v>
      </c>
      <c r="E1086">
        <v>0.32</v>
      </c>
      <c r="F1086">
        <v>0</v>
      </c>
      <c r="G1086">
        <v>0</v>
      </c>
      <c r="H1086">
        <v>0</v>
      </c>
      <c r="I1086">
        <v>0.26</v>
      </c>
      <c r="J1086">
        <v>78.14</v>
      </c>
      <c r="K1086">
        <v>35</v>
      </c>
      <c r="L1086">
        <v>43.639229999999998</v>
      </c>
      <c r="M1086">
        <v>8.9</v>
      </c>
      <c r="R1086">
        <v>4.8689039999999997</v>
      </c>
      <c r="S1086">
        <v>117600</v>
      </c>
      <c r="T1086">
        <v>15.179384000000001</v>
      </c>
      <c r="U1086">
        <v>39.782333999999999</v>
      </c>
    </row>
    <row r="1087" spans="1:21">
      <c r="A1087" t="s">
        <v>72</v>
      </c>
      <c r="B1087">
        <v>2014</v>
      </c>
      <c r="C1087">
        <v>716.54089999999997</v>
      </c>
      <c r="D1087">
        <v>649.99997619999999</v>
      </c>
      <c r="E1087">
        <v>0.32</v>
      </c>
      <c r="F1087">
        <v>0</v>
      </c>
      <c r="G1087">
        <v>0</v>
      </c>
      <c r="H1087">
        <v>0</v>
      </c>
      <c r="I1087">
        <v>2.62</v>
      </c>
      <c r="J1087">
        <v>77.8</v>
      </c>
      <c r="K1087">
        <v>35</v>
      </c>
      <c r="L1087">
        <v>44.828311999999997</v>
      </c>
      <c r="M1087">
        <v>8.9</v>
      </c>
      <c r="R1087">
        <v>4.7413970000000001</v>
      </c>
      <c r="S1087">
        <v>117600</v>
      </c>
      <c r="T1087">
        <v>15.179384000000001</v>
      </c>
      <c r="U1087">
        <v>39.782333999999999</v>
      </c>
    </row>
    <row r="1088" spans="1:21">
      <c r="A1088" t="s">
        <v>72</v>
      </c>
      <c r="B1088">
        <v>2015</v>
      </c>
      <c r="C1088">
        <v>707.84283000000005</v>
      </c>
      <c r="D1088">
        <v>649.99997619999999</v>
      </c>
      <c r="E1088">
        <v>0.33</v>
      </c>
      <c r="F1088">
        <v>0</v>
      </c>
      <c r="G1088">
        <v>0</v>
      </c>
      <c r="H1088">
        <v>0</v>
      </c>
      <c r="I1088">
        <v>2.6</v>
      </c>
      <c r="J1088">
        <v>77.56</v>
      </c>
      <c r="K1088">
        <v>35</v>
      </c>
      <c r="L1088">
        <v>46.032240000000002</v>
      </c>
      <c r="M1088">
        <v>9</v>
      </c>
      <c r="O1088">
        <v>113190000</v>
      </c>
      <c r="R1088">
        <v>4.8289723000000002</v>
      </c>
      <c r="S1088">
        <v>117600</v>
      </c>
      <c r="T1088">
        <v>15.179384000000001</v>
      </c>
      <c r="U1088">
        <v>39.782333999999999</v>
      </c>
    </row>
    <row r="1089" spans="1:21">
      <c r="A1089" t="s">
        <v>72</v>
      </c>
      <c r="B1089">
        <v>2016</v>
      </c>
      <c r="C1089">
        <v>715.03435999999999</v>
      </c>
      <c r="D1089">
        <v>660.00002619999998</v>
      </c>
      <c r="E1089">
        <v>0.34</v>
      </c>
      <c r="F1089">
        <v>0</v>
      </c>
      <c r="G1089">
        <v>0</v>
      </c>
      <c r="H1089">
        <v>0</v>
      </c>
      <c r="I1089">
        <v>2.68</v>
      </c>
      <c r="J1089">
        <v>77.31</v>
      </c>
      <c r="K1089">
        <v>35</v>
      </c>
      <c r="L1089">
        <v>47.248040000000003</v>
      </c>
      <c r="M1089">
        <v>9</v>
      </c>
      <c r="S1089">
        <v>117600</v>
      </c>
      <c r="T1089">
        <v>15.179384000000001</v>
      </c>
      <c r="U1089">
        <v>39.782333999999999</v>
      </c>
    </row>
    <row r="1090" spans="1:21">
      <c r="A1090" t="s">
        <v>72</v>
      </c>
      <c r="B1090">
        <v>2017</v>
      </c>
      <c r="C1090">
        <v>778.28643999999997</v>
      </c>
      <c r="D1090">
        <v>720.00002859999995</v>
      </c>
      <c r="E1090">
        <v>0.4</v>
      </c>
      <c r="F1090">
        <v>0</v>
      </c>
      <c r="G1090">
        <v>0.01</v>
      </c>
      <c r="H1090">
        <v>2.4390244000000001</v>
      </c>
      <c r="I1090">
        <v>3.23</v>
      </c>
      <c r="J1090">
        <v>75.37</v>
      </c>
      <c r="K1090">
        <v>35</v>
      </c>
      <c r="L1090">
        <v>48.472743999999999</v>
      </c>
      <c r="M1090">
        <v>9.1999999999999993</v>
      </c>
      <c r="S1090">
        <v>117600</v>
      </c>
      <c r="T1090">
        <v>15.179384000000001</v>
      </c>
      <c r="U1090">
        <v>39.782333999999999</v>
      </c>
    </row>
    <row r="1091" spans="1:21">
      <c r="A1091" t="s">
        <v>72</v>
      </c>
      <c r="B1091">
        <v>2018</v>
      </c>
      <c r="C1091">
        <v>876.14869999999996</v>
      </c>
      <c r="D1091">
        <v>850.00002380000001</v>
      </c>
      <c r="E1091">
        <v>0.42</v>
      </c>
      <c r="F1091">
        <v>0</v>
      </c>
      <c r="G1091">
        <v>0.01</v>
      </c>
      <c r="H1091">
        <v>2.3255813000000001</v>
      </c>
      <c r="I1091">
        <v>5.37</v>
      </c>
      <c r="J1091">
        <v>74.03</v>
      </c>
      <c r="K1091">
        <v>35</v>
      </c>
      <c r="L1091">
        <v>49.703384</v>
      </c>
      <c r="M1091">
        <v>9.1</v>
      </c>
      <c r="O1091">
        <v>30000</v>
      </c>
      <c r="S1091">
        <v>117600</v>
      </c>
      <c r="T1091">
        <v>15.179384000000001</v>
      </c>
      <c r="U1091">
        <v>39.782333999999999</v>
      </c>
    </row>
    <row r="1092" spans="1:21">
      <c r="A1092" t="s">
        <v>72</v>
      </c>
      <c r="B1092">
        <v>2019</v>
      </c>
      <c r="C1092">
        <v>936.47850000000005</v>
      </c>
      <c r="D1092">
        <v>879.99999519999994</v>
      </c>
      <c r="E1092">
        <v>0.43</v>
      </c>
      <c r="F1092">
        <v>0</v>
      </c>
      <c r="G1092">
        <v>0.01</v>
      </c>
      <c r="H1092">
        <v>2.2727273000000001</v>
      </c>
      <c r="I1092">
        <v>5.94</v>
      </c>
      <c r="J1092">
        <v>73.67</v>
      </c>
      <c r="K1092">
        <v>35</v>
      </c>
      <c r="L1092">
        <v>50.936993000000001</v>
      </c>
      <c r="M1092">
        <v>9.1999999999999993</v>
      </c>
      <c r="S1092">
        <v>117600</v>
      </c>
      <c r="T1092">
        <v>15.179384000000001</v>
      </c>
      <c r="U1092">
        <v>39.782333999999999</v>
      </c>
    </row>
    <row r="1093" spans="1:21">
      <c r="A1093" t="s">
        <v>72</v>
      </c>
      <c r="B1093">
        <v>2020</v>
      </c>
      <c r="C1093">
        <v>881.58749999999998</v>
      </c>
      <c r="E1093">
        <v>0.41</v>
      </c>
      <c r="F1093">
        <v>0</v>
      </c>
      <c r="G1093">
        <v>0.01</v>
      </c>
      <c r="H1093">
        <v>2.3809524</v>
      </c>
      <c r="I1093">
        <v>6.49</v>
      </c>
      <c r="K1093">
        <v>35</v>
      </c>
      <c r="L1093">
        <v>52.171097000000003</v>
      </c>
      <c r="M1093">
        <v>9.3000000000000007</v>
      </c>
      <c r="S1093">
        <v>117600</v>
      </c>
      <c r="T1093">
        <v>15.179384000000001</v>
      </c>
      <c r="U1093">
        <v>39.782333999999999</v>
      </c>
    </row>
    <row r="1094" spans="1:21">
      <c r="A1094" t="s">
        <v>73</v>
      </c>
      <c r="B1094">
        <v>2000</v>
      </c>
      <c r="C1094">
        <v>39722.04</v>
      </c>
      <c r="D1094">
        <v>14920</v>
      </c>
      <c r="E1094">
        <v>8.5</v>
      </c>
      <c r="F1094">
        <v>0</v>
      </c>
      <c r="G1094">
        <v>0.01</v>
      </c>
      <c r="H1094">
        <v>0.11750881000000001</v>
      </c>
      <c r="J1094">
        <v>19.829999999999998</v>
      </c>
      <c r="K1094">
        <v>31</v>
      </c>
      <c r="L1094">
        <v>100</v>
      </c>
      <c r="M1094">
        <v>100</v>
      </c>
      <c r="N1094">
        <v>0.10166839</v>
      </c>
      <c r="P1094">
        <v>10.08763444</v>
      </c>
      <c r="Q1094">
        <v>4070.6090239999999</v>
      </c>
      <c r="R1094">
        <v>7.95</v>
      </c>
      <c r="S1094">
        <v>45228</v>
      </c>
      <c r="T1094">
        <v>58.595272000000001</v>
      </c>
      <c r="U1094">
        <v>25.013607</v>
      </c>
    </row>
    <row r="1095" spans="1:21">
      <c r="A1095" t="s">
        <v>73</v>
      </c>
      <c r="B1095">
        <v>2001</v>
      </c>
      <c r="C1095">
        <v>41673.483999999997</v>
      </c>
      <c r="D1095">
        <v>15380</v>
      </c>
      <c r="E1095">
        <v>8.4700000000000006</v>
      </c>
      <c r="F1095">
        <v>0</v>
      </c>
      <c r="G1095">
        <v>0.02</v>
      </c>
      <c r="H1095">
        <v>0.23557127</v>
      </c>
      <c r="J1095">
        <v>18.93</v>
      </c>
      <c r="K1095">
        <v>31</v>
      </c>
      <c r="L1095">
        <v>100</v>
      </c>
      <c r="M1095">
        <v>100</v>
      </c>
      <c r="N1095">
        <v>9.6303559999999996E-2</v>
      </c>
      <c r="P1095">
        <v>6.0036742509999996</v>
      </c>
      <c r="Q1095">
        <v>4505.8583319999998</v>
      </c>
      <c r="R1095">
        <v>7.83</v>
      </c>
      <c r="S1095">
        <v>45228</v>
      </c>
      <c r="T1095">
        <v>58.595272000000001</v>
      </c>
      <c r="U1095">
        <v>25.013607</v>
      </c>
    </row>
    <row r="1096" spans="1:21">
      <c r="A1096" t="s">
        <v>73</v>
      </c>
      <c r="B1096">
        <v>2002</v>
      </c>
      <c r="C1096">
        <v>41766.36</v>
      </c>
      <c r="D1096">
        <v>14949.999809999999</v>
      </c>
      <c r="E1096">
        <v>8.5</v>
      </c>
      <c r="F1096">
        <v>0</v>
      </c>
      <c r="G1096">
        <v>0.03</v>
      </c>
      <c r="H1096">
        <v>0.35169990000000001</v>
      </c>
      <c r="J1096">
        <v>19.41</v>
      </c>
      <c r="K1096">
        <v>31</v>
      </c>
      <c r="L1096">
        <v>100</v>
      </c>
      <c r="M1096">
        <v>100</v>
      </c>
      <c r="N1096">
        <v>0.18708262000000001</v>
      </c>
      <c r="P1096">
        <v>6.7713679300000003</v>
      </c>
      <c r="Q1096">
        <v>5341.6289470000002</v>
      </c>
      <c r="R1096">
        <v>7.01</v>
      </c>
      <c r="S1096">
        <v>45228</v>
      </c>
      <c r="T1096">
        <v>58.595272000000001</v>
      </c>
      <c r="U1096">
        <v>25.013607</v>
      </c>
    </row>
    <row r="1097" spans="1:21">
      <c r="A1097" t="s">
        <v>73</v>
      </c>
      <c r="B1097">
        <v>2003</v>
      </c>
      <c r="C1097">
        <v>45834.83</v>
      </c>
      <c r="D1097">
        <v>16940.000530000001</v>
      </c>
      <c r="E1097">
        <v>10.11</v>
      </c>
      <c r="F1097">
        <v>0</v>
      </c>
      <c r="G1097">
        <v>0.05</v>
      </c>
      <c r="H1097">
        <v>0.49212600000000001</v>
      </c>
      <c r="J1097">
        <v>19.82</v>
      </c>
      <c r="K1097">
        <v>31</v>
      </c>
      <c r="L1097">
        <v>100</v>
      </c>
      <c r="M1097">
        <v>100</v>
      </c>
      <c r="N1097">
        <v>0.22028497999999999</v>
      </c>
      <c r="P1097">
        <v>7.6002651849999996</v>
      </c>
      <c r="Q1097">
        <v>7203.5230380000003</v>
      </c>
      <c r="R1097">
        <v>7.21</v>
      </c>
      <c r="S1097">
        <v>45228</v>
      </c>
      <c r="T1097">
        <v>58.595272000000001</v>
      </c>
      <c r="U1097">
        <v>25.013607</v>
      </c>
    </row>
    <row r="1098" spans="1:21">
      <c r="A1098" t="s">
        <v>73</v>
      </c>
      <c r="B1098">
        <v>2004</v>
      </c>
      <c r="C1098">
        <v>47047.777000000002</v>
      </c>
      <c r="D1098">
        <v>17020.000459999999</v>
      </c>
      <c r="E1098">
        <v>10.25</v>
      </c>
      <c r="F1098">
        <v>0</v>
      </c>
      <c r="G1098">
        <v>0.06</v>
      </c>
      <c r="H1098">
        <v>0.58195925000000004</v>
      </c>
      <c r="J1098">
        <v>19.97</v>
      </c>
      <c r="K1098">
        <v>31</v>
      </c>
      <c r="L1098">
        <v>100</v>
      </c>
      <c r="M1098">
        <v>100</v>
      </c>
      <c r="N1098">
        <v>0.28742737000000002</v>
      </c>
      <c r="P1098">
        <v>6.8040077710000002</v>
      </c>
      <c r="Q1098">
        <v>8914.1035570000004</v>
      </c>
      <c r="R1098">
        <v>6.88</v>
      </c>
      <c r="S1098">
        <v>45228</v>
      </c>
      <c r="T1098">
        <v>58.595272000000001</v>
      </c>
      <c r="U1098">
        <v>25.013607</v>
      </c>
    </row>
    <row r="1099" spans="1:21">
      <c r="A1099" t="s">
        <v>73</v>
      </c>
      <c r="B1099">
        <v>2005</v>
      </c>
      <c r="C1099">
        <v>47588.28</v>
      </c>
      <c r="D1099">
        <v>17229.999540000001</v>
      </c>
      <c r="E1099">
        <v>10.09</v>
      </c>
      <c r="F1099">
        <v>0</v>
      </c>
      <c r="G1099">
        <v>0.11</v>
      </c>
      <c r="H1099">
        <v>1.0784313999999999</v>
      </c>
      <c r="J1099">
        <v>18.850000000000001</v>
      </c>
      <c r="K1099">
        <v>31</v>
      </c>
      <c r="L1099">
        <v>100</v>
      </c>
      <c r="M1099">
        <v>100</v>
      </c>
      <c r="N1099">
        <v>0.50052390000000002</v>
      </c>
      <c r="P1099">
        <v>9.5264269719999994</v>
      </c>
      <c r="Q1099">
        <v>10412.64431</v>
      </c>
      <c r="R1099">
        <v>6.18</v>
      </c>
      <c r="S1099">
        <v>45228</v>
      </c>
      <c r="T1099">
        <v>58.595272000000001</v>
      </c>
      <c r="U1099">
        <v>25.013607</v>
      </c>
    </row>
    <row r="1100" spans="1:21">
      <c r="A1100" t="s">
        <v>73</v>
      </c>
      <c r="B1100">
        <v>2006</v>
      </c>
      <c r="C1100">
        <v>47286.48</v>
      </c>
      <c r="D1100">
        <v>15979.999540000001</v>
      </c>
      <c r="E1100">
        <v>9.6</v>
      </c>
      <c r="F1100">
        <v>0</v>
      </c>
      <c r="G1100">
        <v>0.13</v>
      </c>
      <c r="H1100">
        <v>1.3360741</v>
      </c>
      <c r="J1100">
        <v>17.18</v>
      </c>
      <c r="K1100">
        <v>31</v>
      </c>
      <c r="L1100">
        <v>100</v>
      </c>
      <c r="M1100">
        <v>100</v>
      </c>
      <c r="N1100">
        <v>0.59395134000000005</v>
      </c>
      <c r="P1100">
        <v>9.7655833699999999</v>
      </c>
      <c r="Q1100">
        <v>12639.40007</v>
      </c>
      <c r="R1100">
        <v>5.49</v>
      </c>
      <c r="S1100">
        <v>45228</v>
      </c>
      <c r="T1100">
        <v>58.595272000000001</v>
      </c>
      <c r="U1100">
        <v>25.013607</v>
      </c>
    </row>
    <row r="1101" spans="1:21">
      <c r="A1101" t="s">
        <v>73</v>
      </c>
      <c r="B1101">
        <v>2007</v>
      </c>
      <c r="C1101">
        <v>55017.597999999998</v>
      </c>
      <c r="D1101">
        <v>19979.999540000001</v>
      </c>
      <c r="E1101">
        <v>12.04</v>
      </c>
      <c r="F1101">
        <v>0</v>
      </c>
      <c r="G1101">
        <v>0.14000000000000001</v>
      </c>
      <c r="H1101">
        <v>1.1494253000000001</v>
      </c>
      <c r="J1101">
        <v>18.559999999999999</v>
      </c>
      <c r="K1101">
        <v>31</v>
      </c>
      <c r="L1101">
        <v>100</v>
      </c>
      <c r="M1101">
        <v>100</v>
      </c>
      <c r="N1101">
        <v>0.5890301</v>
      </c>
      <c r="P1101">
        <v>7.5791405200000002</v>
      </c>
      <c r="Q1101">
        <v>16744.584449999998</v>
      </c>
      <c r="R1101">
        <v>5.71</v>
      </c>
      <c r="S1101">
        <v>45228</v>
      </c>
      <c r="T1101">
        <v>58.595272000000001</v>
      </c>
      <c r="U1101">
        <v>25.013607</v>
      </c>
    </row>
    <row r="1102" spans="1:21">
      <c r="A1102" t="s">
        <v>73</v>
      </c>
      <c r="B1102">
        <v>2008</v>
      </c>
      <c r="C1102">
        <v>50750.434000000001</v>
      </c>
      <c r="D1102">
        <v>18399.999619999999</v>
      </c>
      <c r="E1102">
        <v>10.38</v>
      </c>
      <c r="F1102">
        <v>0</v>
      </c>
      <c r="G1102">
        <v>0.2</v>
      </c>
      <c r="H1102">
        <v>1.8903592</v>
      </c>
      <c r="J1102">
        <v>20.29</v>
      </c>
      <c r="K1102">
        <v>31</v>
      </c>
      <c r="L1102">
        <v>100</v>
      </c>
      <c r="M1102">
        <v>100</v>
      </c>
      <c r="N1102">
        <v>0.84552629999999995</v>
      </c>
      <c r="P1102">
        <v>-5.1320009579999999</v>
      </c>
      <c r="Q1102">
        <v>18204.966479999999</v>
      </c>
      <c r="R1102">
        <v>5.81</v>
      </c>
      <c r="S1102">
        <v>45228</v>
      </c>
      <c r="T1102">
        <v>58.595272000000001</v>
      </c>
      <c r="U1102">
        <v>25.013607</v>
      </c>
    </row>
    <row r="1103" spans="1:21">
      <c r="A1103" t="s">
        <v>73</v>
      </c>
      <c r="B1103">
        <v>2009</v>
      </c>
      <c r="C1103">
        <v>43997.599999999999</v>
      </c>
      <c r="D1103">
        <v>15050.000190000001</v>
      </c>
      <c r="E1103">
        <v>8.24</v>
      </c>
      <c r="F1103">
        <v>0</v>
      </c>
      <c r="G1103">
        <v>0.54</v>
      </c>
      <c r="H1103">
        <v>6.1503424999999998</v>
      </c>
      <c r="J1103">
        <v>24.13</v>
      </c>
      <c r="K1103">
        <v>31</v>
      </c>
      <c r="L1103">
        <v>100</v>
      </c>
      <c r="M1103">
        <v>100</v>
      </c>
      <c r="N1103">
        <v>2.7872162</v>
      </c>
      <c r="P1103">
        <v>-14.62905503</v>
      </c>
      <c r="Q1103">
        <v>14711.735269999999</v>
      </c>
      <c r="R1103">
        <v>6.02</v>
      </c>
      <c r="S1103">
        <v>45228</v>
      </c>
      <c r="T1103">
        <v>58.595272000000001</v>
      </c>
      <c r="U1103">
        <v>25.013607</v>
      </c>
    </row>
    <row r="1104" spans="1:21">
      <c r="A1104" t="s">
        <v>73</v>
      </c>
      <c r="B1104">
        <v>2010</v>
      </c>
      <c r="C1104">
        <v>54935.6</v>
      </c>
      <c r="D1104">
        <v>19000</v>
      </c>
      <c r="E1104">
        <v>11.92</v>
      </c>
      <c r="F1104">
        <v>0</v>
      </c>
      <c r="G1104">
        <v>1.05</v>
      </c>
      <c r="H1104">
        <v>8.0956050000000008</v>
      </c>
      <c r="J1104">
        <v>25.35</v>
      </c>
      <c r="K1104">
        <v>31</v>
      </c>
      <c r="L1104">
        <v>100</v>
      </c>
      <c r="M1104">
        <v>100</v>
      </c>
      <c r="N1104">
        <v>4.3919715999999998</v>
      </c>
      <c r="P1104">
        <v>2.4442651180000001</v>
      </c>
      <c r="Q1104">
        <v>14663.044610000001</v>
      </c>
      <c r="R1104">
        <v>6.77</v>
      </c>
      <c r="S1104">
        <v>45228</v>
      </c>
      <c r="T1104">
        <v>58.595272000000001</v>
      </c>
      <c r="U1104">
        <v>25.013607</v>
      </c>
    </row>
    <row r="1105" spans="1:21">
      <c r="A1105" t="s">
        <v>73</v>
      </c>
      <c r="B1105">
        <v>2011</v>
      </c>
      <c r="C1105">
        <v>54965.695</v>
      </c>
      <c r="D1105">
        <v>18170.000080000002</v>
      </c>
      <c r="E1105">
        <v>11.71</v>
      </c>
      <c r="F1105">
        <v>0</v>
      </c>
      <c r="G1105">
        <v>1.18</v>
      </c>
      <c r="H1105">
        <v>9.1543829999999993</v>
      </c>
      <c r="J1105">
        <v>24.98</v>
      </c>
      <c r="K1105">
        <v>31</v>
      </c>
      <c r="L1105">
        <v>100</v>
      </c>
      <c r="M1105">
        <v>100</v>
      </c>
      <c r="N1105">
        <v>4.9312315</v>
      </c>
      <c r="P1105">
        <v>7.2630845810000002</v>
      </c>
      <c r="Q1105">
        <v>17464.92008</v>
      </c>
      <c r="R1105">
        <v>6.3</v>
      </c>
      <c r="S1105">
        <v>45228</v>
      </c>
      <c r="T1105">
        <v>58.595272000000001</v>
      </c>
      <c r="U1105">
        <v>25.013607</v>
      </c>
    </row>
    <row r="1106" spans="1:21">
      <c r="A1106" t="s">
        <v>73</v>
      </c>
      <c r="B1106">
        <v>2012</v>
      </c>
      <c r="C1106">
        <v>55555.875</v>
      </c>
      <c r="D1106">
        <v>16889.999390000001</v>
      </c>
      <c r="E1106">
        <v>10.49</v>
      </c>
      <c r="F1106">
        <v>0</v>
      </c>
      <c r="G1106">
        <v>1.47</v>
      </c>
      <c r="H1106">
        <v>12.29097</v>
      </c>
      <c r="J1106">
        <v>24.88</v>
      </c>
      <c r="K1106">
        <v>31</v>
      </c>
      <c r="L1106">
        <v>100</v>
      </c>
      <c r="M1106">
        <v>100</v>
      </c>
      <c r="N1106">
        <v>6.1257634000000003</v>
      </c>
      <c r="P1106">
        <v>3.2282004940000002</v>
      </c>
      <c r="Q1106">
        <v>17404.200799999999</v>
      </c>
      <c r="R1106">
        <v>6</v>
      </c>
      <c r="S1106">
        <v>45228</v>
      </c>
      <c r="T1106">
        <v>58.595272000000001</v>
      </c>
      <c r="U1106">
        <v>25.013607</v>
      </c>
    </row>
    <row r="1107" spans="1:21">
      <c r="A1107" t="s">
        <v>73</v>
      </c>
      <c r="B1107">
        <v>2013</v>
      </c>
      <c r="C1107">
        <v>58773.523000000001</v>
      </c>
      <c r="D1107">
        <v>19319.999690000001</v>
      </c>
      <c r="E1107">
        <v>12.05</v>
      </c>
      <c r="F1107">
        <v>0</v>
      </c>
      <c r="G1107">
        <v>1.23</v>
      </c>
      <c r="H1107">
        <v>9.2620489999999993</v>
      </c>
      <c r="J1107">
        <v>24.43</v>
      </c>
      <c r="K1107">
        <v>31</v>
      </c>
      <c r="L1107">
        <v>100</v>
      </c>
      <c r="M1107">
        <v>100</v>
      </c>
      <c r="N1107">
        <v>4.7120137</v>
      </c>
      <c r="P1107">
        <v>1.4584286360000001</v>
      </c>
      <c r="Q1107">
        <v>19050.585920000001</v>
      </c>
      <c r="R1107">
        <v>6.54</v>
      </c>
      <c r="S1107">
        <v>45228</v>
      </c>
      <c r="T1107">
        <v>58.595272000000001</v>
      </c>
      <c r="U1107">
        <v>25.013607</v>
      </c>
    </row>
    <row r="1108" spans="1:21">
      <c r="A1108" t="s">
        <v>73</v>
      </c>
      <c r="B1108">
        <v>2014</v>
      </c>
      <c r="C1108">
        <v>56413.82</v>
      </c>
      <c r="D1108">
        <v>17940.000530000001</v>
      </c>
      <c r="E1108">
        <v>11.06</v>
      </c>
      <c r="F1108">
        <v>0</v>
      </c>
      <c r="G1108">
        <v>1.39</v>
      </c>
      <c r="H1108">
        <v>11.164659</v>
      </c>
      <c r="J1108">
        <v>25.3</v>
      </c>
      <c r="K1108">
        <v>31</v>
      </c>
      <c r="L1108">
        <v>100</v>
      </c>
      <c r="M1108">
        <v>100</v>
      </c>
      <c r="N1108">
        <v>5.5141263</v>
      </c>
      <c r="P1108">
        <v>3.0113665869999999</v>
      </c>
      <c r="Q1108">
        <v>20234.117419999999</v>
      </c>
      <c r="R1108">
        <v>6.02</v>
      </c>
      <c r="S1108">
        <v>45228</v>
      </c>
      <c r="T1108">
        <v>58.595272000000001</v>
      </c>
      <c r="U1108">
        <v>25.013607</v>
      </c>
    </row>
    <row r="1109" spans="1:21">
      <c r="A1109" t="s">
        <v>73</v>
      </c>
      <c r="B1109">
        <v>2015</v>
      </c>
      <c r="C1109">
        <v>52196.046999999999</v>
      </c>
      <c r="D1109">
        <v>15539.999959999999</v>
      </c>
      <c r="E1109">
        <v>8.59</v>
      </c>
      <c r="F1109">
        <v>0</v>
      </c>
      <c r="G1109">
        <v>1.56</v>
      </c>
      <c r="H1109">
        <v>15.369459000000001</v>
      </c>
      <c r="J1109">
        <v>28.16</v>
      </c>
      <c r="K1109">
        <v>31</v>
      </c>
      <c r="L1109">
        <v>100</v>
      </c>
      <c r="M1109">
        <v>100</v>
      </c>
      <c r="N1109">
        <v>6.5789819999999999</v>
      </c>
      <c r="P1109">
        <v>1.8530200459999999</v>
      </c>
      <c r="Q1109">
        <v>17395.04062</v>
      </c>
      <c r="R1109">
        <v>5.59</v>
      </c>
      <c r="S1109">
        <v>45228</v>
      </c>
      <c r="T1109">
        <v>58.595272000000001</v>
      </c>
      <c r="U1109">
        <v>25.013607</v>
      </c>
    </row>
    <row r="1110" spans="1:21">
      <c r="A1110" t="s">
        <v>73</v>
      </c>
      <c r="B1110">
        <v>2016</v>
      </c>
      <c r="C1110">
        <v>53774.245999999999</v>
      </c>
      <c r="D1110">
        <v>15989.99977</v>
      </c>
      <c r="E1110">
        <v>10.58</v>
      </c>
      <c r="F1110">
        <v>0</v>
      </c>
      <c r="G1110">
        <v>1.59</v>
      </c>
      <c r="H1110">
        <v>13.064914</v>
      </c>
      <c r="J1110">
        <v>27.24</v>
      </c>
      <c r="K1110">
        <v>31</v>
      </c>
      <c r="L1110">
        <v>100</v>
      </c>
      <c r="M1110">
        <v>100</v>
      </c>
      <c r="N1110">
        <v>6.4272419999999997</v>
      </c>
      <c r="P1110">
        <v>3.1555648139999999</v>
      </c>
      <c r="Q1110">
        <v>18282.92339</v>
      </c>
      <c r="R1110">
        <v>5.94</v>
      </c>
      <c r="S1110">
        <v>45228</v>
      </c>
      <c r="T1110">
        <v>58.595272000000001</v>
      </c>
      <c r="U1110">
        <v>25.013607</v>
      </c>
    </row>
    <row r="1111" spans="1:21">
      <c r="A1111" t="s">
        <v>73</v>
      </c>
      <c r="B1111">
        <v>2017</v>
      </c>
      <c r="C1111">
        <v>59568.55</v>
      </c>
      <c r="D1111">
        <v>16709.999080000001</v>
      </c>
      <c r="E1111">
        <v>11.3</v>
      </c>
      <c r="F1111">
        <v>0</v>
      </c>
      <c r="G1111">
        <v>1.86</v>
      </c>
      <c r="H1111">
        <v>14.1337385</v>
      </c>
      <c r="J1111">
        <v>27.53</v>
      </c>
      <c r="K1111">
        <v>31</v>
      </c>
      <c r="L1111">
        <v>100</v>
      </c>
      <c r="M1111">
        <v>100</v>
      </c>
      <c r="N1111">
        <v>6.8303320000000003</v>
      </c>
      <c r="P1111">
        <v>5.7920446749999996</v>
      </c>
      <c r="Q1111">
        <v>20387.283149999999</v>
      </c>
      <c r="R1111">
        <v>5.36</v>
      </c>
      <c r="S1111">
        <v>45228</v>
      </c>
      <c r="T1111">
        <v>58.595272000000001</v>
      </c>
      <c r="U1111">
        <v>25.013607</v>
      </c>
    </row>
    <row r="1112" spans="1:21">
      <c r="A1112" t="s">
        <v>73</v>
      </c>
      <c r="B1112">
        <v>2018</v>
      </c>
      <c r="C1112">
        <v>58899.945</v>
      </c>
      <c r="D1112">
        <v>15319.999690000001</v>
      </c>
      <c r="E1112">
        <v>10.38</v>
      </c>
      <c r="F1112">
        <v>0</v>
      </c>
      <c r="G1112">
        <v>1.99</v>
      </c>
      <c r="H1112">
        <v>16.087309000000001</v>
      </c>
      <c r="J1112">
        <v>28.59</v>
      </c>
      <c r="K1112">
        <v>31</v>
      </c>
      <c r="L1112">
        <v>100</v>
      </c>
      <c r="M1112">
        <v>100</v>
      </c>
      <c r="N1112">
        <v>7.5072830000000002</v>
      </c>
      <c r="P1112">
        <v>4.1338197980000002</v>
      </c>
      <c r="Q1112">
        <v>23052.30126</v>
      </c>
      <c r="R1112">
        <v>5.54</v>
      </c>
      <c r="S1112">
        <v>45228</v>
      </c>
      <c r="T1112">
        <v>58.595272000000001</v>
      </c>
      <c r="U1112">
        <v>25.013607</v>
      </c>
    </row>
    <row r="1113" spans="1:21">
      <c r="A1113" t="s">
        <v>73</v>
      </c>
      <c r="B1113">
        <v>2019</v>
      </c>
      <c r="C1113">
        <v>47295.336000000003</v>
      </c>
      <c r="D1113">
        <v>10180.000309999999</v>
      </c>
      <c r="E1113">
        <v>5.47</v>
      </c>
      <c r="F1113">
        <v>0</v>
      </c>
      <c r="G1113">
        <v>2.14</v>
      </c>
      <c r="H1113">
        <v>28.120895000000001</v>
      </c>
      <c r="J1113">
        <v>31.29</v>
      </c>
      <c r="K1113">
        <v>31</v>
      </c>
      <c r="L1113">
        <v>100</v>
      </c>
      <c r="M1113">
        <v>100</v>
      </c>
      <c r="N1113">
        <v>9.9129900000000006</v>
      </c>
      <c r="P1113">
        <v>4.0963426439999999</v>
      </c>
      <c r="Q1113">
        <v>23397.120009999999</v>
      </c>
      <c r="R1113">
        <v>4.49</v>
      </c>
      <c r="S1113">
        <v>45228</v>
      </c>
      <c r="T1113">
        <v>58.595272000000001</v>
      </c>
      <c r="U1113">
        <v>25.013607</v>
      </c>
    </row>
    <row r="1114" spans="1:21">
      <c r="A1114" t="s">
        <v>73</v>
      </c>
      <c r="B1114">
        <v>2020</v>
      </c>
      <c r="C1114">
        <v>44218.28</v>
      </c>
      <c r="E1114">
        <v>3.11</v>
      </c>
      <c r="F1114">
        <v>0</v>
      </c>
      <c r="G1114">
        <v>2.97</v>
      </c>
      <c r="H1114">
        <v>48.848686000000001</v>
      </c>
      <c r="K1114">
        <v>31</v>
      </c>
      <c r="L1114">
        <v>100</v>
      </c>
      <c r="M1114">
        <v>100</v>
      </c>
      <c r="N1114">
        <v>14.138368</v>
      </c>
      <c r="P1114">
        <v>-2.9510693130000001</v>
      </c>
      <c r="Q1114">
        <v>23027.026999999998</v>
      </c>
      <c r="S1114">
        <v>45228</v>
      </c>
      <c r="T1114">
        <v>58.595272000000001</v>
      </c>
      <c r="U1114">
        <v>25.013607</v>
      </c>
    </row>
    <row r="1115" spans="1:21">
      <c r="A1115" t="s">
        <v>74</v>
      </c>
      <c r="B1115">
        <v>2000</v>
      </c>
      <c r="C1115">
        <v>6083.9030000000002</v>
      </c>
      <c r="D1115">
        <v>690</v>
      </c>
      <c r="E1115">
        <v>0.06</v>
      </c>
      <c r="F1115">
        <v>0</v>
      </c>
      <c r="G1115">
        <v>0.55000000000000004</v>
      </c>
      <c r="H1115">
        <v>90.163929999999993</v>
      </c>
      <c r="I1115">
        <v>103.24</v>
      </c>
      <c r="J1115">
        <v>59.39</v>
      </c>
      <c r="K1115">
        <v>67</v>
      </c>
      <c r="L1115">
        <v>20.195762999999999</v>
      </c>
      <c r="M1115">
        <v>24.3</v>
      </c>
      <c r="P1115">
        <v>1.76017376</v>
      </c>
      <c r="Q1115">
        <v>1728.7104979999999</v>
      </c>
      <c r="R1115">
        <v>6.23</v>
      </c>
      <c r="S1115">
        <v>17364</v>
      </c>
      <c r="T1115">
        <v>-26.522503</v>
      </c>
      <c r="U1115">
        <v>31.465865999999998</v>
      </c>
    </row>
    <row r="1116" spans="1:21">
      <c r="A1116" t="s">
        <v>74</v>
      </c>
      <c r="B1116">
        <v>2001</v>
      </c>
      <c r="C1116">
        <v>6071.866</v>
      </c>
      <c r="D1116">
        <v>610</v>
      </c>
      <c r="E1116">
        <v>0.06</v>
      </c>
      <c r="F1116">
        <v>0</v>
      </c>
      <c r="G1116">
        <v>0.56999999999999995</v>
      </c>
      <c r="H1116">
        <v>90.476190000000003</v>
      </c>
      <c r="I1116">
        <v>102.41</v>
      </c>
      <c r="J1116">
        <v>61.24</v>
      </c>
      <c r="K1116">
        <v>67</v>
      </c>
      <c r="L1116">
        <v>26.9</v>
      </c>
      <c r="M1116">
        <v>25.4</v>
      </c>
      <c r="P1116">
        <v>1.0547649059999999</v>
      </c>
      <c r="Q1116">
        <v>1521.7690749999999</v>
      </c>
      <c r="R1116">
        <v>5.98</v>
      </c>
      <c r="S1116">
        <v>17364</v>
      </c>
      <c r="T1116">
        <v>-26.522503</v>
      </c>
      <c r="U1116">
        <v>31.465865999999998</v>
      </c>
    </row>
    <row r="1117" spans="1:21">
      <c r="A1117" t="s">
        <v>74</v>
      </c>
      <c r="B1117">
        <v>2002</v>
      </c>
      <c r="C1117">
        <v>6199.8135000000002</v>
      </c>
      <c r="D1117">
        <v>620.00000480000006</v>
      </c>
      <c r="E1117">
        <v>0.06</v>
      </c>
      <c r="F1117">
        <v>0</v>
      </c>
      <c r="G1117">
        <v>0.59</v>
      </c>
      <c r="H1117">
        <v>90.769226000000003</v>
      </c>
      <c r="I1117">
        <v>101.86</v>
      </c>
      <c r="J1117">
        <v>63.65</v>
      </c>
      <c r="K1117">
        <v>67</v>
      </c>
      <c r="L1117">
        <v>25.808669999999999</v>
      </c>
      <c r="M1117">
        <v>26.4</v>
      </c>
      <c r="P1117">
        <v>4.3800990879999997</v>
      </c>
      <c r="Q1117">
        <v>1405.4487059999999</v>
      </c>
      <c r="R1117">
        <v>5.89</v>
      </c>
      <c r="S1117">
        <v>17364</v>
      </c>
      <c r="T1117">
        <v>-26.522503</v>
      </c>
      <c r="U1117">
        <v>31.465865999999998</v>
      </c>
    </row>
    <row r="1118" spans="1:21">
      <c r="A1118" t="s">
        <v>74</v>
      </c>
      <c r="B1118">
        <v>2003</v>
      </c>
      <c r="C1118">
        <v>5659.0590000000002</v>
      </c>
      <c r="D1118">
        <v>629.99999519999994</v>
      </c>
      <c r="E1118">
        <v>0.06</v>
      </c>
      <c r="F1118">
        <v>0</v>
      </c>
      <c r="G1118">
        <v>0.5</v>
      </c>
      <c r="H1118">
        <v>89.285709999999995</v>
      </c>
      <c r="I1118">
        <v>101.5</v>
      </c>
      <c r="J1118">
        <v>65.59</v>
      </c>
      <c r="K1118">
        <v>67</v>
      </c>
      <c r="L1118">
        <v>28.606096000000001</v>
      </c>
      <c r="M1118">
        <v>27.8</v>
      </c>
      <c r="O1118">
        <v>9820000</v>
      </c>
      <c r="P1118">
        <v>3.880213586</v>
      </c>
      <c r="Q1118">
        <v>2148.6324749999999</v>
      </c>
      <c r="R1118">
        <v>5.66</v>
      </c>
      <c r="S1118">
        <v>17364</v>
      </c>
      <c r="T1118">
        <v>-26.522503</v>
      </c>
      <c r="U1118">
        <v>31.465865999999998</v>
      </c>
    </row>
    <row r="1119" spans="1:21">
      <c r="A1119" t="s">
        <v>74</v>
      </c>
      <c r="B1119">
        <v>2004</v>
      </c>
      <c r="C1119">
        <v>5462.625</v>
      </c>
      <c r="D1119">
        <v>629.99999519999994</v>
      </c>
      <c r="E1119">
        <v>0.06</v>
      </c>
      <c r="F1119">
        <v>0</v>
      </c>
      <c r="G1119">
        <v>0.47</v>
      </c>
      <c r="H1119">
        <v>88.679249999999996</v>
      </c>
      <c r="I1119">
        <v>101.19</v>
      </c>
      <c r="J1119">
        <v>65.64</v>
      </c>
      <c r="K1119">
        <v>67</v>
      </c>
      <c r="L1119">
        <v>31.400637</v>
      </c>
      <c r="M1119">
        <v>29.3</v>
      </c>
      <c r="P1119">
        <v>3.6239142260000001</v>
      </c>
      <c r="Q1119">
        <v>2699.1307419999998</v>
      </c>
      <c r="R1119">
        <v>5.45</v>
      </c>
      <c r="S1119">
        <v>17364</v>
      </c>
      <c r="T1119">
        <v>-26.522503</v>
      </c>
      <c r="U1119">
        <v>31.465865999999998</v>
      </c>
    </row>
    <row r="1120" spans="1:21">
      <c r="A1120" t="s">
        <v>74</v>
      </c>
      <c r="B1120">
        <v>2005</v>
      </c>
      <c r="C1120">
        <v>5620.2163</v>
      </c>
      <c r="D1120">
        <v>660.00002619999998</v>
      </c>
      <c r="E1120">
        <v>0.06</v>
      </c>
      <c r="F1120">
        <v>0</v>
      </c>
      <c r="G1120">
        <v>0.54</v>
      </c>
      <c r="H1120">
        <v>90</v>
      </c>
      <c r="I1120">
        <v>100.83</v>
      </c>
      <c r="J1120">
        <v>66.56</v>
      </c>
      <c r="K1120">
        <v>67</v>
      </c>
      <c r="L1120">
        <v>34.19464</v>
      </c>
      <c r="M1120">
        <v>30.1</v>
      </c>
      <c r="P1120">
        <v>5.9987765499999997</v>
      </c>
      <c r="Q1120">
        <v>3083.8381410000002</v>
      </c>
      <c r="R1120">
        <v>5.32</v>
      </c>
      <c r="S1120">
        <v>17364</v>
      </c>
      <c r="T1120">
        <v>-26.522503</v>
      </c>
      <c r="U1120">
        <v>31.465865999999998</v>
      </c>
    </row>
    <row r="1121" spans="1:21">
      <c r="A1121" t="s">
        <v>74</v>
      </c>
      <c r="B1121">
        <v>2006</v>
      </c>
      <c r="C1121">
        <v>5687.3140000000003</v>
      </c>
      <c r="D1121">
        <v>649.99997619999999</v>
      </c>
      <c r="E1121">
        <v>0.06</v>
      </c>
      <c r="F1121">
        <v>0</v>
      </c>
      <c r="G1121">
        <v>0.54</v>
      </c>
      <c r="H1121">
        <v>90</v>
      </c>
      <c r="I1121">
        <v>100.33</v>
      </c>
      <c r="J1121">
        <v>71.42</v>
      </c>
      <c r="K1121">
        <v>67</v>
      </c>
      <c r="L1121">
        <v>35.200000000000003</v>
      </c>
      <c r="M1121">
        <v>31.8</v>
      </c>
      <c r="P1121">
        <v>5.9921668380000002</v>
      </c>
      <c r="Q1121">
        <v>3176.6911679999998</v>
      </c>
      <c r="R1121">
        <v>5.76</v>
      </c>
      <c r="S1121">
        <v>17364</v>
      </c>
      <c r="T1121">
        <v>-26.522503</v>
      </c>
      <c r="U1121">
        <v>31.465865999999998</v>
      </c>
    </row>
    <row r="1122" spans="1:21">
      <c r="A1122" t="s">
        <v>74</v>
      </c>
      <c r="B1122">
        <v>2007</v>
      </c>
      <c r="C1122">
        <v>5892.16</v>
      </c>
      <c r="D1122">
        <v>660.00002619999998</v>
      </c>
      <c r="E1122">
        <v>0.06</v>
      </c>
      <c r="F1122">
        <v>0</v>
      </c>
      <c r="G1122">
        <v>0.56999999999999995</v>
      </c>
      <c r="H1122">
        <v>90.476190000000003</v>
      </c>
      <c r="I1122">
        <v>99.76</v>
      </c>
      <c r="J1122">
        <v>71.349999999999994</v>
      </c>
      <c r="K1122">
        <v>67</v>
      </c>
      <c r="L1122">
        <v>39.790913000000003</v>
      </c>
      <c r="M1122">
        <v>33.700000000000003</v>
      </c>
      <c r="P1122">
        <v>4.4353755770000003</v>
      </c>
      <c r="Q1122">
        <v>3327.4451340000001</v>
      </c>
      <c r="R1122">
        <v>5.64</v>
      </c>
      <c r="S1122">
        <v>17364</v>
      </c>
      <c r="T1122">
        <v>-26.522503</v>
      </c>
      <c r="U1122">
        <v>31.465865999999998</v>
      </c>
    </row>
    <row r="1123" spans="1:21">
      <c r="A1123" t="s">
        <v>74</v>
      </c>
      <c r="B1123">
        <v>2008</v>
      </c>
      <c r="C1123">
        <v>5664.2330000000002</v>
      </c>
      <c r="D1123">
        <v>629.99999519999994</v>
      </c>
      <c r="E1123">
        <v>0.06</v>
      </c>
      <c r="F1123">
        <v>0</v>
      </c>
      <c r="G1123">
        <v>0.54</v>
      </c>
      <c r="H1123">
        <v>90</v>
      </c>
      <c r="I1123">
        <v>117.95</v>
      </c>
      <c r="J1123">
        <v>72.680000000000007</v>
      </c>
      <c r="K1123">
        <v>67</v>
      </c>
      <c r="L1123">
        <v>42.59854</v>
      </c>
      <c r="M1123">
        <v>35.299999999999997</v>
      </c>
      <c r="P1123">
        <v>0.82166391400000005</v>
      </c>
      <c r="Q1123">
        <v>3137.3872660000002</v>
      </c>
      <c r="R1123">
        <v>5.61</v>
      </c>
      <c r="S1123">
        <v>17364</v>
      </c>
      <c r="T1123">
        <v>-26.522503</v>
      </c>
      <c r="U1123">
        <v>31.465865999999998</v>
      </c>
    </row>
    <row r="1124" spans="1:21">
      <c r="A1124" t="s">
        <v>74</v>
      </c>
      <c r="B1124">
        <v>2009</v>
      </c>
      <c r="C1124">
        <v>5503.0060000000003</v>
      </c>
      <c r="D1124">
        <v>699.9999881</v>
      </c>
      <c r="E1124">
        <v>0.06</v>
      </c>
      <c r="F1124">
        <v>0</v>
      </c>
      <c r="G1124">
        <v>0.56999999999999995</v>
      </c>
      <c r="H1124">
        <v>90.476190000000003</v>
      </c>
      <c r="I1124">
        <v>117.14</v>
      </c>
      <c r="J1124">
        <v>70.83</v>
      </c>
      <c r="K1124">
        <v>67</v>
      </c>
      <c r="L1124">
        <v>38.6</v>
      </c>
      <c r="M1124">
        <v>37.1</v>
      </c>
      <c r="P1124">
        <v>1.5650488520000001</v>
      </c>
      <c r="Q1124">
        <v>3385.8588460000001</v>
      </c>
      <c r="R1124">
        <v>5.52</v>
      </c>
      <c r="S1124">
        <v>17364</v>
      </c>
      <c r="T1124">
        <v>-26.522503</v>
      </c>
      <c r="U1124">
        <v>31.465865999999998</v>
      </c>
    </row>
    <row r="1125" spans="1:21">
      <c r="A1125" t="s">
        <v>74</v>
      </c>
      <c r="B1125">
        <v>2010</v>
      </c>
      <c r="C1125">
        <v>5146.9579999999996</v>
      </c>
      <c r="D1125">
        <v>649.99997619999999</v>
      </c>
      <c r="E1125">
        <v>0.06</v>
      </c>
      <c r="F1125">
        <v>0</v>
      </c>
      <c r="G1125">
        <v>0.57999999999999996</v>
      </c>
      <c r="H1125">
        <v>90.625</v>
      </c>
      <c r="I1125">
        <v>116.65</v>
      </c>
      <c r="J1125">
        <v>72.39</v>
      </c>
      <c r="K1125">
        <v>67</v>
      </c>
      <c r="L1125">
        <v>45.552337999999999</v>
      </c>
      <c r="M1125">
        <v>39.1</v>
      </c>
      <c r="P1125">
        <v>3.793754968</v>
      </c>
      <c r="Q1125">
        <v>4168.4894029999996</v>
      </c>
      <c r="R1125">
        <v>5.22</v>
      </c>
      <c r="S1125">
        <v>17364</v>
      </c>
      <c r="T1125">
        <v>-26.522503</v>
      </c>
      <c r="U1125">
        <v>31.465865999999998</v>
      </c>
    </row>
    <row r="1126" spans="1:21">
      <c r="A1126" t="s">
        <v>74</v>
      </c>
      <c r="B1126">
        <v>2011</v>
      </c>
      <c r="C1126">
        <v>5236.0625</v>
      </c>
      <c r="D1126">
        <v>660.00002619999998</v>
      </c>
      <c r="E1126">
        <v>0.03</v>
      </c>
      <c r="F1126">
        <v>0</v>
      </c>
      <c r="G1126">
        <v>0.68</v>
      </c>
      <c r="H1126">
        <v>95.774649999999994</v>
      </c>
      <c r="I1126">
        <v>173.35</v>
      </c>
      <c r="J1126">
        <v>72.52</v>
      </c>
      <c r="K1126">
        <v>67</v>
      </c>
      <c r="L1126">
        <v>51.148006000000002</v>
      </c>
      <c r="M1126">
        <v>41</v>
      </c>
      <c r="P1126">
        <v>2.2472297609999998</v>
      </c>
      <c r="Q1126">
        <v>4496.6133609999997</v>
      </c>
      <c r="R1126">
        <v>5.18</v>
      </c>
      <c r="S1126">
        <v>17364</v>
      </c>
      <c r="T1126">
        <v>-26.522503</v>
      </c>
      <c r="U1126">
        <v>31.465865999999998</v>
      </c>
    </row>
    <row r="1127" spans="1:21">
      <c r="A1127" t="s">
        <v>74</v>
      </c>
      <c r="B1127">
        <v>2012</v>
      </c>
      <c r="C1127">
        <v>5162.8530000000001</v>
      </c>
      <c r="D1127">
        <v>680.00000720000003</v>
      </c>
      <c r="E1127">
        <v>0.04</v>
      </c>
      <c r="F1127">
        <v>0</v>
      </c>
      <c r="G1127">
        <v>0.7</v>
      </c>
      <c r="H1127">
        <v>94.5946</v>
      </c>
      <c r="I1127">
        <v>172.21</v>
      </c>
      <c r="J1127">
        <v>71.41</v>
      </c>
      <c r="K1127">
        <v>67</v>
      </c>
      <c r="L1127">
        <v>54.366225999999997</v>
      </c>
      <c r="M1127">
        <v>42.7</v>
      </c>
      <c r="P1127">
        <v>5.396630697</v>
      </c>
      <c r="Q1127">
        <v>4527.5650390000001</v>
      </c>
      <c r="R1127">
        <v>5.08</v>
      </c>
      <c r="S1127">
        <v>17364</v>
      </c>
      <c r="T1127">
        <v>-26.522503</v>
      </c>
      <c r="U1127">
        <v>31.465865999999998</v>
      </c>
    </row>
    <row r="1128" spans="1:21">
      <c r="A1128" t="s">
        <v>74</v>
      </c>
      <c r="B1128">
        <v>2013</v>
      </c>
      <c r="C1128">
        <v>5053.2617</v>
      </c>
      <c r="D1128">
        <v>750</v>
      </c>
      <c r="E1128">
        <v>0.04</v>
      </c>
      <c r="F1128">
        <v>0</v>
      </c>
      <c r="G1128">
        <v>0.77</v>
      </c>
      <c r="H1128">
        <v>95.061729999999997</v>
      </c>
      <c r="I1128">
        <v>171.03</v>
      </c>
      <c r="J1128">
        <v>69.7</v>
      </c>
      <c r="K1128">
        <v>67</v>
      </c>
      <c r="L1128">
        <v>57.562514999999998</v>
      </c>
      <c r="M1128">
        <v>44.2</v>
      </c>
      <c r="P1128">
        <v>3.8612137980000001</v>
      </c>
      <c r="Q1128">
        <v>4230.1712660000003</v>
      </c>
      <c r="R1128">
        <v>5.39</v>
      </c>
      <c r="S1128">
        <v>17364</v>
      </c>
      <c r="T1128">
        <v>-26.522503</v>
      </c>
      <c r="U1128">
        <v>31.465865999999998</v>
      </c>
    </row>
    <row r="1129" spans="1:21">
      <c r="A1129" t="s">
        <v>74</v>
      </c>
      <c r="B1129">
        <v>2014</v>
      </c>
      <c r="C1129">
        <v>5096.1387000000004</v>
      </c>
      <c r="D1129">
        <v>750</v>
      </c>
      <c r="E1129">
        <v>0.04</v>
      </c>
      <c r="F1129">
        <v>0</v>
      </c>
      <c r="G1129">
        <v>0.61</v>
      </c>
      <c r="H1129">
        <v>93.846159999999998</v>
      </c>
      <c r="I1129">
        <v>154.25</v>
      </c>
      <c r="J1129">
        <v>71.67</v>
      </c>
      <c r="K1129">
        <v>67</v>
      </c>
      <c r="L1129">
        <v>65</v>
      </c>
      <c r="M1129">
        <v>46.3</v>
      </c>
      <c r="P1129">
        <v>0.92323054699999996</v>
      </c>
      <c r="Q1129">
        <v>4039.159341</v>
      </c>
      <c r="R1129">
        <v>4.74</v>
      </c>
      <c r="S1129">
        <v>17364</v>
      </c>
      <c r="T1129">
        <v>-26.522503</v>
      </c>
      <c r="U1129">
        <v>31.465865999999998</v>
      </c>
    </row>
    <row r="1130" spans="1:21">
      <c r="A1130" t="s">
        <v>74</v>
      </c>
      <c r="B1130">
        <v>2015</v>
      </c>
      <c r="C1130">
        <v>5016.5043999999998</v>
      </c>
      <c r="D1130">
        <v>769.99998089999997</v>
      </c>
      <c r="E1130">
        <v>0.04</v>
      </c>
      <c r="F1130">
        <v>0</v>
      </c>
      <c r="G1130">
        <v>0.51</v>
      </c>
      <c r="H1130">
        <v>92.727270000000004</v>
      </c>
      <c r="I1130">
        <v>153.01</v>
      </c>
      <c r="J1130">
        <v>71.680000000000007</v>
      </c>
      <c r="K1130">
        <v>67</v>
      </c>
      <c r="L1130">
        <v>64.012410000000003</v>
      </c>
      <c r="M1130">
        <v>47.6</v>
      </c>
      <c r="O1130">
        <v>1040000</v>
      </c>
      <c r="P1130">
        <v>2.2274806749999998</v>
      </c>
      <c r="Q1130">
        <v>3680.3494730000002</v>
      </c>
      <c r="R1130">
        <v>4.99</v>
      </c>
      <c r="S1130">
        <v>17364</v>
      </c>
      <c r="T1130">
        <v>-26.522503</v>
      </c>
      <c r="U1130">
        <v>31.465865999999998</v>
      </c>
    </row>
    <row r="1131" spans="1:21">
      <c r="A1131" t="s">
        <v>74</v>
      </c>
      <c r="B1131">
        <v>2016</v>
      </c>
      <c r="C1131">
        <v>5267.826</v>
      </c>
      <c r="D1131">
        <v>839.99997380000002</v>
      </c>
      <c r="E1131">
        <v>0.04</v>
      </c>
      <c r="F1131">
        <v>0</v>
      </c>
      <c r="G1131">
        <v>0.52</v>
      </c>
      <c r="H1131">
        <v>92.857140000000001</v>
      </c>
      <c r="I1131">
        <v>151.72999999999999</v>
      </c>
      <c r="J1131">
        <v>69.61</v>
      </c>
      <c r="K1131">
        <v>67</v>
      </c>
      <c r="L1131">
        <v>63.43</v>
      </c>
      <c r="M1131">
        <v>49.2</v>
      </c>
      <c r="P1131">
        <v>1.062610193</v>
      </c>
      <c r="Q1131">
        <v>3425.5319570000001</v>
      </c>
      <c r="R1131">
        <v>5.28</v>
      </c>
      <c r="S1131">
        <v>17364</v>
      </c>
      <c r="T1131">
        <v>-26.522503</v>
      </c>
      <c r="U1131">
        <v>31.465865999999998</v>
      </c>
    </row>
    <row r="1132" spans="1:21">
      <c r="A1132" t="s">
        <v>74</v>
      </c>
      <c r="B1132">
        <v>2017</v>
      </c>
      <c r="C1132">
        <v>5553.8486000000003</v>
      </c>
      <c r="D1132">
        <v>889.99998570000002</v>
      </c>
      <c r="E1132">
        <v>0.04</v>
      </c>
      <c r="F1132">
        <v>0</v>
      </c>
      <c r="G1132">
        <v>0.63</v>
      </c>
      <c r="H1132">
        <v>94.029849999999996</v>
      </c>
      <c r="I1132">
        <v>150.27000000000001</v>
      </c>
      <c r="J1132">
        <v>65.540000000000006</v>
      </c>
      <c r="K1132">
        <v>67</v>
      </c>
      <c r="L1132">
        <v>73.5</v>
      </c>
      <c r="M1132">
        <v>50.6</v>
      </c>
      <c r="P1132">
        <v>2.0265781559999998</v>
      </c>
      <c r="Q1132">
        <v>3914.4184839999998</v>
      </c>
      <c r="R1132">
        <v>4.4400000000000004</v>
      </c>
      <c r="S1132">
        <v>17364</v>
      </c>
      <c r="T1132">
        <v>-26.522503</v>
      </c>
      <c r="U1132">
        <v>31.465865999999998</v>
      </c>
    </row>
    <row r="1133" spans="1:21">
      <c r="A1133" t="s">
        <v>74</v>
      </c>
      <c r="B1133">
        <v>2018</v>
      </c>
      <c r="C1133">
        <v>5823.5766999999996</v>
      </c>
      <c r="D1133">
        <v>910.00002619999998</v>
      </c>
      <c r="E1133">
        <v>0.04</v>
      </c>
      <c r="F1133">
        <v>0</v>
      </c>
      <c r="G1133">
        <v>0.71</v>
      </c>
      <c r="H1133">
        <v>94.666663999999997</v>
      </c>
      <c r="I1133">
        <v>148.76</v>
      </c>
      <c r="J1133">
        <v>66.069999999999993</v>
      </c>
      <c r="K1133">
        <v>67</v>
      </c>
      <c r="L1133">
        <v>73.915779999999998</v>
      </c>
      <c r="M1133">
        <v>52.4</v>
      </c>
      <c r="P1133">
        <v>2.371610521</v>
      </c>
      <c r="Q1133">
        <v>4105.8936830000002</v>
      </c>
      <c r="R1133">
        <v>4.5</v>
      </c>
      <c r="S1133">
        <v>17364</v>
      </c>
      <c r="T1133">
        <v>-26.522503</v>
      </c>
      <c r="U1133">
        <v>31.465865999999998</v>
      </c>
    </row>
    <row r="1134" spans="1:21">
      <c r="A1134" t="s">
        <v>74</v>
      </c>
      <c r="B1134">
        <v>2019</v>
      </c>
      <c r="C1134">
        <v>5780.2520000000004</v>
      </c>
      <c r="D1134">
        <v>959.9999785</v>
      </c>
      <c r="E1134">
        <v>0.04</v>
      </c>
      <c r="F1134">
        <v>0</v>
      </c>
      <c r="G1134">
        <v>0.67</v>
      </c>
      <c r="H1134">
        <v>94.366200000000006</v>
      </c>
      <c r="I1134">
        <v>147.22</v>
      </c>
      <c r="J1134">
        <v>65.95</v>
      </c>
      <c r="K1134">
        <v>67</v>
      </c>
      <c r="L1134">
        <v>76.869439999999997</v>
      </c>
      <c r="M1134">
        <v>53.8</v>
      </c>
      <c r="P1134">
        <v>2.61303529</v>
      </c>
      <c r="Q1134">
        <v>3915.6434669999999</v>
      </c>
      <c r="R1134">
        <v>4.67</v>
      </c>
      <c r="S1134">
        <v>17364</v>
      </c>
      <c r="T1134">
        <v>-26.522503</v>
      </c>
      <c r="U1134">
        <v>31.465865999999998</v>
      </c>
    </row>
    <row r="1135" spans="1:21">
      <c r="A1135" t="s">
        <v>74</v>
      </c>
      <c r="B1135">
        <v>2020</v>
      </c>
      <c r="C1135">
        <v>5614.8905999999997</v>
      </c>
      <c r="E1135">
        <v>0.04</v>
      </c>
      <c r="F1135">
        <v>0</v>
      </c>
      <c r="G1135">
        <v>0.7</v>
      </c>
      <c r="H1135">
        <v>94.5946</v>
      </c>
      <c r="I1135">
        <v>145.69999999999999</v>
      </c>
      <c r="K1135">
        <v>67</v>
      </c>
      <c r="L1135">
        <v>79.730500000000006</v>
      </c>
      <c r="M1135">
        <v>55.4</v>
      </c>
      <c r="P1135">
        <v>-1.85052471</v>
      </c>
      <c r="Q1135">
        <v>3424.2822120000001</v>
      </c>
      <c r="S1135">
        <v>17364</v>
      </c>
      <c r="T1135">
        <v>-26.522503</v>
      </c>
      <c r="U1135">
        <v>31.465865999999998</v>
      </c>
    </row>
    <row r="1136" spans="1:21">
      <c r="A1136" t="s">
        <v>75</v>
      </c>
      <c r="B1136">
        <v>2000</v>
      </c>
      <c r="C1136">
        <v>287.99124</v>
      </c>
      <c r="D1136">
        <v>3560</v>
      </c>
      <c r="E1136">
        <v>0.06</v>
      </c>
      <c r="F1136">
        <v>0</v>
      </c>
      <c r="G1136">
        <v>1.64</v>
      </c>
      <c r="H1136">
        <v>96.470590000000001</v>
      </c>
      <c r="I1136">
        <v>6.12</v>
      </c>
      <c r="J1136">
        <v>95.55</v>
      </c>
      <c r="K1136">
        <v>115</v>
      </c>
      <c r="L1136">
        <v>12.7</v>
      </c>
      <c r="M1136">
        <v>0.9</v>
      </c>
      <c r="O1136">
        <v>1500000</v>
      </c>
      <c r="P1136">
        <v>6.0732174800000003</v>
      </c>
      <c r="Q1136">
        <v>124.46079090000001</v>
      </c>
      <c r="R1136">
        <v>21.38</v>
      </c>
      <c r="S1136">
        <v>1104300</v>
      </c>
      <c r="T1136">
        <v>9.1449999999999996</v>
      </c>
      <c r="U1136">
        <v>40.489673000000003</v>
      </c>
    </row>
    <row r="1137" spans="1:21">
      <c r="A1137" t="s">
        <v>75</v>
      </c>
      <c r="B1137">
        <v>2001</v>
      </c>
      <c r="C1137">
        <v>304.54669999999999</v>
      </c>
      <c r="D1137">
        <v>4400</v>
      </c>
      <c r="E1137">
        <v>0.06</v>
      </c>
      <c r="F1137">
        <v>0</v>
      </c>
      <c r="G1137">
        <v>1.98</v>
      </c>
      <c r="H1137">
        <v>97.058819999999997</v>
      </c>
      <c r="I1137">
        <v>7.01</v>
      </c>
      <c r="J1137">
        <v>94.6</v>
      </c>
      <c r="K1137">
        <v>115</v>
      </c>
      <c r="L1137">
        <v>10.162490999999999</v>
      </c>
      <c r="M1137">
        <v>0.9</v>
      </c>
      <c r="O1137">
        <v>790000</v>
      </c>
      <c r="P1137">
        <v>8.3013063210000002</v>
      </c>
      <c r="Q1137">
        <v>120.7657837</v>
      </c>
      <c r="R1137">
        <v>20.52</v>
      </c>
      <c r="S1137">
        <v>1104300</v>
      </c>
      <c r="T1137">
        <v>9.1449999999999996</v>
      </c>
      <c r="U1137">
        <v>40.489673000000003</v>
      </c>
    </row>
    <row r="1138" spans="1:21">
      <c r="A1138" t="s">
        <v>75</v>
      </c>
      <c r="B1138">
        <v>2002</v>
      </c>
      <c r="C1138">
        <v>303.84665000000001</v>
      </c>
      <c r="D1138">
        <v>4570.000172</v>
      </c>
      <c r="E1138">
        <v>0.06</v>
      </c>
      <c r="F1138">
        <v>0</v>
      </c>
      <c r="G1138">
        <v>2.0099999999999998</v>
      </c>
      <c r="H1138">
        <v>97.101455999999999</v>
      </c>
      <c r="I1138">
        <v>6.81</v>
      </c>
      <c r="J1138">
        <v>94.53</v>
      </c>
      <c r="K1138">
        <v>115</v>
      </c>
      <c r="L1138">
        <v>11.854834</v>
      </c>
      <c r="M1138">
        <v>1</v>
      </c>
      <c r="O1138">
        <v>205460000</v>
      </c>
      <c r="P1138">
        <v>1.5147257059999999</v>
      </c>
      <c r="Q1138">
        <v>111.9272251</v>
      </c>
      <c r="R1138">
        <v>20.82</v>
      </c>
      <c r="S1138">
        <v>1104300</v>
      </c>
      <c r="T1138">
        <v>9.1449999999999996</v>
      </c>
      <c r="U1138">
        <v>40.489673000000003</v>
      </c>
    </row>
    <row r="1139" spans="1:21">
      <c r="A1139" t="s">
        <v>75</v>
      </c>
      <c r="B1139">
        <v>2003</v>
      </c>
      <c r="C1139">
        <v>319.22073</v>
      </c>
      <c r="D1139">
        <v>5019.9999809999999</v>
      </c>
      <c r="E1139">
        <v>0.06</v>
      </c>
      <c r="F1139">
        <v>0</v>
      </c>
      <c r="G1139">
        <v>2.27</v>
      </c>
      <c r="H1139">
        <v>97.424899999999994</v>
      </c>
      <c r="I1139">
        <v>7.09</v>
      </c>
      <c r="J1139">
        <v>94.23</v>
      </c>
      <c r="K1139">
        <v>115</v>
      </c>
      <c r="L1139">
        <v>13.541941</v>
      </c>
      <c r="M1139">
        <v>1</v>
      </c>
      <c r="O1139">
        <v>7790000</v>
      </c>
      <c r="P1139">
        <v>-2.1613597219999998</v>
      </c>
      <c r="Q1139">
        <v>119.490396</v>
      </c>
      <c r="R1139">
        <v>21.97</v>
      </c>
      <c r="S1139">
        <v>1104300</v>
      </c>
      <c r="T1139">
        <v>9.1449999999999996</v>
      </c>
      <c r="U1139">
        <v>40.489673000000003</v>
      </c>
    </row>
    <row r="1140" spans="1:21">
      <c r="A1140" t="s">
        <v>75</v>
      </c>
      <c r="B1140">
        <v>2004</v>
      </c>
      <c r="C1140">
        <v>331.65744000000001</v>
      </c>
      <c r="D1140">
        <v>5329.9999239999997</v>
      </c>
      <c r="E1140">
        <v>0.06</v>
      </c>
      <c r="F1140">
        <v>0</v>
      </c>
      <c r="G1140">
        <v>2.5099999999999998</v>
      </c>
      <c r="H1140">
        <v>97.665374999999997</v>
      </c>
      <c r="I1140">
        <v>9.7200000000000006</v>
      </c>
      <c r="J1140">
        <v>94.13</v>
      </c>
      <c r="K1140">
        <v>115</v>
      </c>
      <c r="L1140">
        <v>15.226162</v>
      </c>
      <c r="M1140">
        <v>1.1000000000000001</v>
      </c>
      <c r="O1140">
        <v>640000</v>
      </c>
      <c r="P1140">
        <v>13.57260314</v>
      </c>
      <c r="Q1140">
        <v>136.46625</v>
      </c>
      <c r="R1140">
        <v>19.93</v>
      </c>
      <c r="S1140">
        <v>1104300</v>
      </c>
      <c r="T1140">
        <v>9.1449999999999996</v>
      </c>
      <c r="U1140">
        <v>40.489673000000003</v>
      </c>
    </row>
    <row r="1141" spans="1:21">
      <c r="A1141" t="s">
        <v>75</v>
      </c>
      <c r="B1141">
        <v>2005</v>
      </c>
      <c r="C1141">
        <v>370.18849999999998</v>
      </c>
      <c r="D1141">
        <v>5050.0001910000001</v>
      </c>
      <c r="E1141">
        <v>0.06</v>
      </c>
      <c r="F1141">
        <v>0</v>
      </c>
      <c r="G1141">
        <v>2.82</v>
      </c>
      <c r="H1141">
        <v>97.916663999999997</v>
      </c>
      <c r="I1141">
        <v>9.4499999999999993</v>
      </c>
      <c r="J1141">
        <v>94.73</v>
      </c>
      <c r="K1141">
        <v>115</v>
      </c>
      <c r="L1141">
        <v>14</v>
      </c>
      <c r="M1141">
        <v>1.1000000000000001</v>
      </c>
      <c r="O1141">
        <v>364870000</v>
      </c>
      <c r="P1141">
        <v>11.81876595</v>
      </c>
      <c r="Q1141">
        <v>162.43272859999999</v>
      </c>
      <c r="R1141">
        <v>18.239999999999998</v>
      </c>
      <c r="S1141">
        <v>1104300</v>
      </c>
      <c r="T1141">
        <v>9.1449999999999996</v>
      </c>
      <c r="U1141">
        <v>40.489673000000003</v>
      </c>
    </row>
    <row r="1142" spans="1:21">
      <c r="A1142" t="s">
        <v>75</v>
      </c>
      <c r="B1142">
        <v>2006</v>
      </c>
      <c r="C1142">
        <v>394.91356999999999</v>
      </c>
      <c r="D1142">
        <v>5400.0000950000003</v>
      </c>
      <c r="E1142">
        <v>0.06</v>
      </c>
      <c r="F1142">
        <v>0</v>
      </c>
      <c r="G1142">
        <v>3.24</v>
      </c>
      <c r="H1142">
        <v>98.181815999999998</v>
      </c>
      <c r="I1142">
        <v>9.19</v>
      </c>
      <c r="J1142">
        <v>94.54</v>
      </c>
      <c r="K1142">
        <v>115</v>
      </c>
      <c r="L1142">
        <v>18.595403999999998</v>
      </c>
      <c r="M1142">
        <v>1.3</v>
      </c>
      <c r="O1142">
        <v>420000</v>
      </c>
      <c r="P1142">
        <v>10.83472707</v>
      </c>
      <c r="Q1142">
        <v>194.6874329</v>
      </c>
      <c r="R1142">
        <v>16.97</v>
      </c>
      <c r="S1142">
        <v>1104300</v>
      </c>
      <c r="T1142">
        <v>9.1449999999999996</v>
      </c>
      <c r="U1142">
        <v>40.489673000000003</v>
      </c>
    </row>
    <row r="1143" spans="1:21">
      <c r="A1143" t="s">
        <v>75</v>
      </c>
      <c r="B1143">
        <v>2007</v>
      </c>
      <c r="C1143">
        <v>424.85315000000003</v>
      </c>
      <c r="D1143">
        <v>5960.0000380000001</v>
      </c>
      <c r="E1143">
        <v>0.17</v>
      </c>
      <c r="F1143">
        <v>0</v>
      </c>
      <c r="G1143">
        <v>3.37</v>
      </c>
      <c r="H1143">
        <v>95.197739999999996</v>
      </c>
      <c r="I1143">
        <v>8.94</v>
      </c>
      <c r="J1143">
        <v>94.16</v>
      </c>
      <c r="K1143">
        <v>115</v>
      </c>
      <c r="L1143">
        <v>20.28548</v>
      </c>
      <c r="M1143">
        <v>1.4</v>
      </c>
      <c r="O1143">
        <v>204140000</v>
      </c>
      <c r="P1143">
        <v>11.456167000000001</v>
      </c>
      <c r="Q1143">
        <v>244.28605229999999</v>
      </c>
      <c r="R1143">
        <v>15.73</v>
      </c>
      <c r="S1143">
        <v>1104300</v>
      </c>
      <c r="T1143">
        <v>9.1449999999999996</v>
      </c>
      <c r="U1143">
        <v>40.489673000000003</v>
      </c>
    </row>
    <row r="1144" spans="1:21">
      <c r="A1144" t="s">
        <v>75</v>
      </c>
      <c r="B1144">
        <v>2008</v>
      </c>
      <c r="C1144">
        <v>432.32028000000003</v>
      </c>
      <c r="D1144">
        <v>6489.9997709999998</v>
      </c>
      <c r="E1144">
        <v>0.44</v>
      </c>
      <c r="F1144">
        <v>0</v>
      </c>
      <c r="G1144">
        <v>3.31</v>
      </c>
      <c r="H1144">
        <v>88.266670000000005</v>
      </c>
      <c r="I1144">
        <v>8.6999999999999993</v>
      </c>
      <c r="J1144">
        <v>94.09</v>
      </c>
      <c r="K1144">
        <v>115</v>
      </c>
      <c r="L1144">
        <v>21.982790000000001</v>
      </c>
      <c r="M1144">
        <v>1.6</v>
      </c>
      <c r="O1144">
        <v>320000</v>
      </c>
      <c r="P1144">
        <v>10.78852169</v>
      </c>
      <c r="Q1144">
        <v>326.43682280000002</v>
      </c>
      <c r="R1144">
        <v>14.65</v>
      </c>
      <c r="S1144">
        <v>1104300</v>
      </c>
      <c r="T1144">
        <v>9.1449999999999996</v>
      </c>
      <c r="U1144">
        <v>40.489673000000003</v>
      </c>
    </row>
    <row r="1145" spans="1:21">
      <c r="A1145" t="s">
        <v>75</v>
      </c>
      <c r="B1145">
        <v>2009</v>
      </c>
      <c r="C1145">
        <v>434.64044000000001</v>
      </c>
      <c r="D1145">
        <v>6530.0002100000002</v>
      </c>
      <c r="E1145">
        <v>0.42</v>
      </c>
      <c r="F1145">
        <v>0</v>
      </c>
      <c r="G1145">
        <v>3.55</v>
      </c>
      <c r="H1145">
        <v>89.420653999999999</v>
      </c>
      <c r="I1145">
        <v>16.91</v>
      </c>
      <c r="J1145">
        <v>94.18</v>
      </c>
      <c r="K1145">
        <v>115</v>
      </c>
      <c r="L1145">
        <v>23.690038999999999</v>
      </c>
      <c r="M1145">
        <v>1.9</v>
      </c>
      <c r="O1145">
        <v>4284370000</v>
      </c>
      <c r="P1145">
        <v>8.802553198</v>
      </c>
      <c r="Q1145">
        <v>380.5690032</v>
      </c>
      <c r="R1145">
        <v>13.85</v>
      </c>
      <c r="S1145">
        <v>1104300</v>
      </c>
      <c r="T1145">
        <v>9.1449999999999996</v>
      </c>
      <c r="U1145">
        <v>40.489673000000003</v>
      </c>
    </row>
    <row r="1146" spans="1:21">
      <c r="A1146" t="s">
        <v>75</v>
      </c>
      <c r="B1146">
        <v>2010</v>
      </c>
      <c r="C1146">
        <v>468.26211999999998</v>
      </c>
      <c r="D1146">
        <v>6469.9997899999998</v>
      </c>
      <c r="E1146">
        <v>0.08</v>
      </c>
      <c r="F1146">
        <v>0</v>
      </c>
      <c r="G1146">
        <v>4.91</v>
      </c>
      <c r="H1146">
        <v>98.396799999999999</v>
      </c>
      <c r="I1146">
        <v>21.7</v>
      </c>
      <c r="J1146">
        <v>94.11</v>
      </c>
      <c r="K1146">
        <v>115</v>
      </c>
      <c r="L1146">
        <v>25.409936999999999</v>
      </c>
      <c r="M1146">
        <v>2.1</v>
      </c>
      <c r="O1146">
        <v>92370000</v>
      </c>
      <c r="P1146">
        <v>12.55053835</v>
      </c>
      <c r="Q1146">
        <v>341.55412269999999</v>
      </c>
      <c r="R1146">
        <v>12.65</v>
      </c>
      <c r="S1146">
        <v>1104300</v>
      </c>
      <c r="T1146">
        <v>9.1449999999999996</v>
      </c>
      <c r="U1146">
        <v>40.489673000000003</v>
      </c>
    </row>
    <row r="1147" spans="1:21">
      <c r="A1147" t="s">
        <v>75</v>
      </c>
      <c r="B1147">
        <v>2011</v>
      </c>
      <c r="C1147">
        <v>514.24505999999997</v>
      </c>
      <c r="D1147">
        <v>7539.9999619999999</v>
      </c>
      <c r="E1147">
        <v>7.0000000000000007E-2</v>
      </c>
      <c r="F1147">
        <v>0</v>
      </c>
      <c r="G1147">
        <v>6.25</v>
      </c>
      <c r="H1147">
        <v>98.892399999999995</v>
      </c>
      <c r="I1147">
        <v>23.08</v>
      </c>
      <c r="J1147">
        <v>93.56</v>
      </c>
      <c r="K1147">
        <v>115</v>
      </c>
      <c r="L1147">
        <v>23</v>
      </c>
      <c r="M1147">
        <v>2.5</v>
      </c>
      <c r="O1147">
        <v>109570000</v>
      </c>
      <c r="P1147">
        <v>11.178296230000001</v>
      </c>
      <c r="Q1147">
        <v>354.4795719</v>
      </c>
      <c r="R1147">
        <v>11.8</v>
      </c>
      <c r="S1147">
        <v>1104300</v>
      </c>
      <c r="T1147">
        <v>9.1449999999999996</v>
      </c>
      <c r="U1147">
        <v>40.489673000000003</v>
      </c>
    </row>
    <row r="1148" spans="1:21">
      <c r="A1148" t="s">
        <v>75</v>
      </c>
      <c r="B1148">
        <v>2012</v>
      </c>
      <c r="C1148">
        <v>557.10350000000005</v>
      </c>
      <c r="D1148">
        <v>8479.9995419999996</v>
      </c>
      <c r="E1148">
        <v>0.04</v>
      </c>
      <c r="F1148">
        <v>0</v>
      </c>
      <c r="G1148">
        <v>7.51</v>
      </c>
      <c r="H1148">
        <v>99.470200000000006</v>
      </c>
      <c r="I1148">
        <v>22.44</v>
      </c>
      <c r="J1148">
        <v>93.3</v>
      </c>
      <c r="K1148">
        <v>115</v>
      </c>
      <c r="L1148">
        <v>28.898520000000001</v>
      </c>
      <c r="M1148">
        <v>2.9</v>
      </c>
      <c r="O1148">
        <v>54000000</v>
      </c>
      <c r="P1148">
        <v>8.6478116329999999</v>
      </c>
      <c r="Q1148">
        <v>467.07787180000003</v>
      </c>
      <c r="R1148">
        <v>11.19</v>
      </c>
      <c r="S1148">
        <v>1104300</v>
      </c>
      <c r="T1148">
        <v>9.1449999999999996</v>
      </c>
      <c r="U1148">
        <v>40.489673000000003</v>
      </c>
    </row>
    <row r="1149" spans="1:21">
      <c r="A1149" t="s">
        <v>75</v>
      </c>
      <c r="B1149">
        <v>2013</v>
      </c>
      <c r="C1149">
        <v>632.63324</v>
      </c>
      <c r="D1149">
        <v>10079.99992</v>
      </c>
      <c r="E1149">
        <v>0.03</v>
      </c>
      <c r="F1149">
        <v>0</v>
      </c>
      <c r="G1149">
        <v>8.64</v>
      </c>
      <c r="H1149">
        <v>99.653983999999994</v>
      </c>
      <c r="I1149">
        <v>23.32</v>
      </c>
      <c r="J1149">
        <v>92.49</v>
      </c>
      <c r="K1149">
        <v>115</v>
      </c>
      <c r="L1149">
        <v>30.671672999999998</v>
      </c>
      <c r="M1149">
        <v>3.2</v>
      </c>
      <c r="O1149">
        <v>292840000</v>
      </c>
      <c r="P1149">
        <v>10.58227005</v>
      </c>
      <c r="Q1149">
        <v>499.53153020000002</v>
      </c>
      <c r="R1149">
        <v>10.51</v>
      </c>
      <c r="S1149">
        <v>1104300</v>
      </c>
      <c r="T1149">
        <v>9.1449999999999996</v>
      </c>
      <c r="U1149">
        <v>40.489673000000003</v>
      </c>
    </row>
    <row r="1150" spans="1:21">
      <c r="A1150" t="s">
        <v>75</v>
      </c>
      <c r="B1150">
        <v>2014</v>
      </c>
      <c r="C1150">
        <v>697.62919999999997</v>
      </c>
      <c r="D1150">
        <v>12340.00015</v>
      </c>
      <c r="E1150">
        <v>0.02</v>
      </c>
      <c r="F1150">
        <v>0</v>
      </c>
      <c r="G1150">
        <v>9.4499999999999993</v>
      </c>
      <c r="H1150">
        <v>99.788799999999995</v>
      </c>
      <c r="I1150">
        <v>22.73</v>
      </c>
      <c r="J1150">
        <v>91.25</v>
      </c>
      <c r="K1150">
        <v>115</v>
      </c>
      <c r="L1150">
        <v>27.2</v>
      </c>
      <c r="M1150">
        <v>3.7</v>
      </c>
      <c r="O1150">
        <v>655350000</v>
      </c>
      <c r="P1150">
        <v>10.25749296</v>
      </c>
      <c r="Q1150">
        <v>566.92640289999997</v>
      </c>
      <c r="R1150">
        <v>9.94</v>
      </c>
      <c r="S1150">
        <v>1104300</v>
      </c>
      <c r="T1150">
        <v>9.1449999999999996</v>
      </c>
      <c r="U1150">
        <v>40.489673000000003</v>
      </c>
    </row>
    <row r="1151" spans="1:21">
      <c r="A1151" t="s">
        <v>75</v>
      </c>
      <c r="B1151">
        <v>2015</v>
      </c>
      <c r="C1151">
        <v>715.42474000000004</v>
      </c>
      <c r="D1151">
        <v>12890.000340000001</v>
      </c>
      <c r="E1151">
        <v>0.02</v>
      </c>
      <c r="F1151">
        <v>0</v>
      </c>
      <c r="G1151">
        <v>10.37</v>
      </c>
      <c r="H1151">
        <v>99.807500000000005</v>
      </c>
      <c r="I1151">
        <v>25.97</v>
      </c>
      <c r="J1151">
        <v>91.56</v>
      </c>
      <c r="K1151">
        <v>115</v>
      </c>
      <c r="L1151">
        <v>29</v>
      </c>
      <c r="M1151">
        <v>4.3</v>
      </c>
      <c r="O1151">
        <v>300680000</v>
      </c>
      <c r="P1151">
        <v>10.392463019999999</v>
      </c>
      <c r="Q1151">
        <v>640.54192309999996</v>
      </c>
      <c r="R1151">
        <v>9.2100000000000009</v>
      </c>
      <c r="S1151">
        <v>1104300</v>
      </c>
      <c r="T1151">
        <v>9.1449999999999996</v>
      </c>
      <c r="U1151">
        <v>40.489673000000003</v>
      </c>
    </row>
    <row r="1152" spans="1:21">
      <c r="A1152" t="s">
        <v>75</v>
      </c>
      <c r="B1152">
        <v>2016</v>
      </c>
      <c r="C1152">
        <v>807.23979999999995</v>
      </c>
      <c r="D1152">
        <v>14970.00027</v>
      </c>
      <c r="E1152">
        <v>0.01</v>
      </c>
      <c r="F1152">
        <v>0</v>
      </c>
      <c r="G1152">
        <v>12.46</v>
      </c>
      <c r="H1152">
        <v>99.919809999999998</v>
      </c>
      <c r="I1152">
        <v>25.57</v>
      </c>
      <c r="J1152">
        <v>90.49</v>
      </c>
      <c r="K1152">
        <v>115</v>
      </c>
      <c r="L1152">
        <v>42.9</v>
      </c>
      <c r="M1152">
        <v>4.9000000000000004</v>
      </c>
      <c r="O1152">
        <v>54100000</v>
      </c>
      <c r="P1152">
        <v>9.4334826580000009</v>
      </c>
      <c r="Q1152">
        <v>717.12486980000006</v>
      </c>
      <c r="R1152">
        <v>8.7200000000000006</v>
      </c>
      <c r="S1152">
        <v>1104300</v>
      </c>
      <c r="T1152">
        <v>9.1449999999999996</v>
      </c>
      <c r="U1152">
        <v>40.489673000000003</v>
      </c>
    </row>
    <row r="1153" spans="1:21">
      <c r="A1153" t="s">
        <v>75</v>
      </c>
      <c r="B1153">
        <v>2017</v>
      </c>
      <c r="C1153">
        <v>794.97722999999996</v>
      </c>
      <c r="D1153">
        <v>15819.999690000001</v>
      </c>
      <c r="E1153">
        <v>0.01</v>
      </c>
      <c r="F1153">
        <v>0</v>
      </c>
      <c r="G1153">
        <v>13.12</v>
      </c>
      <c r="H1153">
        <v>99.923835999999994</v>
      </c>
      <c r="I1153">
        <v>41.03</v>
      </c>
      <c r="J1153">
        <v>90.22</v>
      </c>
      <c r="K1153">
        <v>115</v>
      </c>
      <c r="L1153">
        <v>44.3</v>
      </c>
      <c r="M1153">
        <v>5.45</v>
      </c>
      <c r="O1153">
        <v>361270000</v>
      </c>
      <c r="P1153">
        <v>9.5641896430000006</v>
      </c>
      <c r="Q1153">
        <v>768.52301539999996</v>
      </c>
      <c r="R1153">
        <v>8.1999999999999993</v>
      </c>
      <c r="S1153">
        <v>1104300</v>
      </c>
      <c r="T1153">
        <v>9.1449999999999996</v>
      </c>
      <c r="U1153">
        <v>40.489673000000003</v>
      </c>
    </row>
    <row r="1154" spans="1:21">
      <c r="A1154" t="s">
        <v>75</v>
      </c>
      <c r="B1154">
        <v>2018</v>
      </c>
      <c r="C1154">
        <v>823.58339999999998</v>
      </c>
      <c r="D1154">
        <v>17239.999769999999</v>
      </c>
      <c r="E1154">
        <v>0.01</v>
      </c>
      <c r="F1154">
        <v>0</v>
      </c>
      <c r="G1154">
        <v>13.78</v>
      </c>
      <c r="H1154">
        <v>99.927480000000003</v>
      </c>
      <c r="I1154">
        <v>40.75</v>
      </c>
      <c r="J1154">
        <v>89.42</v>
      </c>
      <c r="K1154">
        <v>115</v>
      </c>
      <c r="L1154">
        <v>44.940600000000003</v>
      </c>
      <c r="M1154">
        <v>6.2</v>
      </c>
      <c r="O1154">
        <v>33800000</v>
      </c>
      <c r="P1154">
        <v>6.8161477970000002</v>
      </c>
      <c r="Q1154">
        <v>771.52486629999999</v>
      </c>
      <c r="R1154">
        <v>7.88</v>
      </c>
      <c r="S1154">
        <v>1104300</v>
      </c>
      <c r="T1154">
        <v>9.1449999999999996</v>
      </c>
      <c r="U1154">
        <v>40.489673000000003</v>
      </c>
    </row>
    <row r="1155" spans="1:21">
      <c r="A1155" t="s">
        <v>75</v>
      </c>
      <c r="B1155">
        <v>2019</v>
      </c>
      <c r="C1155">
        <v>921.99114999999995</v>
      </c>
      <c r="D1155">
        <v>18360.000609999999</v>
      </c>
      <c r="E1155">
        <v>0.01</v>
      </c>
      <c r="F1155">
        <v>0</v>
      </c>
      <c r="G1155">
        <v>14.22</v>
      </c>
      <c r="H1155">
        <v>99.929726000000002</v>
      </c>
      <c r="I1155">
        <v>39.71</v>
      </c>
      <c r="J1155">
        <v>88.92</v>
      </c>
      <c r="K1155">
        <v>115</v>
      </c>
      <c r="L1155">
        <v>48.063589999999998</v>
      </c>
      <c r="M1155">
        <v>7</v>
      </c>
      <c r="O1155">
        <v>56700000</v>
      </c>
      <c r="P1155">
        <v>8.3640856990000003</v>
      </c>
      <c r="Q1155">
        <v>855.76088519999996</v>
      </c>
      <c r="R1155">
        <v>7.53</v>
      </c>
      <c r="S1155">
        <v>1104300</v>
      </c>
      <c r="T1155">
        <v>9.1449999999999996</v>
      </c>
      <c r="U1155">
        <v>40.489673000000003</v>
      </c>
    </row>
    <row r="1156" spans="1:21">
      <c r="A1156" t="s">
        <v>75</v>
      </c>
      <c r="B1156">
        <v>2020</v>
      </c>
      <c r="C1156">
        <v>860.09990000000005</v>
      </c>
      <c r="E1156">
        <v>0.01</v>
      </c>
      <c r="F1156">
        <v>0</v>
      </c>
      <c r="G1156">
        <v>14.22</v>
      </c>
      <c r="H1156">
        <v>99.929726000000002</v>
      </c>
      <c r="I1156">
        <v>40.99</v>
      </c>
      <c r="K1156">
        <v>115</v>
      </c>
      <c r="L1156">
        <v>51.093983000000001</v>
      </c>
      <c r="M1156">
        <v>7.8</v>
      </c>
      <c r="P1156">
        <v>6.0566177919999999</v>
      </c>
      <c r="Q1156">
        <v>936.34046109999997</v>
      </c>
      <c r="S1156">
        <v>1104300</v>
      </c>
      <c r="T1156">
        <v>9.1449999999999996</v>
      </c>
      <c r="U1156">
        <v>40.489673000000003</v>
      </c>
    </row>
    <row r="1157" spans="1:21">
      <c r="A1157" t="s">
        <v>76</v>
      </c>
      <c r="B1157">
        <v>2000</v>
      </c>
      <c r="C1157">
        <v>9308.9560000000001</v>
      </c>
      <c r="D1157">
        <v>810</v>
      </c>
      <c r="E1157">
        <v>0.18</v>
      </c>
      <c r="F1157">
        <v>0</v>
      </c>
      <c r="G1157">
        <v>0.44</v>
      </c>
      <c r="H1157">
        <v>70.967740000000006</v>
      </c>
      <c r="I1157">
        <v>133.85</v>
      </c>
      <c r="J1157">
        <v>50.06</v>
      </c>
      <c r="K1157">
        <v>49</v>
      </c>
      <c r="L1157">
        <v>75.724919999999997</v>
      </c>
      <c r="M1157">
        <v>28.2</v>
      </c>
      <c r="P1157">
        <v>-1.6999984159999999</v>
      </c>
      <c r="Q1157">
        <v>2069.3174549999999</v>
      </c>
      <c r="R1157">
        <v>2.75</v>
      </c>
      <c r="S1157">
        <v>18274</v>
      </c>
      <c r="T1157">
        <v>-17.713370999999999</v>
      </c>
      <c r="U1157">
        <v>178.065032</v>
      </c>
    </row>
    <row r="1158" spans="1:21">
      <c r="A1158" t="s">
        <v>76</v>
      </c>
      <c r="B1158">
        <v>2001</v>
      </c>
      <c r="C1158">
        <v>9574.9950000000008</v>
      </c>
      <c r="D1158">
        <v>1040</v>
      </c>
      <c r="E1158">
        <v>0.17</v>
      </c>
      <c r="F1158">
        <v>0</v>
      </c>
      <c r="G1158">
        <v>0.5</v>
      </c>
      <c r="H1158">
        <v>74.626859999999994</v>
      </c>
      <c r="I1158">
        <v>133.41999999999999</v>
      </c>
      <c r="J1158">
        <v>40.44</v>
      </c>
      <c r="K1158">
        <v>49</v>
      </c>
      <c r="L1158">
        <v>77.000680000000003</v>
      </c>
      <c r="M1158">
        <v>28.15</v>
      </c>
      <c r="P1158">
        <v>2.0000001470000002</v>
      </c>
      <c r="Q1158">
        <v>2030.246351</v>
      </c>
      <c r="R1158">
        <v>2.97</v>
      </c>
      <c r="S1158">
        <v>18274</v>
      </c>
      <c r="T1158">
        <v>-17.713370999999999</v>
      </c>
      <c r="U1158">
        <v>178.065032</v>
      </c>
    </row>
    <row r="1159" spans="1:21">
      <c r="A1159" t="s">
        <v>76</v>
      </c>
      <c r="B1159">
        <v>2002</v>
      </c>
      <c r="C1159">
        <v>8027.7280000000001</v>
      </c>
      <c r="D1159">
        <v>879.99999519999994</v>
      </c>
      <c r="E1159">
        <v>0.21</v>
      </c>
      <c r="F1159">
        <v>0</v>
      </c>
      <c r="G1159">
        <v>0.5</v>
      </c>
      <c r="H1159">
        <v>70.422539999999998</v>
      </c>
      <c r="I1159">
        <v>133.24</v>
      </c>
      <c r="J1159">
        <v>48.98</v>
      </c>
      <c r="K1159">
        <v>49</v>
      </c>
      <c r="L1159">
        <v>79.63</v>
      </c>
      <c r="M1159">
        <v>28.2</v>
      </c>
      <c r="P1159">
        <v>3.1999991140000001</v>
      </c>
      <c r="Q1159">
        <v>2248.714191</v>
      </c>
      <c r="R1159">
        <v>2.69</v>
      </c>
      <c r="S1159">
        <v>18274</v>
      </c>
      <c r="T1159">
        <v>-17.713370999999999</v>
      </c>
      <c r="U1159">
        <v>178.065032</v>
      </c>
    </row>
    <row r="1160" spans="1:21">
      <c r="A1160" t="s">
        <v>76</v>
      </c>
      <c r="B1160">
        <v>2003</v>
      </c>
      <c r="C1160">
        <v>8717.3979999999992</v>
      </c>
      <c r="D1160">
        <v>1049.9999519999999</v>
      </c>
      <c r="E1160">
        <v>0.31</v>
      </c>
      <c r="F1160">
        <v>0</v>
      </c>
      <c r="G1160">
        <v>0.41</v>
      </c>
      <c r="H1160">
        <v>56.944443</v>
      </c>
      <c r="I1160">
        <v>133.15</v>
      </c>
      <c r="J1160">
        <v>40.83</v>
      </c>
      <c r="K1160">
        <v>49</v>
      </c>
      <c r="L1160">
        <v>80</v>
      </c>
      <c r="M1160">
        <v>28.3</v>
      </c>
      <c r="P1160">
        <v>0.99999934499999998</v>
      </c>
      <c r="Q1160">
        <v>2818.91392</v>
      </c>
      <c r="R1160">
        <v>2.79</v>
      </c>
      <c r="S1160">
        <v>18274</v>
      </c>
      <c r="T1160">
        <v>-17.713370999999999</v>
      </c>
      <c r="U1160">
        <v>178.065032</v>
      </c>
    </row>
    <row r="1161" spans="1:21">
      <c r="A1161" t="s">
        <v>76</v>
      </c>
      <c r="B1161">
        <v>2004</v>
      </c>
      <c r="C1161">
        <v>11433.929</v>
      </c>
      <c r="D1161">
        <v>1470.000029</v>
      </c>
      <c r="E1161">
        <v>0.31</v>
      </c>
      <c r="F1161">
        <v>0</v>
      </c>
      <c r="G1161">
        <v>0.44</v>
      </c>
      <c r="H1161">
        <v>58.666668000000001</v>
      </c>
      <c r="I1161">
        <v>140.77000000000001</v>
      </c>
      <c r="J1161">
        <v>35.72</v>
      </c>
      <c r="K1161">
        <v>49</v>
      </c>
      <c r="L1161">
        <v>80.791839999999993</v>
      </c>
      <c r="M1161">
        <v>28.5</v>
      </c>
      <c r="O1161">
        <v>310000</v>
      </c>
      <c r="P1161">
        <v>5.2999997050000003</v>
      </c>
      <c r="Q1161">
        <v>3311.1598949999998</v>
      </c>
      <c r="R1161">
        <v>3.27</v>
      </c>
      <c r="S1161">
        <v>18274</v>
      </c>
      <c r="T1161">
        <v>-17.713370999999999</v>
      </c>
      <c r="U1161">
        <v>178.065032</v>
      </c>
    </row>
    <row r="1162" spans="1:21">
      <c r="A1162" t="s">
        <v>76</v>
      </c>
      <c r="B1162">
        <v>2005</v>
      </c>
      <c r="C1162">
        <v>9695.1020000000008</v>
      </c>
      <c r="D1162">
        <v>1289.9999620000001</v>
      </c>
      <c r="E1162">
        <v>0.37</v>
      </c>
      <c r="F1162">
        <v>0</v>
      </c>
      <c r="G1162">
        <v>0.42</v>
      </c>
      <c r="H1162">
        <v>53.164555</v>
      </c>
      <c r="I1162">
        <v>140.22</v>
      </c>
      <c r="J1162">
        <v>40.020000000000003</v>
      </c>
      <c r="K1162">
        <v>49</v>
      </c>
      <c r="L1162">
        <v>82.051349999999999</v>
      </c>
      <c r="M1162">
        <v>28.7</v>
      </c>
      <c r="O1162">
        <v>260000</v>
      </c>
      <c r="P1162">
        <v>0.70000040200000002</v>
      </c>
      <c r="Q1162">
        <v>3627.6328560000002</v>
      </c>
      <c r="R1162">
        <v>2.72</v>
      </c>
      <c r="S1162">
        <v>18274</v>
      </c>
      <c r="T1162">
        <v>-17.713370999999999</v>
      </c>
      <c r="U1162">
        <v>178.065032</v>
      </c>
    </row>
    <row r="1163" spans="1:21">
      <c r="A1163" t="s">
        <v>76</v>
      </c>
      <c r="B1163">
        <v>2006</v>
      </c>
      <c r="C1163">
        <v>10524.99</v>
      </c>
      <c r="D1163">
        <v>1379.9999949999999</v>
      </c>
      <c r="E1163">
        <v>0.39</v>
      </c>
      <c r="F1163">
        <v>0</v>
      </c>
      <c r="G1163">
        <v>0.45</v>
      </c>
      <c r="H1163">
        <v>53.571429999999999</v>
      </c>
      <c r="I1163">
        <v>153.81</v>
      </c>
      <c r="J1163">
        <v>39.07</v>
      </c>
      <c r="K1163">
        <v>49</v>
      </c>
      <c r="L1163">
        <v>83.312740000000005</v>
      </c>
      <c r="M1163">
        <v>29.2</v>
      </c>
      <c r="P1163">
        <v>1.8524838720000001</v>
      </c>
      <c r="Q1163">
        <v>3715.9326569999998</v>
      </c>
      <c r="R1163">
        <v>2.91</v>
      </c>
      <c r="S1163">
        <v>18274</v>
      </c>
      <c r="T1163">
        <v>-17.713370999999999</v>
      </c>
      <c r="U1163">
        <v>178.065032</v>
      </c>
    </row>
    <row r="1164" spans="1:21">
      <c r="A1164" t="s">
        <v>76</v>
      </c>
      <c r="B1164">
        <v>2007</v>
      </c>
      <c r="C1164">
        <v>10062.741</v>
      </c>
      <c r="D1164">
        <v>1259.99999</v>
      </c>
      <c r="E1164">
        <v>0.27</v>
      </c>
      <c r="F1164">
        <v>0</v>
      </c>
      <c r="G1164">
        <v>0.6</v>
      </c>
      <c r="H1164">
        <v>68.965519999999998</v>
      </c>
      <c r="I1164">
        <v>164.45</v>
      </c>
      <c r="J1164">
        <v>36.04</v>
      </c>
      <c r="K1164">
        <v>49</v>
      </c>
      <c r="L1164">
        <v>88.9</v>
      </c>
      <c r="M1164">
        <v>29.6</v>
      </c>
      <c r="O1164">
        <v>50000</v>
      </c>
      <c r="P1164">
        <v>-0.85065431000000002</v>
      </c>
      <c r="Q1164">
        <v>4040.1521189999999</v>
      </c>
      <c r="R1164">
        <v>2.7</v>
      </c>
      <c r="S1164">
        <v>18274</v>
      </c>
      <c r="T1164">
        <v>-17.713370999999999</v>
      </c>
      <c r="U1164">
        <v>178.065032</v>
      </c>
    </row>
    <row r="1165" spans="1:21">
      <c r="A1165" t="s">
        <v>76</v>
      </c>
      <c r="B1165">
        <v>2008</v>
      </c>
      <c r="C1165">
        <v>7890.7285000000002</v>
      </c>
      <c r="D1165">
        <v>970.00002859999995</v>
      </c>
      <c r="E1165">
        <v>0.26</v>
      </c>
      <c r="F1165">
        <v>0</v>
      </c>
      <c r="G1165">
        <v>0.62</v>
      </c>
      <c r="H1165">
        <v>70.454543999999999</v>
      </c>
      <c r="I1165">
        <v>173.35</v>
      </c>
      <c r="J1165">
        <v>40.89</v>
      </c>
      <c r="K1165">
        <v>49</v>
      </c>
      <c r="L1165">
        <v>86.16</v>
      </c>
      <c r="M1165">
        <v>30.2</v>
      </c>
      <c r="P1165">
        <v>1.03279422</v>
      </c>
      <c r="Q1165">
        <v>4167.6949350000004</v>
      </c>
      <c r="R1165">
        <v>2.15</v>
      </c>
      <c r="S1165">
        <v>18274</v>
      </c>
      <c r="T1165">
        <v>-17.713370999999999</v>
      </c>
      <c r="U1165">
        <v>178.065032</v>
      </c>
    </row>
    <row r="1166" spans="1:21">
      <c r="A1166" t="s">
        <v>76</v>
      </c>
      <c r="B1166">
        <v>2009</v>
      </c>
      <c r="C1166">
        <v>6803.4795000000004</v>
      </c>
      <c r="D1166">
        <v>970.00002859999995</v>
      </c>
      <c r="E1166">
        <v>0.28000000000000003</v>
      </c>
      <c r="F1166">
        <v>0</v>
      </c>
      <c r="G1166">
        <v>0.57999999999999996</v>
      </c>
      <c r="H1166">
        <v>67.441860000000005</v>
      </c>
      <c r="I1166">
        <v>171.69</v>
      </c>
      <c r="J1166">
        <v>40.090000000000003</v>
      </c>
      <c r="K1166">
        <v>49</v>
      </c>
      <c r="L1166">
        <v>87.134865000000005</v>
      </c>
      <c r="M1166">
        <v>31</v>
      </c>
      <c r="O1166">
        <v>96070000</v>
      </c>
      <c r="P1166">
        <v>-1.3860377079999999</v>
      </c>
      <c r="Q1166">
        <v>3362.8204949999999</v>
      </c>
      <c r="R1166">
        <v>1.93</v>
      </c>
      <c r="S1166">
        <v>18274</v>
      </c>
      <c r="T1166">
        <v>-17.713370999999999</v>
      </c>
      <c r="U1166">
        <v>178.065032</v>
      </c>
    </row>
    <row r="1167" spans="1:21">
      <c r="A1167" t="s">
        <v>76</v>
      </c>
      <c r="B1167">
        <v>2010</v>
      </c>
      <c r="C1167">
        <v>9167.4940000000006</v>
      </c>
      <c r="D1167">
        <v>1159.999967</v>
      </c>
      <c r="E1167">
        <v>0.35</v>
      </c>
      <c r="F1167">
        <v>0</v>
      </c>
      <c r="G1167">
        <v>0.55000000000000004</v>
      </c>
      <c r="H1167">
        <v>61.111114999999998</v>
      </c>
      <c r="I1167">
        <v>170.56</v>
      </c>
      <c r="J1167">
        <v>26.49</v>
      </c>
      <c r="K1167">
        <v>49</v>
      </c>
      <c r="L1167">
        <v>89.248580000000004</v>
      </c>
      <c r="M1167">
        <v>31.9</v>
      </c>
      <c r="P1167">
        <v>2.9546724219999998</v>
      </c>
      <c r="Q1167">
        <v>3652.5359330000001</v>
      </c>
      <c r="R1167">
        <v>2.29</v>
      </c>
      <c r="S1167">
        <v>18274</v>
      </c>
      <c r="T1167">
        <v>-17.713370999999999</v>
      </c>
      <c r="U1167">
        <v>178.065032</v>
      </c>
    </row>
    <row r="1168" spans="1:21">
      <c r="A1168" t="s">
        <v>76</v>
      </c>
      <c r="B1168">
        <v>2011</v>
      </c>
      <c r="C1168">
        <v>7085.0757000000003</v>
      </c>
      <c r="D1168">
        <v>1110.000014</v>
      </c>
      <c r="E1168">
        <v>0.3</v>
      </c>
      <c r="F1168">
        <v>0</v>
      </c>
      <c r="G1168">
        <v>0.56000000000000005</v>
      </c>
      <c r="H1168">
        <v>65.116280000000003</v>
      </c>
      <c r="I1168">
        <v>169.88</v>
      </c>
      <c r="J1168">
        <v>31.15</v>
      </c>
      <c r="K1168">
        <v>49</v>
      </c>
      <c r="L1168">
        <v>90.146125999999995</v>
      </c>
      <c r="M1168">
        <v>33.200000000000003</v>
      </c>
      <c r="O1168">
        <v>10000</v>
      </c>
      <c r="P1168">
        <v>2.7051430289999998</v>
      </c>
      <c r="Q1168">
        <v>4371.4473850000004</v>
      </c>
      <c r="R1168">
        <v>2.23</v>
      </c>
      <c r="S1168">
        <v>18274</v>
      </c>
      <c r="T1168">
        <v>-17.713370999999999</v>
      </c>
      <c r="U1168">
        <v>178.065032</v>
      </c>
    </row>
    <row r="1169" spans="1:21">
      <c r="A1169" t="s">
        <v>76</v>
      </c>
      <c r="B1169">
        <v>2012</v>
      </c>
      <c r="C1169">
        <v>7121.2934999999998</v>
      </c>
      <c r="D1169">
        <v>1029.999971</v>
      </c>
      <c r="E1169">
        <v>0.24</v>
      </c>
      <c r="F1169">
        <v>0</v>
      </c>
      <c r="G1169">
        <v>0.62</v>
      </c>
      <c r="H1169">
        <v>72.093024999999997</v>
      </c>
      <c r="I1169">
        <v>221.18</v>
      </c>
      <c r="J1169">
        <v>31.73</v>
      </c>
      <c r="K1169">
        <v>49</v>
      </c>
      <c r="L1169">
        <v>91.070830000000001</v>
      </c>
      <c r="M1169">
        <v>34.5</v>
      </c>
      <c r="O1169">
        <v>110000</v>
      </c>
      <c r="P1169">
        <v>1.411314382</v>
      </c>
      <c r="Q1169">
        <v>4591.5770149999998</v>
      </c>
      <c r="R1169">
        <v>2.11</v>
      </c>
      <c r="S1169">
        <v>18274</v>
      </c>
      <c r="T1169">
        <v>-17.713370999999999</v>
      </c>
      <c r="U1169">
        <v>178.065032</v>
      </c>
    </row>
    <row r="1170" spans="1:21">
      <c r="A1170" t="s">
        <v>76</v>
      </c>
      <c r="B1170">
        <v>2013</v>
      </c>
      <c r="C1170">
        <v>7502.866</v>
      </c>
      <c r="D1170">
        <v>1129.9999949999999</v>
      </c>
      <c r="E1170">
        <v>0.27</v>
      </c>
      <c r="F1170">
        <v>0</v>
      </c>
      <c r="G1170">
        <v>0.61</v>
      </c>
      <c r="H1170">
        <v>69.318184000000002</v>
      </c>
      <c r="I1170">
        <v>220.53</v>
      </c>
      <c r="J1170">
        <v>32.81</v>
      </c>
      <c r="K1170">
        <v>49</v>
      </c>
      <c r="L1170">
        <v>91.75</v>
      </c>
      <c r="M1170">
        <v>36.6</v>
      </c>
      <c r="O1170">
        <v>4710000</v>
      </c>
      <c r="P1170">
        <v>4.7342194900000001</v>
      </c>
      <c r="Q1170">
        <v>4840.7272700000003</v>
      </c>
      <c r="R1170">
        <v>2.19</v>
      </c>
      <c r="S1170">
        <v>18274</v>
      </c>
      <c r="T1170">
        <v>-17.713370999999999</v>
      </c>
      <c r="U1170">
        <v>178.065032</v>
      </c>
    </row>
    <row r="1171" spans="1:21">
      <c r="A1171" t="s">
        <v>76</v>
      </c>
      <c r="B1171">
        <v>2014</v>
      </c>
      <c r="C1171">
        <v>7886.4252999999999</v>
      </c>
      <c r="D1171">
        <v>1289.9999620000001</v>
      </c>
      <c r="E1171">
        <v>0.38</v>
      </c>
      <c r="F1171">
        <v>0</v>
      </c>
      <c r="G1171">
        <v>0.53</v>
      </c>
      <c r="H1171">
        <v>58.241753000000003</v>
      </c>
      <c r="I1171">
        <v>220.93</v>
      </c>
      <c r="J1171">
        <v>33.17</v>
      </c>
      <c r="K1171">
        <v>49</v>
      </c>
      <c r="L1171">
        <v>93.786606000000006</v>
      </c>
      <c r="M1171">
        <v>38.1</v>
      </c>
      <c r="O1171">
        <v>6670000</v>
      </c>
      <c r="P1171">
        <v>5.6035148870000002</v>
      </c>
      <c r="Q1171">
        <v>5605.6091479999995</v>
      </c>
      <c r="R1171">
        <v>2.33</v>
      </c>
      <c r="S1171">
        <v>18274</v>
      </c>
      <c r="T1171">
        <v>-17.713370999999999</v>
      </c>
      <c r="U1171">
        <v>178.065032</v>
      </c>
    </row>
    <row r="1172" spans="1:21">
      <c r="A1172" t="s">
        <v>76</v>
      </c>
      <c r="B1172">
        <v>2015</v>
      </c>
      <c r="C1172">
        <v>8231.7430000000004</v>
      </c>
      <c r="D1172">
        <v>1379.9999949999999</v>
      </c>
      <c r="E1172">
        <v>0.43</v>
      </c>
      <c r="F1172">
        <v>0</v>
      </c>
      <c r="G1172">
        <v>0.53</v>
      </c>
      <c r="H1172">
        <v>55.208331999999999</v>
      </c>
      <c r="I1172">
        <v>222.02</v>
      </c>
      <c r="J1172">
        <v>32.74</v>
      </c>
      <c r="K1172">
        <v>49</v>
      </c>
      <c r="L1172">
        <v>95.168239999999997</v>
      </c>
      <c r="M1172">
        <v>40.299999999999997</v>
      </c>
      <c r="O1172">
        <v>1700000</v>
      </c>
      <c r="P1172">
        <v>4.5011993920000002</v>
      </c>
      <c r="Q1172">
        <v>5390.714207</v>
      </c>
      <c r="R1172">
        <v>2.2999999999999998</v>
      </c>
      <c r="S1172">
        <v>18274</v>
      </c>
      <c r="T1172">
        <v>-17.713370999999999</v>
      </c>
      <c r="U1172">
        <v>178.065032</v>
      </c>
    </row>
    <row r="1173" spans="1:21">
      <c r="A1173" t="s">
        <v>76</v>
      </c>
      <c r="B1173">
        <v>2016</v>
      </c>
      <c r="C1173">
        <v>8094.5083000000004</v>
      </c>
      <c r="D1173">
        <v>1519.9999809999999</v>
      </c>
      <c r="E1173">
        <v>0.36</v>
      </c>
      <c r="F1173">
        <v>0</v>
      </c>
      <c r="G1173">
        <v>0.6</v>
      </c>
      <c r="H1173">
        <v>62.500003999999997</v>
      </c>
      <c r="I1173">
        <v>223.35</v>
      </c>
      <c r="J1173">
        <v>27.68</v>
      </c>
      <c r="K1173">
        <v>49</v>
      </c>
      <c r="L1173">
        <v>96.561745000000002</v>
      </c>
      <c r="M1173">
        <v>42.4</v>
      </c>
      <c r="O1173">
        <v>180000</v>
      </c>
      <c r="P1173">
        <v>2.4456520080000002</v>
      </c>
      <c r="Q1173">
        <v>5651.2727210000003</v>
      </c>
      <c r="R1173">
        <v>2.0099999999999998</v>
      </c>
      <c r="S1173">
        <v>18274</v>
      </c>
      <c r="T1173">
        <v>-17.713370999999999</v>
      </c>
      <c r="U1173">
        <v>178.065032</v>
      </c>
    </row>
    <row r="1174" spans="1:21">
      <c r="A1174" t="s">
        <v>76</v>
      </c>
      <c r="B1174">
        <v>2017</v>
      </c>
      <c r="C1174">
        <v>8787.3089999999993</v>
      </c>
      <c r="D1174">
        <v>1649.9999760000001</v>
      </c>
      <c r="E1174">
        <v>0.41</v>
      </c>
      <c r="F1174">
        <v>0</v>
      </c>
      <c r="G1174">
        <v>0.64</v>
      </c>
      <c r="H1174">
        <v>60.952385</v>
      </c>
      <c r="I1174">
        <v>238.59</v>
      </c>
      <c r="J1174">
        <v>28.55</v>
      </c>
      <c r="K1174">
        <v>49</v>
      </c>
      <c r="L1174">
        <v>96</v>
      </c>
      <c r="M1174">
        <v>44.6</v>
      </c>
      <c r="O1174">
        <v>50000</v>
      </c>
      <c r="P1174">
        <v>5.3533649370000003</v>
      </c>
      <c r="Q1174">
        <v>6101.0238900000004</v>
      </c>
      <c r="R1174">
        <v>2.15</v>
      </c>
      <c r="S1174">
        <v>18274</v>
      </c>
      <c r="T1174">
        <v>-17.713370999999999</v>
      </c>
      <c r="U1174">
        <v>178.065032</v>
      </c>
    </row>
    <row r="1175" spans="1:21">
      <c r="A1175" t="s">
        <v>76</v>
      </c>
      <c r="B1175">
        <v>2018</v>
      </c>
      <c r="C1175">
        <v>9316.5889999999999</v>
      </c>
      <c r="D1175">
        <v>1629.9999949999999</v>
      </c>
      <c r="E1175">
        <v>0.38</v>
      </c>
      <c r="F1175">
        <v>0</v>
      </c>
      <c r="G1175">
        <v>0.71</v>
      </c>
      <c r="H1175">
        <v>65.137609999999995</v>
      </c>
      <c r="I1175">
        <v>239.61</v>
      </c>
      <c r="J1175">
        <v>25.8</v>
      </c>
      <c r="K1175">
        <v>49</v>
      </c>
      <c r="L1175">
        <v>99.372505000000004</v>
      </c>
      <c r="M1175">
        <v>46.7</v>
      </c>
      <c r="O1175">
        <v>5620000</v>
      </c>
      <c r="P1175">
        <v>3.8123509699999998</v>
      </c>
      <c r="Q1175">
        <v>6317.4137199999996</v>
      </c>
      <c r="R1175">
        <v>2.12</v>
      </c>
      <c r="S1175">
        <v>18274</v>
      </c>
      <c r="T1175">
        <v>-17.713370999999999</v>
      </c>
      <c r="U1175">
        <v>178.065032</v>
      </c>
    </row>
    <row r="1176" spans="1:21">
      <c r="A1176" t="s">
        <v>76</v>
      </c>
      <c r="B1176">
        <v>2019</v>
      </c>
      <c r="C1176">
        <v>9417.6319999999996</v>
      </c>
      <c r="D1176">
        <v>1629.9999949999999</v>
      </c>
      <c r="E1176">
        <v>0.42</v>
      </c>
      <c r="F1176">
        <v>0</v>
      </c>
      <c r="G1176">
        <v>0.71</v>
      </c>
      <c r="H1176">
        <v>62.831859999999999</v>
      </c>
      <c r="I1176">
        <v>237.93</v>
      </c>
      <c r="J1176">
        <v>26.48</v>
      </c>
      <c r="K1176">
        <v>49</v>
      </c>
      <c r="L1176">
        <v>99.715879999999999</v>
      </c>
      <c r="M1176">
        <v>49.4</v>
      </c>
      <c r="O1176">
        <v>110000</v>
      </c>
      <c r="P1176">
        <v>-0.44556304400000002</v>
      </c>
      <c r="Q1176">
        <v>6175.8906530000004</v>
      </c>
      <c r="R1176">
        <v>2.15</v>
      </c>
      <c r="S1176">
        <v>18274</v>
      </c>
      <c r="T1176">
        <v>-17.713370999999999</v>
      </c>
      <c r="U1176">
        <v>178.065032</v>
      </c>
    </row>
    <row r="1177" spans="1:21">
      <c r="A1177" t="s">
        <v>76</v>
      </c>
      <c r="B1177">
        <v>2020</v>
      </c>
      <c r="C1177">
        <v>9030.6059999999998</v>
      </c>
      <c r="E1177">
        <v>0.4</v>
      </c>
      <c r="F1177">
        <v>0</v>
      </c>
      <c r="G1177">
        <v>0.7</v>
      </c>
      <c r="H1177">
        <v>63.636364</v>
      </c>
      <c r="I1177">
        <v>236.38</v>
      </c>
      <c r="K1177">
        <v>49</v>
      </c>
      <c r="L1177">
        <v>100</v>
      </c>
      <c r="M1177">
        <v>51.4</v>
      </c>
      <c r="P1177">
        <v>-15.711803979999999</v>
      </c>
      <c r="Q1177">
        <v>5057.6319130000002</v>
      </c>
      <c r="S1177">
        <v>18274</v>
      </c>
      <c r="T1177">
        <v>-17.713370999999999</v>
      </c>
      <c r="U1177">
        <v>178.065032</v>
      </c>
    </row>
    <row r="1178" spans="1:21">
      <c r="A1178" t="s">
        <v>77</v>
      </c>
      <c r="B1178">
        <v>2000</v>
      </c>
      <c r="C1178">
        <v>69377</v>
      </c>
      <c r="D1178">
        <v>55100</v>
      </c>
      <c r="E1178">
        <v>23.93</v>
      </c>
      <c r="F1178">
        <v>22.48</v>
      </c>
      <c r="G1178">
        <v>23.38</v>
      </c>
      <c r="H1178">
        <v>65.711420000000004</v>
      </c>
      <c r="J1178">
        <v>31.68</v>
      </c>
      <c r="K1178">
        <v>18</v>
      </c>
      <c r="L1178">
        <v>100</v>
      </c>
      <c r="M1178">
        <v>100</v>
      </c>
      <c r="N1178">
        <v>19.702832999999998</v>
      </c>
      <c r="P1178">
        <v>5.7733624580000003</v>
      </c>
      <c r="Q1178">
        <v>24285.466820000001</v>
      </c>
      <c r="R1178">
        <v>6.57</v>
      </c>
      <c r="S1178">
        <v>338145</v>
      </c>
      <c r="T1178">
        <v>61.924109999999999</v>
      </c>
      <c r="U1178">
        <v>25.748151</v>
      </c>
    </row>
    <row r="1179" spans="1:21">
      <c r="A1179" t="s">
        <v>77</v>
      </c>
      <c r="B1179">
        <v>2001</v>
      </c>
      <c r="C1179">
        <v>70719.58</v>
      </c>
      <c r="D1179">
        <v>61090</v>
      </c>
      <c r="E1179">
        <v>29.98</v>
      </c>
      <c r="F1179">
        <v>22.77</v>
      </c>
      <c r="G1179">
        <v>21.54</v>
      </c>
      <c r="H1179">
        <v>59.644634000000003</v>
      </c>
      <c r="J1179">
        <v>29.25</v>
      </c>
      <c r="K1179">
        <v>18</v>
      </c>
      <c r="L1179">
        <v>100</v>
      </c>
      <c r="M1179">
        <v>100</v>
      </c>
      <c r="N1179">
        <v>17.716715000000001</v>
      </c>
      <c r="P1179">
        <v>2.6100191239999999</v>
      </c>
      <c r="Q1179">
        <v>24946.189190000001</v>
      </c>
      <c r="R1179">
        <v>6.57</v>
      </c>
      <c r="S1179">
        <v>338145</v>
      </c>
      <c r="T1179">
        <v>61.924109999999999</v>
      </c>
      <c r="U1179">
        <v>25.748151</v>
      </c>
    </row>
    <row r="1180" spans="1:21">
      <c r="A1180" t="s">
        <v>77</v>
      </c>
      <c r="B1180">
        <v>2002</v>
      </c>
      <c r="C1180">
        <v>70908.92</v>
      </c>
      <c r="D1180">
        <v>63439.998630000002</v>
      </c>
      <c r="E1180">
        <v>32.6</v>
      </c>
      <c r="F1180">
        <v>22.3</v>
      </c>
      <c r="G1180">
        <v>19.829999999999998</v>
      </c>
      <c r="H1180">
        <v>56.376286</v>
      </c>
      <c r="J1180">
        <v>29.52</v>
      </c>
      <c r="K1180">
        <v>18</v>
      </c>
      <c r="L1180">
        <v>100</v>
      </c>
      <c r="M1180">
        <v>100</v>
      </c>
      <c r="N1180">
        <v>16.264904000000001</v>
      </c>
      <c r="P1180">
        <v>1.707148962</v>
      </c>
      <c r="Q1180">
        <v>26869.674900000002</v>
      </c>
      <c r="R1180">
        <v>6.79</v>
      </c>
      <c r="S1180">
        <v>338145</v>
      </c>
      <c r="T1180">
        <v>61.924109999999999</v>
      </c>
      <c r="U1180">
        <v>25.748151</v>
      </c>
    </row>
    <row r="1181" spans="1:21">
      <c r="A1181" t="s">
        <v>77</v>
      </c>
      <c r="B1181">
        <v>2003</v>
      </c>
      <c r="C1181">
        <v>75758.37</v>
      </c>
      <c r="D1181">
        <v>71709.999079999994</v>
      </c>
      <c r="E1181">
        <v>42.29</v>
      </c>
      <c r="F1181">
        <v>22.73</v>
      </c>
      <c r="G1181">
        <v>19.059999999999999</v>
      </c>
      <c r="H1181">
        <v>49.702663000000001</v>
      </c>
      <c r="J1181">
        <v>28.35</v>
      </c>
      <c r="K1181">
        <v>18</v>
      </c>
      <c r="L1181">
        <v>100</v>
      </c>
      <c r="M1181">
        <v>100</v>
      </c>
      <c r="N1181">
        <v>14.593681</v>
      </c>
      <c r="P1181">
        <v>2.0037842029999999</v>
      </c>
      <c r="Q1181">
        <v>32855.13263</v>
      </c>
      <c r="R1181">
        <v>7.02</v>
      </c>
      <c r="S1181">
        <v>338145</v>
      </c>
      <c r="T1181">
        <v>61.924109999999999</v>
      </c>
      <c r="U1181">
        <v>25.748151</v>
      </c>
    </row>
    <row r="1182" spans="1:21">
      <c r="A1182" t="s">
        <v>77</v>
      </c>
      <c r="B1182">
        <v>2004</v>
      </c>
      <c r="C1182">
        <v>75218.67</v>
      </c>
      <c r="D1182">
        <v>67680.000310000003</v>
      </c>
      <c r="E1182">
        <v>37.25</v>
      </c>
      <c r="F1182">
        <v>22.72</v>
      </c>
      <c r="G1182">
        <v>25.63</v>
      </c>
      <c r="H1182">
        <v>56.483646</v>
      </c>
      <c r="J1182">
        <v>31.1</v>
      </c>
      <c r="K1182">
        <v>18</v>
      </c>
      <c r="L1182">
        <v>100</v>
      </c>
      <c r="M1182">
        <v>100</v>
      </c>
      <c r="N1182">
        <v>19.509205000000001</v>
      </c>
      <c r="P1182">
        <v>3.9920912899999998</v>
      </c>
      <c r="Q1182">
        <v>37702.845379999999</v>
      </c>
      <c r="R1182">
        <v>6.83</v>
      </c>
      <c r="S1182">
        <v>338145</v>
      </c>
      <c r="T1182">
        <v>61.924109999999999</v>
      </c>
      <c r="U1182">
        <v>25.748151</v>
      </c>
    </row>
    <row r="1183" spans="1:21">
      <c r="A1183" t="s">
        <v>77</v>
      </c>
      <c r="B1183">
        <v>2005</v>
      </c>
      <c r="C1183">
        <v>68155.33</v>
      </c>
      <c r="D1183">
        <v>55459.999080000001</v>
      </c>
      <c r="E1183">
        <v>23.6</v>
      </c>
      <c r="F1183">
        <v>23.27</v>
      </c>
      <c r="G1183">
        <v>23.46</v>
      </c>
      <c r="H1183">
        <v>66.443910000000002</v>
      </c>
      <c r="J1183">
        <v>31.52</v>
      </c>
      <c r="K1183">
        <v>18</v>
      </c>
      <c r="L1183">
        <v>100</v>
      </c>
      <c r="M1183">
        <v>100</v>
      </c>
      <c r="N1183">
        <v>19.463719999999999</v>
      </c>
      <c r="P1183">
        <v>2.779850556</v>
      </c>
      <c r="Q1183">
        <v>39040.28888</v>
      </c>
      <c r="R1183">
        <v>6.13</v>
      </c>
      <c r="S1183">
        <v>338145</v>
      </c>
      <c r="T1183">
        <v>61.924109999999999</v>
      </c>
      <c r="U1183">
        <v>25.748151</v>
      </c>
    </row>
    <row r="1184" spans="1:21">
      <c r="A1184" t="s">
        <v>77</v>
      </c>
      <c r="B1184">
        <v>2006</v>
      </c>
      <c r="C1184">
        <v>72824.554999999993</v>
      </c>
      <c r="D1184">
        <v>67019.996639999998</v>
      </c>
      <c r="E1184">
        <v>36.68</v>
      </c>
      <c r="F1184">
        <v>22.91</v>
      </c>
      <c r="G1184">
        <v>22.46</v>
      </c>
      <c r="H1184">
        <v>55.295549999999999</v>
      </c>
      <c r="J1184">
        <v>31.25</v>
      </c>
      <c r="K1184">
        <v>18</v>
      </c>
      <c r="L1184">
        <v>100</v>
      </c>
      <c r="M1184">
        <v>100</v>
      </c>
      <c r="N1184">
        <v>17.534887000000001</v>
      </c>
      <c r="P1184">
        <v>4.0274096579999998</v>
      </c>
      <c r="Q1184">
        <v>41188.093699999998</v>
      </c>
      <c r="R1184">
        <v>6.41</v>
      </c>
      <c r="S1184">
        <v>338145</v>
      </c>
      <c r="T1184">
        <v>61.924109999999999</v>
      </c>
      <c r="U1184">
        <v>25.748151</v>
      </c>
    </row>
    <row r="1185" spans="1:21">
      <c r="A1185" t="s">
        <v>77</v>
      </c>
      <c r="B1185">
        <v>2007</v>
      </c>
      <c r="C1185">
        <v>72265.94</v>
      </c>
      <c r="D1185">
        <v>65099.998469999999</v>
      </c>
      <c r="E1185">
        <v>33.18</v>
      </c>
      <c r="F1185">
        <v>23.42</v>
      </c>
      <c r="G1185">
        <v>24.32</v>
      </c>
      <c r="H1185">
        <v>58.996540000000003</v>
      </c>
      <c r="J1185">
        <v>31.8</v>
      </c>
      <c r="K1185">
        <v>18</v>
      </c>
      <c r="L1185">
        <v>100</v>
      </c>
      <c r="M1185">
        <v>100</v>
      </c>
      <c r="N1185">
        <v>18.869097</v>
      </c>
      <c r="P1185">
        <v>5.2993365069999996</v>
      </c>
      <c r="Q1185">
        <v>48414.845090000003</v>
      </c>
      <c r="R1185">
        <v>6</v>
      </c>
      <c r="S1185">
        <v>338145</v>
      </c>
      <c r="T1185">
        <v>61.924109999999999</v>
      </c>
      <c r="U1185">
        <v>25.748151</v>
      </c>
    </row>
    <row r="1186" spans="1:21">
      <c r="A1186" t="s">
        <v>77</v>
      </c>
      <c r="B1186">
        <v>2008</v>
      </c>
      <c r="C1186">
        <v>69352.664000000004</v>
      </c>
      <c r="D1186">
        <v>56659.99985</v>
      </c>
      <c r="E1186">
        <v>26.25</v>
      </c>
      <c r="F1186">
        <v>22.96</v>
      </c>
      <c r="G1186">
        <v>27.77</v>
      </c>
      <c r="H1186">
        <v>65.900229999999993</v>
      </c>
      <c r="J1186">
        <v>34.61</v>
      </c>
      <c r="K1186">
        <v>18</v>
      </c>
      <c r="L1186">
        <v>100</v>
      </c>
      <c r="M1186">
        <v>100</v>
      </c>
      <c r="N1186">
        <v>22.427766999999999</v>
      </c>
      <c r="P1186">
        <v>0.78399506100000005</v>
      </c>
      <c r="Q1186">
        <v>53554.038919999999</v>
      </c>
      <c r="R1186">
        <v>5.71</v>
      </c>
      <c r="S1186">
        <v>338145</v>
      </c>
      <c r="T1186">
        <v>61.924109999999999</v>
      </c>
      <c r="U1186">
        <v>25.748151</v>
      </c>
    </row>
    <row r="1187" spans="1:21">
      <c r="A1187" t="s">
        <v>77</v>
      </c>
      <c r="B1187">
        <v>2009</v>
      </c>
      <c r="C1187">
        <v>63925.77</v>
      </c>
      <c r="D1187">
        <v>54180.000310000003</v>
      </c>
      <c r="E1187">
        <v>26.55</v>
      </c>
      <c r="F1187">
        <v>23.53</v>
      </c>
      <c r="G1187">
        <v>21.7</v>
      </c>
      <c r="H1187">
        <v>63.011982000000003</v>
      </c>
      <c r="J1187">
        <v>32.46</v>
      </c>
      <c r="K1187">
        <v>18</v>
      </c>
      <c r="L1187">
        <v>100</v>
      </c>
      <c r="M1187">
        <v>100</v>
      </c>
      <c r="N1187">
        <v>19.18046</v>
      </c>
      <c r="P1187">
        <v>-8.0744474319999995</v>
      </c>
      <c r="Q1187">
        <v>47293.992830000003</v>
      </c>
      <c r="R1187">
        <v>5.86</v>
      </c>
      <c r="S1187">
        <v>338145</v>
      </c>
      <c r="T1187">
        <v>61.924109999999999</v>
      </c>
      <c r="U1187">
        <v>25.748151</v>
      </c>
    </row>
    <row r="1188" spans="1:21">
      <c r="A1188" t="s">
        <v>77</v>
      </c>
      <c r="B1188">
        <v>2010</v>
      </c>
      <c r="C1188">
        <v>69228.28</v>
      </c>
      <c r="D1188">
        <v>62529.998780000002</v>
      </c>
      <c r="E1188">
        <v>33.36</v>
      </c>
      <c r="F1188">
        <v>22.8</v>
      </c>
      <c r="G1188">
        <v>24.18</v>
      </c>
      <c r="H1188">
        <v>58.476480000000002</v>
      </c>
      <c r="J1188">
        <v>33.43</v>
      </c>
      <c r="K1188">
        <v>18</v>
      </c>
      <c r="L1188">
        <v>100</v>
      </c>
      <c r="M1188">
        <v>100</v>
      </c>
      <c r="N1188">
        <v>19.647141999999999</v>
      </c>
      <c r="P1188">
        <v>3.1859586539999998</v>
      </c>
      <c r="Q1188">
        <v>46459.973250000003</v>
      </c>
      <c r="R1188">
        <v>6.22</v>
      </c>
      <c r="S1188">
        <v>338145</v>
      </c>
      <c r="T1188">
        <v>61.924109999999999</v>
      </c>
      <c r="U1188">
        <v>25.748151</v>
      </c>
    </row>
    <row r="1189" spans="1:21">
      <c r="A1189" t="s">
        <v>77</v>
      </c>
      <c r="B1189">
        <v>2011</v>
      </c>
      <c r="C1189">
        <v>64942.777000000002</v>
      </c>
      <c r="D1189">
        <v>55119.998930000002</v>
      </c>
      <c r="E1189">
        <v>25.84</v>
      </c>
      <c r="F1189">
        <v>23.19</v>
      </c>
      <c r="G1189">
        <v>24.18</v>
      </c>
      <c r="H1189">
        <v>64.704279999999997</v>
      </c>
      <c r="J1189">
        <v>35.14</v>
      </c>
      <c r="K1189">
        <v>18</v>
      </c>
      <c r="L1189">
        <v>100</v>
      </c>
      <c r="M1189">
        <v>100</v>
      </c>
      <c r="N1189">
        <v>20.955501999999999</v>
      </c>
      <c r="P1189">
        <v>2.5476648380000002</v>
      </c>
      <c r="Q1189">
        <v>51081.997669999997</v>
      </c>
      <c r="R1189">
        <v>5.83</v>
      </c>
      <c r="S1189">
        <v>338145</v>
      </c>
      <c r="T1189">
        <v>61.924109999999999</v>
      </c>
      <c r="U1189">
        <v>25.748151</v>
      </c>
    </row>
    <row r="1190" spans="1:21">
      <c r="A1190" t="s">
        <v>77</v>
      </c>
      <c r="B1190">
        <v>2012</v>
      </c>
      <c r="C1190">
        <v>62886.45</v>
      </c>
      <c r="D1190">
        <v>49409.99985</v>
      </c>
      <c r="E1190">
        <v>18.54</v>
      </c>
      <c r="F1190">
        <v>22.99</v>
      </c>
      <c r="G1190">
        <v>28.56</v>
      </c>
      <c r="H1190">
        <v>73.548299999999998</v>
      </c>
      <c r="J1190">
        <v>38.72</v>
      </c>
      <c r="K1190">
        <v>18</v>
      </c>
      <c r="L1190">
        <v>100</v>
      </c>
      <c r="M1190">
        <v>100</v>
      </c>
      <c r="N1190">
        <v>24.975452000000001</v>
      </c>
      <c r="P1190">
        <v>-1.3975457280000001</v>
      </c>
      <c r="Q1190">
        <v>47710.790220000003</v>
      </c>
      <c r="R1190">
        <v>5.71</v>
      </c>
      <c r="S1190">
        <v>338145</v>
      </c>
      <c r="T1190">
        <v>61.924109999999999</v>
      </c>
      <c r="U1190">
        <v>25.748151</v>
      </c>
    </row>
    <row r="1191" spans="1:21">
      <c r="A1191" t="s">
        <v>77</v>
      </c>
      <c r="B1191">
        <v>2013</v>
      </c>
      <c r="C1191">
        <v>62843.995999999999</v>
      </c>
      <c r="D1191">
        <v>50189.998630000002</v>
      </c>
      <c r="E1191">
        <v>21.74</v>
      </c>
      <c r="F1191">
        <v>23.61</v>
      </c>
      <c r="G1191">
        <v>25.63</v>
      </c>
      <c r="H1191">
        <v>69.371650000000002</v>
      </c>
      <c r="J1191">
        <v>38.520000000000003</v>
      </c>
      <c r="K1191">
        <v>18</v>
      </c>
      <c r="L1191">
        <v>100</v>
      </c>
      <c r="M1191">
        <v>100</v>
      </c>
      <c r="N1191">
        <v>22.647864999999999</v>
      </c>
      <c r="P1191">
        <v>-0.901696316</v>
      </c>
      <c r="Q1191">
        <v>49878.043239999999</v>
      </c>
      <c r="R1191">
        <v>5.67</v>
      </c>
      <c r="S1191">
        <v>338145</v>
      </c>
      <c r="T1191">
        <v>61.924109999999999</v>
      </c>
      <c r="U1191">
        <v>25.748151</v>
      </c>
    </row>
    <row r="1192" spans="1:21">
      <c r="A1192" t="s">
        <v>77</v>
      </c>
      <c r="B1192">
        <v>2014</v>
      </c>
      <c r="C1192">
        <v>60391.24</v>
      </c>
      <c r="D1192">
        <v>46159.99985</v>
      </c>
      <c r="E1192">
        <v>17.95</v>
      </c>
      <c r="F1192">
        <v>23.58</v>
      </c>
      <c r="G1192">
        <v>26.28</v>
      </c>
      <c r="H1192">
        <v>73.528983999999994</v>
      </c>
      <c r="J1192">
        <v>41.25</v>
      </c>
      <c r="K1192">
        <v>18</v>
      </c>
      <c r="L1192">
        <v>100</v>
      </c>
      <c r="M1192">
        <v>100</v>
      </c>
      <c r="N1192">
        <v>24.728232999999999</v>
      </c>
      <c r="P1192">
        <v>-0.36490815700000001</v>
      </c>
      <c r="Q1192">
        <v>50260.299859999999</v>
      </c>
      <c r="R1192">
        <v>5.81</v>
      </c>
      <c r="S1192">
        <v>338145</v>
      </c>
      <c r="T1192">
        <v>61.924109999999999</v>
      </c>
      <c r="U1192">
        <v>25.748151</v>
      </c>
    </row>
    <row r="1193" spans="1:21">
      <c r="A1193" t="s">
        <v>77</v>
      </c>
      <c r="B1193">
        <v>2015</v>
      </c>
      <c r="C1193">
        <v>60022.976999999999</v>
      </c>
      <c r="D1193">
        <v>42819.999689999997</v>
      </c>
      <c r="E1193">
        <v>14.58</v>
      </c>
      <c r="F1193">
        <v>23.25</v>
      </c>
      <c r="G1193">
        <v>30.53</v>
      </c>
      <c r="H1193">
        <v>78.67174</v>
      </c>
      <c r="J1193">
        <v>43.23</v>
      </c>
      <c r="K1193">
        <v>18</v>
      </c>
      <c r="L1193">
        <v>100</v>
      </c>
      <c r="M1193">
        <v>100</v>
      </c>
      <c r="N1193">
        <v>28.137722</v>
      </c>
      <c r="P1193">
        <v>0.543659212</v>
      </c>
      <c r="Q1193">
        <v>42784.698360000002</v>
      </c>
      <c r="R1193">
        <v>5.5</v>
      </c>
      <c r="S1193">
        <v>338145</v>
      </c>
      <c r="T1193">
        <v>61.924109999999999</v>
      </c>
      <c r="U1193">
        <v>25.748151</v>
      </c>
    </row>
    <row r="1194" spans="1:21">
      <c r="A1194" t="s">
        <v>77</v>
      </c>
      <c r="B1194">
        <v>2016</v>
      </c>
      <c r="C1194">
        <v>60795.296999999999</v>
      </c>
      <c r="D1194">
        <v>45700.000760000003</v>
      </c>
      <c r="E1194">
        <v>14.87</v>
      </c>
      <c r="F1194">
        <v>23.2</v>
      </c>
      <c r="G1194">
        <v>30.41</v>
      </c>
      <c r="H1194">
        <v>78.285629999999998</v>
      </c>
      <c r="J1194">
        <v>42.4</v>
      </c>
      <c r="K1194">
        <v>18</v>
      </c>
      <c r="L1194">
        <v>100</v>
      </c>
      <c r="M1194">
        <v>100</v>
      </c>
      <c r="N1194">
        <v>26.58672</v>
      </c>
      <c r="P1194">
        <v>2.8114577669999998</v>
      </c>
      <c r="Q1194">
        <v>43784.283960000001</v>
      </c>
      <c r="R1194">
        <v>5.55</v>
      </c>
      <c r="S1194">
        <v>338145</v>
      </c>
      <c r="T1194">
        <v>61.924109999999999</v>
      </c>
      <c r="U1194">
        <v>25.748151</v>
      </c>
    </row>
    <row r="1195" spans="1:21">
      <c r="A1195" t="s">
        <v>77</v>
      </c>
      <c r="B1195">
        <v>2017</v>
      </c>
      <c r="C1195">
        <v>59405.815999999999</v>
      </c>
      <c r="D1195">
        <v>43020.000460000003</v>
      </c>
      <c r="E1195">
        <v>13.17</v>
      </c>
      <c r="F1195">
        <v>22.48</v>
      </c>
      <c r="G1195">
        <v>31.48</v>
      </c>
      <c r="H1195">
        <v>80.381354999999999</v>
      </c>
      <c r="J1195">
        <v>44.48</v>
      </c>
      <c r="K1195">
        <v>18</v>
      </c>
      <c r="L1195">
        <v>100</v>
      </c>
      <c r="M1195">
        <v>100</v>
      </c>
      <c r="N1195">
        <v>28.707514</v>
      </c>
      <c r="P1195">
        <v>3.1924096300000002</v>
      </c>
      <c r="Q1195">
        <v>46297.496350000001</v>
      </c>
      <c r="R1195">
        <v>5.34</v>
      </c>
      <c r="S1195">
        <v>338145</v>
      </c>
      <c r="T1195">
        <v>61.924109999999999</v>
      </c>
      <c r="U1195">
        <v>25.748151</v>
      </c>
    </row>
    <row r="1196" spans="1:21">
      <c r="A1196" t="s">
        <v>77</v>
      </c>
      <c r="B1196">
        <v>2018</v>
      </c>
      <c r="C1196">
        <v>60528.163999999997</v>
      </c>
      <c r="D1196">
        <v>44580.001830000001</v>
      </c>
      <c r="E1196">
        <v>15.05</v>
      </c>
      <c r="F1196">
        <v>22.79</v>
      </c>
      <c r="G1196">
        <v>32.14</v>
      </c>
      <c r="H1196">
        <v>78.493849999999995</v>
      </c>
      <c r="J1196">
        <v>44.17</v>
      </c>
      <c r="K1196">
        <v>18</v>
      </c>
      <c r="L1196">
        <v>100</v>
      </c>
      <c r="M1196">
        <v>100</v>
      </c>
      <c r="N1196">
        <v>28.641553999999999</v>
      </c>
      <c r="P1196">
        <v>1.141947509</v>
      </c>
      <c r="Q1196">
        <v>49964.499909999999</v>
      </c>
      <c r="R1196">
        <v>5.37</v>
      </c>
      <c r="S1196">
        <v>338145</v>
      </c>
      <c r="T1196">
        <v>61.924109999999999</v>
      </c>
      <c r="U1196">
        <v>25.748151</v>
      </c>
    </row>
    <row r="1197" spans="1:21">
      <c r="A1197" t="s">
        <v>77</v>
      </c>
      <c r="B1197">
        <v>2019</v>
      </c>
      <c r="C1197">
        <v>59219.417999999998</v>
      </c>
      <c r="D1197">
        <v>40709.999080000001</v>
      </c>
      <c r="E1197">
        <v>12.63</v>
      </c>
      <c r="F1197">
        <v>23.87</v>
      </c>
      <c r="G1197">
        <v>31.88</v>
      </c>
      <c r="H1197">
        <v>81.529690000000002</v>
      </c>
      <c r="J1197">
        <v>45.76</v>
      </c>
      <c r="K1197">
        <v>18</v>
      </c>
      <c r="L1197">
        <v>100</v>
      </c>
      <c r="M1197">
        <v>100</v>
      </c>
      <c r="N1197">
        <v>29.214561</v>
      </c>
      <c r="P1197">
        <v>1.220754143</v>
      </c>
      <c r="Q1197">
        <v>48628.641759999999</v>
      </c>
      <c r="R1197">
        <v>5.19</v>
      </c>
      <c r="S1197">
        <v>338145</v>
      </c>
      <c r="T1197">
        <v>61.924109999999999</v>
      </c>
      <c r="U1197">
        <v>25.748151</v>
      </c>
    </row>
    <row r="1198" spans="1:21">
      <c r="A1198" t="s">
        <v>77</v>
      </c>
      <c r="B1198">
        <v>2020</v>
      </c>
      <c r="C1198">
        <v>56636.78</v>
      </c>
      <c r="E1198">
        <v>9.82</v>
      </c>
      <c r="F1198">
        <v>23.29</v>
      </c>
      <c r="G1198">
        <v>35.93</v>
      </c>
      <c r="H1198">
        <v>85.776359999999997</v>
      </c>
      <c r="K1198">
        <v>18</v>
      </c>
      <c r="L1198">
        <v>100</v>
      </c>
      <c r="M1198">
        <v>100</v>
      </c>
      <c r="N1198">
        <v>33.168509999999998</v>
      </c>
      <c r="P1198">
        <v>-2.800135891</v>
      </c>
      <c r="Q1198">
        <v>48744.988129999998</v>
      </c>
      <c r="S1198">
        <v>338145</v>
      </c>
      <c r="T1198">
        <v>61.924109999999999</v>
      </c>
      <c r="U1198">
        <v>25.748151</v>
      </c>
    </row>
    <row r="1199" spans="1:21">
      <c r="A1199" t="s">
        <v>78</v>
      </c>
      <c r="B1199">
        <v>2000</v>
      </c>
      <c r="C1199">
        <v>52966.593999999997</v>
      </c>
      <c r="D1199">
        <v>373120</v>
      </c>
      <c r="E1199">
        <v>50.61</v>
      </c>
      <c r="F1199">
        <v>415.16</v>
      </c>
      <c r="G1199">
        <v>67.83</v>
      </c>
      <c r="H1199">
        <v>90.515370000000004</v>
      </c>
      <c r="J1199">
        <v>9.32</v>
      </c>
      <c r="K1199">
        <v>119</v>
      </c>
      <c r="L1199">
        <v>100</v>
      </c>
      <c r="M1199">
        <v>100</v>
      </c>
      <c r="N1199">
        <v>6.7445607000000001</v>
      </c>
      <c r="P1199">
        <v>3.923669227</v>
      </c>
      <c r="Q1199">
        <v>22364.02939</v>
      </c>
      <c r="R1199">
        <v>4.3600000000000003</v>
      </c>
      <c r="S1199">
        <v>643801</v>
      </c>
      <c r="T1199">
        <v>46.227637999999999</v>
      </c>
      <c r="U1199">
        <v>2.213749</v>
      </c>
    </row>
    <row r="1200" spans="1:21">
      <c r="A1200" t="s">
        <v>78</v>
      </c>
      <c r="B1200">
        <v>2001</v>
      </c>
      <c r="C1200">
        <v>53298.86</v>
      </c>
      <c r="D1200">
        <v>376730</v>
      </c>
      <c r="E1200">
        <v>46.48</v>
      </c>
      <c r="F1200">
        <v>421.08</v>
      </c>
      <c r="G1200">
        <v>76.09</v>
      </c>
      <c r="H1200">
        <v>91.450379999999996</v>
      </c>
      <c r="J1200">
        <v>9.4600000000000009</v>
      </c>
      <c r="K1200">
        <v>119</v>
      </c>
      <c r="L1200">
        <v>100</v>
      </c>
      <c r="M1200">
        <v>100</v>
      </c>
      <c r="N1200">
        <v>7.405367</v>
      </c>
      <c r="P1200">
        <v>1.9837214190000001</v>
      </c>
      <c r="Q1200">
        <v>22433.554980000001</v>
      </c>
      <c r="R1200">
        <v>4.42</v>
      </c>
      <c r="S1200">
        <v>643801</v>
      </c>
      <c r="T1200">
        <v>46.227637999999999</v>
      </c>
      <c r="U1200">
        <v>2.213749</v>
      </c>
    </row>
    <row r="1201" spans="1:21">
      <c r="A1201" t="s">
        <v>78</v>
      </c>
      <c r="B1201">
        <v>2002</v>
      </c>
      <c r="C1201">
        <v>52433.27</v>
      </c>
      <c r="D1201">
        <v>371019.989</v>
      </c>
      <c r="E1201">
        <v>52.67</v>
      </c>
      <c r="F1201">
        <v>436.76</v>
      </c>
      <c r="G1201">
        <v>62.69</v>
      </c>
      <c r="H1201">
        <v>90.460409999999996</v>
      </c>
      <c r="J1201">
        <v>8.73</v>
      </c>
      <c r="K1201">
        <v>119</v>
      </c>
      <c r="L1201">
        <v>100</v>
      </c>
      <c r="M1201">
        <v>100</v>
      </c>
      <c r="N1201">
        <v>6.1756209999999996</v>
      </c>
      <c r="P1201">
        <v>1.135531482</v>
      </c>
      <c r="Q1201">
        <v>24177.33556</v>
      </c>
      <c r="R1201">
        <v>4.38</v>
      </c>
      <c r="S1201">
        <v>643801</v>
      </c>
      <c r="T1201">
        <v>46.227637999999999</v>
      </c>
      <c r="U1201">
        <v>2.213749</v>
      </c>
    </row>
    <row r="1202" spans="1:21">
      <c r="A1202" t="s">
        <v>78</v>
      </c>
      <c r="B1202">
        <v>2003</v>
      </c>
      <c r="C1202">
        <v>52657.883000000002</v>
      </c>
      <c r="D1202">
        <v>376709.9915</v>
      </c>
      <c r="E1202">
        <v>57.38</v>
      </c>
      <c r="F1202">
        <v>441.07</v>
      </c>
      <c r="G1202">
        <v>61.47</v>
      </c>
      <c r="H1202">
        <v>89.752110000000002</v>
      </c>
      <c r="J1202">
        <v>8.91</v>
      </c>
      <c r="K1202">
        <v>119</v>
      </c>
      <c r="L1202">
        <v>100</v>
      </c>
      <c r="M1202">
        <v>100</v>
      </c>
      <c r="N1202">
        <v>5.9621820000000003</v>
      </c>
      <c r="P1202">
        <v>0.82316075700000002</v>
      </c>
      <c r="Q1202">
        <v>29568.388800000001</v>
      </c>
      <c r="R1202">
        <v>4.45</v>
      </c>
      <c r="S1202">
        <v>643801</v>
      </c>
      <c r="T1202">
        <v>46.227637999999999</v>
      </c>
      <c r="U1202">
        <v>2.213749</v>
      </c>
    </row>
    <row r="1203" spans="1:21">
      <c r="A1203" t="s">
        <v>78</v>
      </c>
      <c r="B1203">
        <v>2004</v>
      </c>
      <c r="C1203">
        <v>52754.13</v>
      </c>
      <c r="D1203">
        <v>377790.0085</v>
      </c>
      <c r="E1203">
        <v>56.53</v>
      </c>
      <c r="F1203">
        <v>448.24</v>
      </c>
      <c r="G1203">
        <v>62.42</v>
      </c>
      <c r="H1203">
        <v>90.033325000000005</v>
      </c>
      <c r="J1203">
        <v>8.9499999999999993</v>
      </c>
      <c r="K1203">
        <v>119</v>
      </c>
      <c r="L1203">
        <v>100</v>
      </c>
      <c r="M1203">
        <v>100</v>
      </c>
      <c r="N1203">
        <v>5.9703150000000003</v>
      </c>
      <c r="P1203">
        <v>2.8297529290000001</v>
      </c>
      <c r="Q1203">
        <v>33741.261919999997</v>
      </c>
      <c r="R1203">
        <v>4.3899999999999997</v>
      </c>
      <c r="S1203">
        <v>643801</v>
      </c>
      <c r="T1203">
        <v>46.227637999999999</v>
      </c>
      <c r="U1203">
        <v>2.213749</v>
      </c>
    </row>
    <row r="1204" spans="1:21">
      <c r="A1204" t="s">
        <v>78</v>
      </c>
      <c r="B1204">
        <v>2005</v>
      </c>
      <c r="C1204">
        <v>52097.116999999998</v>
      </c>
      <c r="D1204">
        <v>380660.0037</v>
      </c>
      <c r="E1204">
        <v>63.35</v>
      </c>
      <c r="F1204">
        <v>451.53</v>
      </c>
      <c r="G1204">
        <v>54.98</v>
      </c>
      <c r="H1204">
        <v>88.883240000000001</v>
      </c>
      <c r="J1204">
        <v>8.66</v>
      </c>
      <c r="K1204">
        <v>119</v>
      </c>
      <c r="L1204">
        <v>100</v>
      </c>
      <c r="M1204">
        <v>100</v>
      </c>
      <c r="N1204">
        <v>5.3653339999999998</v>
      </c>
      <c r="P1204">
        <v>1.66321998</v>
      </c>
      <c r="Q1204">
        <v>34760.185019999997</v>
      </c>
      <c r="R1204">
        <v>4.34</v>
      </c>
      <c r="S1204">
        <v>643801</v>
      </c>
      <c r="T1204">
        <v>46.227637999999999</v>
      </c>
      <c r="U1204">
        <v>2.213749</v>
      </c>
    </row>
    <row r="1205" spans="1:21">
      <c r="A1205" t="s">
        <v>78</v>
      </c>
      <c r="B1205">
        <v>2006</v>
      </c>
      <c r="C1205">
        <v>51332.476999999999</v>
      </c>
      <c r="D1205">
        <v>371549.9878</v>
      </c>
      <c r="E1205">
        <v>56.9</v>
      </c>
      <c r="F1205">
        <v>450.19</v>
      </c>
      <c r="G1205">
        <v>60.91</v>
      </c>
      <c r="H1205">
        <v>89.982389999999995</v>
      </c>
      <c r="J1205">
        <v>8.52</v>
      </c>
      <c r="K1205">
        <v>119</v>
      </c>
      <c r="L1205">
        <v>100</v>
      </c>
      <c r="M1205">
        <v>100</v>
      </c>
      <c r="N1205">
        <v>5.9697319999999996</v>
      </c>
      <c r="P1205">
        <v>2.4493236010000001</v>
      </c>
      <c r="Q1205">
        <v>36443.62631</v>
      </c>
      <c r="R1205">
        <v>4.17</v>
      </c>
      <c r="S1205">
        <v>643801</v>
      </c>
      <c r="T1205">
        <v>46.227637999999999</v>
      </c>
      <c r="U1205">
        <v>2.213749</v>
      </c>
    </row>
    <row r="1206" spans="1:21">
      <c r="A1206" t="s">
        <v>78</v>
      </c>
      <c r="B1206">
        <v>2007</v>
      </c>
      <c r="C1206">
        <v>50095.92</v>
      </c>
      <c r="D1206">
        <v>362829.9866</v>
      </c>
      <c r="E1206">
        <v>58.18</v>
      </c>
      <c r="F1206">
        <v>439.73</v>
      </c>
      <c r="G1206">
        <v>64.3</v>
      </c>
      <c r="H1206">
        <v>89.65155</v>
      </c>
      <c r="J1206">
        <v>9.4600000000000009</v>
      </c>
      <c r="K1206">
        <v>119</v>
      </c>
      <c r="L1206">
        <v>100</v>
      </c>
      <c r="M1206">
        <v>100</v>
      </c>
      <c r="N1206">
        <v>6.6387134000000003</v>
      </c>
      <c r="P1206">
        <v>2.4247362429999999</v>
      </c>
      <c r="Q1206">
        <v>41508.432690000001</v>
      </c>
      <c r="R1206">
        <v>4.0199999999999996</v>
      </c>
      <c r="S1206">
        <v>643801</v>
      </c>
      <c r="T1206">
        <v>46.227637999999999</v>
      </c>
      <c r="U1206">
        <v>2.213749</v>
      </c>
    </row>
    <row r="1207" spans="1:21">
      <c r="A1207" t="s">
        <v>78</v>
      </c>
      <c r="B1207">
        <v>2008</v>
      </c>
      <c r="C1207">
        <v>49932.983999999997</v>
      </c>
      <c r="D1207">
        <v>357989.9902</v>
      </c>
      <c r="E1207">
        <v>55.57</v>
      </c>
      <c r="F1207">
        <v>439.45</v>
      </c>
      <c r="G1207">
        <v>72.33</v>
      </c>
      <c r="H1207">
        <v>90.205344999999994</v>
      </c>
      <c r="J1207">
        <v>10.6</v>
      </c>
      <c r="K1207">
        <v>119</v>
      </c>
      <c r="L1207">
        <v>100</v>
      </c>
      <c r="M1207">
        <v>100</v>
      </c>
      <c r="N1207">
        <v>7.6322675000000002</v>
      </c>
      <c r="P1207">
        <v>0.25494596000000003</v>
      </c>
      <c r="Q1207">
        <v>45334.117960000003</v>
      </c>
      <c r="R1207">
        <v>4.03</v>
      </c>
      <c r="S1207">
        <v>643801</v>
      </c>
      <c r="T1207">
        <v>46.227637999999999</v>
      </c>
      <c r="U1207">
        <v>2.213749</v>
      </c>
    </row>
    <row r="1208" spans="1:21">
      <c r="A1208" t="s">
        <v>78</v>
      </c>
      <c r="B1208">
        <v>2009</v>
      </c>
      <c r="C1208">
        <v>46864.53</v>
      </c>
      <c r="D1208">
        <v>343730.011</v>
      </c>
      <c r="E1208">
        <v>51.32</v>
      </c>
      <c r="F1208">
        <v>409.74</v>
      </c>
      <c r="G1208">
        <v>68.150000000000006</v>
      </c>
      <c r="H1208">
        <v>90.302520000000001</v>
      </c>
      <c r="J1208">
        <v>11.32</v>
      </c>
      <c r="K1208">
        <v>119</v>
      </c>
      <c r="L1208">
        <v>100</v>
      </c>
      <c r="M1208">
        <v>100</v>
      </c>
      <c r="N1208">
        <v>7.7064500000000002</v>
      </c>
      <c r="P1208">
        <v>-2.8733138280000001</v>
      </c>
      <c r="Q1208">
        <v>41575.42196</v>
      </c>
      <c r="R1208">
        <v>3.97</v>
      </c>
      <c r="S1208">
        <v>643801</v>
      </c>
      <c r="T1208">
        <v>46.227637999999999</v>
      </c>
      <c r="U1208">
        <v>2.213749</v>
      </c>
    </row>
    <row r="1209" spans="1:21">
      <c r="A1209" t="s">
        <v>78</v>
      </c>
      <c r="B1209">
        <v>2010</v>
      </c>
      <c r="C1209">
        <v>48006.33</v>
      </c>
      <c r="D1209">
        <v>347779.9988</v>
      </c>
      <c r="E1209">
        <v>57.63</v>
      </c>
      <c r="F1209">
        <v>428.52</v>
      </c>
      <c r="G1209">
        <v>76.680000000000007</v>
      </c>
      <c r="H1209">
        <v>89.760670000000005</v>
      </c>
      <c r="J1209">
        <v>11.99</v>
      </c>
      <c r="K1209">
        <v>119</v>
      </c>
      <c r="L1209">
        <v>100</v>
      </c>
      <c r="M1209">
        <v>100</v>
      </c>
      <c r="N1209">
        <v>8.2202920000000006</v>
      </c>
      <c r="P1209">
        <v>1.9494376229999999</v>
      </c>
      <c r="Q1209">
        <v>40638.335249999996</v>
      </c>
      <c r="R1209">
        <v>4.0199999999999996</v>
      </c>
      <c r="S1209">
        <v>643801</v>
      </c>
      <c r="T1209">
        <v>46.227637999999999</v>
      </c>
      <c r="U1209">
        <v>2.213749</v>
      </c>
    </row>
    <row r="1210" spans="1:21">
      <c r="A1210" t="s">
        <v>78</v>
      </c>
      <c r="B1210">
        <v>2011</v>
      </c>
      <c r="C1210">
        <v>45914.77</v>
      </c>
      <c r="D1210">
        <v>335140.01459999999</v>
      </c>
      <c r="E1210">
        <v>58.99</v>
      </c>
      <c r="F1210">
        <v>442.39</v>
      </c>
      <c r="G1210">
        <v>66.02</v>
      </c>
      <c r="H1210">
        <v>89.603449999999995</v>
      </c>
      <c r="J1210">
        <v>10.66</v>
      </c>
      <c r="K1210">
        <v>119</v>
      </c>
      <c r="L1210">
        <v>100</v>
      </c>
      <c r="M1210">
        <v>100</v>
      </c>
      <c r="N1210">
        <v>7.1855180000000001</v>
      </c>
      <c r="P1210">
        <v>2.1927006329999998</v>
      </c>
      <c r="Q1210">
        <v>43790.726020000002</v>
      </c>
      <c r="R1210">
        <v>3.85</v>
      </c>
      <c r="S1210">
        <v>643801</v>
      </c>
      <c r="T1210">
        <v>46.227637999999999</v>
      </c>
      <c r="U1210">
        <v>2.213749</v>
      </c>
    </row>
    <row r="1211" spans="1:21">
      <c r="A1211" t="s">
        <v>78</v>
      </c>
      <c r="B1211">
        <v>2012</v>
      </c>
      <c r="C1211">
        <v>45681.15</v>
      </c>
      <c r="D1211">
        <v>338420.0134</v>
      </c>
      <c r="E1211">
        <v>56.42</v>
      </c>
      <c r="F1211">
        <v>425.41</v>
      </c>
      <c r="G1211">
        <v>85.25</v>
      </c>
      <c r="H1211">
        <v>90.050780000000003</v>
      </c>
      <c r="J1211">
        <v>12.34</v>
      </c>
      <c r="K1211">
        <v>119</v>
      </c>
      <c r="L1211">
        <v>100</v>
      </c>
      <c r="M1211">
        <v>100</v>
      </c>
      <c r="N1211">
        <v>9.1373630000000006</v>
      </c>
      <c r="P1211">
        <v>0.31313475099999999</v>
      </c>
      <c r="Q1211">
        <v>40874.700389999998</v>
      </c>
      <c r="R1211">
        <v>3.84</v>
      </c>
      <c r="S1211">
        <v>643801</v>
      </c>
      <c r="T1211">
        <v>46.227637999999999</v>
      </c>
      <c r="U1211">
        <v>2.213749</v>
      </c>
    </row>
    <row r="1212" spans="1:21">
      <c r="A1212" t="s">
        <v>78</v>
      </c>
      <c r="B1212">
        <v>2013</v>
      </c>
      <c r="C1212">
        <v>45921.207000000002</v>
      </c>
      <c r="D1212">
        <v>338559.9976</v>
      </c>
      <c r="E1212">
        <v>53.35</v>
      </c>
      <c r="F1212">
        <v>423.68</v>
      </c>
      <c r="G1212">
        <v>99.42</v>
      </c>
      <c r="H1212">
        <v>90.745069999999998</v>
      </c>
      <c r="J1212">
        <v>13.42</v>
      </c>
      <c r="K1212">
        <v>119</v>
      </c>
      <c r="L1212">
        <v>100</v>
      </c>
      <c r="M1212">
        <v>100</v>
      </c>
      <c r="N1212">
        <v>10.4594345</v>
      </c>
      <c r="P1212">
        <v>0.57632667500000001</v>
      </c>
      <c r="Q1212">
        <v>42592.935389999999</v>
      </c>
      <c r="R1212">
        <v>3.83</v>
      </c>
      <c r="S1212">
        <v>643801</v>
      </c>
      <c r="T1212">
        <v>46.227637999999999</v>
      </c>
      <c r="U1212">
        <v>2.213749</v>
      </c>
    </row>
    <row r="1213" spans="1:21">
      <c r="A1213" t="s">
        <v>78</v>
      </c>
      <c r="B1213">
        <v>2014</v>
      </c>
      <c r="C1213">
        <v>43808.913999999997</v>
      </c>
      <c r="D1213">
        <v>306100.0061</v>
      </c>
      <c r="E1213">
        <v>35.68</v>
      </c>
      <c r="F1213">
        <v>436.48</v>
      </c>
      <c r="G1213">
        <v>94.03</v>
      </c>
      <c r="H1213">
        <v>93.698229999999995</v>
      </c>
      <c r="J1213">
        <v>13.2</v>
      </c>
      <c r="K1213">
        <v>119</v>
      </c>
      <c r="L1213">
        <v>100</v>
      </c>
      <c r="M1213">
        <v>100</v>
      </c>
      <c r="N1213">
        <v>10.459279</v>
      </c>
      <c r="P1213">
        <v>0.95618305199999998</v>
      </c>
      <c r="Q1213">
        <v>43011.263099999996</v>
      </c>
      <c r="R1213">
        <v>3.65</v>
      </c>
      <c r="S1213">
        <v>643801</v>
      </c>
      <c r="T1213">
        <v>46.227637999999999</v>
      </c>
      <c r="U1213">
        <v>2.213749</v>
      </c>
    </row>
    <row r="1214" spans="1:21">
      <c r="A1214" t="s">
        <v>78</v>
      </c>
      <c r="B1214">
        <v>2015</v>
      </c>
      <c r="C1214">
        <v>43929.527000000002</v>
      </c>
      <c r="D1214">
        <v>311299.9878</v>
      </c>
      <c r="E1214">
        <v>44.65</v>
      </c>
      <c r="F1214">
        <v>437.43</v>
      </c>
      <c r="G1214">
        <v>91.84</v>
      </c>
      <c r="H1214">
        <v>92.220169999999996</v>
      </c>
      <c r="J1214">
        <v>13.34</v>
      </c>
      <c r="K1214">
        <v>119</v>
      </c>
      <c r="L1214">
        <v>100</v>
      </c>
      <c r="M1214">
        <v>100</v>
      </c>
      <c r="N1214">
        <v>10.147399</v>
      </c>
      <c r="P1214">
        <v>1.1129123409999999</v>
      </c>
      <c r="Q1214">
        <v>36638.184930000003</v>
      </c>
      <c r="R1214">
        <v>3.66</v>
      </c>
      <c r="S1214">
        <v>643801</v>
      </c>
      <c r="T1214">
        <v>46.227637999999999</v>
      </c>
      <c r="U1214">
        <v>2.213749</v>
      </c>
    </row>
    <row r="1215" spans="1:21">
      <c r="A1215" t="s">
        <v>78</v>
      </c>
      <c r="B1215">
        <v>2016</v>
      </c>
      <c r="C1215">
        <v>43053.95</v>
      </c>
      <c r="D1215">
        <v>313920.0134</v>
      </c>
      <c r="E1215">
        <v>56.45</v>
      </c>
      <c r="F1215">
        <v>403.2</v>
      </c>
      <c r="G1215">
        <v>99</v>
      </c>
      <c r="H1215">
        <v>89.89528</v>
      </c>
      <c r="J1215">
        <v>14.24</v>
      </c>
      <c r="K1215">
        <v>119</v>
      </c>
      <c r="L1215">
        <v>100</v>
      </c>
      <c r="M1215">
        <v>100</v>
      </c>
      <c r="N1215">
        <v>10.975246</v>
      </c>
      <c r="P1215">
        <v>1.0954644039999999</v>
      </c>
      <c r="Q1215">
        <v>37037.374190000002</v>
      </c>
      <c r="R1215">
        <v>3.56</v>
      </c>
      <c r="S1215">
        <v>643801</v>
      </c>
      <c r="T1215">
        <v>46.227637999999999</v>
      </c>
      <c r="U1215">
        <v>2.213749</v>
      </c>
    </row>
    <row r="1216" spans="1:21">
      <c r="A1216" t="s">
        <v>78</v>
      </c>
      <c r="B1216">
        <v>2017</v>
      </c>
      <c r="C1216">
        <v>42633.387000000002</v>
      </c>
      <c r="D1216">
        <v>317829.9866</v>
      </c>
      <c r="E1216">
        <v>65.09</v>
      </c>
      <c r="F1216">
        <v>398.36</v>
      </c>
      <c r="G1216">
        <v>92.63</v>
      </c>
      <c r="H1216">
        <v>88.294846000000007</v>
      </c>
      <c r="J1216">
        <v>14.12</v>
      </c>
      <c r="K1216">
        <v>119</v>
      </c>
      <c r="L1216">
        <v>100</v>
      </c>
      <c r="M1216">
        <v>100</v>
      </c>
      <c r="N1216">
        <v>10.437264000000001</v>
      </c>
      <c r="P1216">
        <v>2.291419994</v>
      </c>
      <c r="Q1216">
        <v>38685.25849</v>
      </c>
      <c r="R1216">
        <v>3.47</v>
      </c>
      <c r="S1216">
        <v>643801</v>
      </c>
      <c r="T1216">
        <v>46.227637999999999</v>
      </c>
      <c r="U1216">
        <v>2.213749</v>
      </c>
    </row>
    <row r="1217" spans="1:21">
      <c r="A1217" t="s">
        <v>78</v>
      </c>
      <c r="B1217">
        <v>2018</v>
      </c>
      <c r="C1217">
        <v>43334.203000000001</v>
      </c>
      <c r="D1217">
        <v>307049.9878</v>
      </c>
      <c r="E1217">
        <v>49.27</v>
      </c>
      <c r="F1217">
        <v>412.94</v>
      </c>
      <c r="G1217">
        <v>113.62</v>
      </c>
      <c r="H1217">
        <v>91.443650000000005</v>
      </c>
      <c r="J1217">
        <v>15.21</v>
      </c>
      <c r="K1217">
        <v>119</v>
      </c>
      <c r="L1217">
        <v>100</v>
      </c>
      <c r="M1217">
        <v>100</v>
      </c>
      <c r="N1217">
        <v>12.132495</v>
      </c>
      <c r="P1217">
        <v>1.865066071</v>
      </c>
      <c r="Q1217">
        <v>41572.485009999997</v>
      </c>
      <c r="R1217">
        <v>3.4</v>
      </c>
      <c r="S1217">
        <v>643801</v>
      </c>
      <c r="T1217">
        <v>46.227637999999999</v>
      </c>
      <c r="U1217">
        <v>2.213749</v>
      </c>
    </row>
    <row r="1218" spans="1:21">
      <c r="A1218" t="s">
        <v>78</v>
      </c>
      <c r="B1218">
        <v>2019</v>
      </c>
      <c r="C1218">
        <v>42326.785000000003</v>
      </c>
      <c r="D1218">
        <v>300519.989</v>
      </c>
      <c r="E1218">
        <v>53.5</v>
      </c>
      <c r="F1218">
        <v>399.01</v>
      </c>
      <c r="G1218">
        <v>113.21</v>
      </c>
      <c r="H1218">
        <v>90.543019999999999</v>
      </c>
      <c r="J1218">
        <v>15.53</v>
      </c>
      <c r="K1218">
        <v>119</v>
      </c>
      <c r="L1218">
        <v>100</v>
      </c>
      <c r="M1218">
        <v>100</v>
      </c>
      <c r="N1218">
        <v>12.384905</v>
      </c>
      <c r="P1218">
        <v>1.842971814</v>
      </c>
      <c r="Q1218">
        <v>40578.644289999997</v>
      </c>
      <c r="R1218">
        <v>3.29</v>
      </c>
      <c r="S1218">
        <v>643801</v>
      </c>
      <c r="T1218">
        <v>46.227637999999999</v>
      </c>
      <c r="U1218">
        <v>2.213749</v>
      </c>
    </row>
    <row r="1219" spans="1:21">
      <c r="A1219" t="s">
        <v>78</v>
      </c>
      <c r="B1219">
        <v>2020</v>
      </c>
      <c r="C1219">
        <v>38063.406000000003</v>
      </c>
      <c r="E1219">
        <v>48.14</v>
      </c>
      <c r="F1219">
        <v>353.83</v>
      </c>
      <c r="G1219">
        <v>125.28</v>
      </c>
      <c r="H1219">
        <v>90.869606000000005</v>
      </c>
      <c r="K1219">
        <v>119</v>
      </c>
      <c r="L1219">
        <v>100</v>
      </c>
      <c r="M1219">
        <v>100</v>
      </c>
      <c r="N1219">
        <v>14.788747000000001</v>
      </c>
      <c r="P1219">
        <v>-7.8552560370000002</v>
      </c>
      <c r="Q1219">
        <v>39030.360370000002</v>
      </c>
      <c r="S1219">
        <v>643801</v>
      </c>
      <c r="T1219">
        <v>46.227637999999999</v>
      </c>
      <c r="U1219">
        <v>2.213749</v>
      </c>
    </row>
    <row r="1220" spans="1:21">
      <c r="A1220" t="s">
        <v>79</v>
      </c>
      <c r="B1220">
        <v>2000</v>
      </c>
      <c r="C1220">
        <v>13692.394</v>
      </c>
      <c r="E1220">
        <v>0.43</v>
      </c>
      <c r="F1220">
        <v>0</v>
      </c>
      <c r="G1220">
        <v>0</v>
      </c>
      <c r="H1220">
        <v>0</v>
      </c>
      <c r="I1220">
        <v>702.29</v>
      </c>
      <c r="J1220">
        <v>23.84</v>
      </c>
    </row>
    <row r="1221" spans="1:21">
      <c r="A1221" t="s">
        <v>80</v>
      </c>
      <c r="B1221">
        <v>2000</v>
      </c>
      <c r="C1221">
        <v>9016.4529999999995</v>
      </c>
      <c r="D1221">
        <v>6080</v>
      </c>
      <c r="E1221">
        <v>0.48</v>
      </c>
      <c r="F1221">
        <v>0</v>
      </c>
      <c r="G1221">
        <v>0.8</v>
      </c>
      <c r="H1221">
        <v>62.5</v>
      </c>
      <c r="I1221">
        <v>138.56</v>
      </c>
      <c r="J1221">
        <v>72.78</v>
      </c>
      <c r="K1221">
        <v>9</v>
      </c>
      <c r="L1221">
        <v>73.599999999999994</v>
      </c>
      <c r="M1221">
        <v>64.599999999999994</v>
      </c>
      <c r="P1221">
        <v>-1.882966398</v>
      </c>
      <c r="Q1221">
        <v>4135.9923799999997</v>
      </c>
      <c r="R1221">
        <v>3.03</v>
      </c>
      <c r="S1221">
        <v>267667</v>
      </c>
      <c r="T1221">
        <v>-0.80368899999999999</v>
      </c>
      <c r="U1221">
        <v>11.609444</v>
      </c>
    </row>
    <row r="1222" spans="1:21">
      <c r="A1222" t="s">
        <v>80</v>
      </c>
      <c r="B1222">
        <v>2001</v>
      </c>
      <c r="C1222">
        <v>9478.8559999999998</v>
      </c>
      <c r="D1222">
        <v>6230</v>
      </c>
      <c r="E1222">
        <v>0.48</v>
      </c>
      <c r="F1222">
        <v>0</v>
      </c>
      <c r="G1222">
        <v>0.87</v>
      </c>
      <c r="H1222">
        <v>64.44444</v>
      </c>
      <c r="I1222">
        <v>135.29</v>
      </c>
      <c r="J1222">
        <v>72.42</v>
      </c>
      <c r="K1222">
        <v>9</v>
      </c>
      <c r="L1222">
        <v>77.140799999999999</v>
      </c>
      <c r="M1222">
        <v>66.5</v>
      </c>
      <c r="P1222">
        <v>2.1352334220000002</v>
      </c>
      <c r="Q1222">
        <v>3993.031336</v>
      </c>
      <c r="R1222">
        <v>3.18</v>
      </c>
      <c r="S1222">
        <v>267667</v>
      </c>
      <c r="T1222">
        <v>-0.80368899999999999</v>
      </c>
      <c r="U1222">
        <v>11.609444</v>
      </c>
    </row>
    <row r="1223" spans="1:21">
      <c r="A1223" t="s">
        <v>80</v>
      </c>
      <c r="B1223">
        <v>2002</v>
      </c>
      <c r="C1223">
        <v>9233.1929999999993</v>
      </c>
      <c r="D1223">
        <v>5960.0000380000001</v>
      </c>
      <c r="E1223">
        <v>0.51</v>
      </c>
      <c r="F1223">
        <v>0</v>
      </c>
      <c r="G1223">
        <v>0.91</v>
      </c>
      <c r="H1223">
        <v>64.084509999999995</v>
      </c>
      <c r="I1223">
        <v>132.19</v>
      </c>
      <c r="J1223">
        <v>79.819999999999993</v>
      </c>
      <c r="K1223">
        <v>9</v>
      </c>
      <c r="L1223">
        <v>77.842439999999996</v>
      </c>
      <c r="M1223">
        <v>68</v>
      </c>
      <c r="P1223">
        <v>-0.249033169</v>
      </c>
      <c r="Q1223">
        <v>4141.4343660000004</v>
      </c>
      <c r="R1223">
        <v>3.85</v>
      </c>
      <c r="S1223">
        <v>267667</v>
      </c>
      <c r="T1223">
        <v>-0.80368899999999999</v>
      </c>
      <c r="U1223">
        <v>11.609444</v>
      </c>
    </row>
    <row r="1224" spans="1:21">
      <c r="A1224" t="s">
        <v>80</v>
      </c>
      <c r="B1224">
        <v>2003</v>
      </c>
      <c r="C1224">
        <v>8742.1875</v>
      </c>
      <c r="D1224">
        <v>6440.0000570000002</v>
      </c>
      <c r="E1224">
        <v>0.56999999999999995</v>
      </c>
      <c r="F1224">
        <v>0</v>
      </c>
      <c r="G1224">
        <v>0.89</v>
      </c>
      <c r="H1224">
        <v>60.958903999999997</v>
      </c>
      <c r="I1224">
        <v>129.02000000000001</v>
      </c>
      <c r="J1224">
        <v>83.63</v>
      </c>
      <c r="K1224">
        <v>9</v>
      </c>
      <c r="L1224">
        <v>78.538839999999993</v>
      </c>
      <c r="M1224">
        <v>69.599999999999994</v>
      </c>
      <c r="P1224">
        <v>2.2473300119999999</v>
      </c>
      <c r="Q1224">
        <v>4933.4621699999998</v>
      </c>
      <c r="R1224">
        <v>4.43</v>
      </c>
      <c r="S1224">
        <v>267667</v>
      </c>
      <c r="T1224">
        <v>-0.80368899999999999</v>
      </c>
      <c r="U1224">
        <v>11.609444</v>
      </c>
    </row>
    <row r="1225" spans="1:21">
      <c r="A1225" t="s">
        <v>80</v>
      </c>
      <c r="B1225">
        <v>2004</v>
      </c>
      <c r="C1225">
        <v>8665.52</v>
      </c>
      <c r="D1225">
        <v>6090.000153</v>
      </c>
      <c r="E1225">
        <v>0.6</v>
      </c>
      <c r="F1225">
        <v>0</v>
      </c>
      <c r="G1225">
        <v>0.88</v>
      </c>
      <c r="H1225">
        <v>59.459457</v>
      </c>
      <c r="I1225">
        <v>125.79</v>
      </c>
      <c r="J1225">
        <v>85.78</v>
      </c>
      <c r="K1225">
        <v>9</v>
      </c>
      <c r="L1225">
        <v>79.232349999999997</v>
      </c>
      <c r="M1225">
        <v>71.099999999999994</v>
      </c>
      <c r="P1225">
        <v>0.68954305800000004</v>
      </c>
      <c r="Q1225">
        <v>5739.6132040000002</v>
      </c>
      <c r="R1225">
        <v>5.0999999999999996</v>
      </c>
      <c r="S1225">
        <v>267667</v>
      </c>
      <c r="T1225">
        <v>-0.80368899999999999</v>
      </c>
      <c r="U1225">
        <v>11.609444</v>
      </c>
    </row>
    <row r="1226" spans="1:21">
      <c r="A1226" t="s">
        <v>80</v>
      </c>
      <c r="B1226">
        <v>2005</v>
      </c>
      <c r="C1226">
        <v>9015.1409999999996</v>
      </c>
      <c r="D1226">
        <v>6059.9999429999998</v>
      </c>
      <c r="E1226">
        <v>0.71</v>
      </c>
      <c r="F1226">
        <v>0</v>
      </c>
      <c r="G1226">
        <v>0.8</v>
      </c>
      <c r="H1226">
        <v>52.980133000000002</v>
      </c>
      <c r="I1226">
        <v>122.47</v>
      </c>
      <c r="J1226">
        <v>85.25</v>
      </c>
      <c r="K1226">
        <v>9</v>
      </c>
      <c r="L1226">
        <v>81.599999999999994</v>
      </c>
      <c r="M1226">
        <v>72.7</v>
      </c>
      <c r="P1226">
        <v>2.6762033330000001</v>
      </c>
      <c r="Q1226">
        <v>6891.3619200000003</v>
      </c>
      <c r="R1226">
        <v>5.8</v>
      </c>
      <c r="S1226">
        <v>267667</v>
      </c>
      <c r="T1226">
        <v>-0.80368899999999999</v>
      </c>
      <c r="U1226">
        <v>11.609444</v>
      </c>
    </row>
    <row r="1227" spans="1:21">
      <c r="A1227" t="s">
        <v>80</v>
      </c>
      <c r="B1227">
        <v>2006</v>
      </c>
      <c r="C1227">
        <v>8974.7160000000003</v>
      </c>
      <c r="D1227">
        <v>5440.0000570000002</v>
      </c>
      <c r="E1227">
        <v>0.67</v>
      </c>
      <c r="F1227">
        <v>0</v>
      </c>
      <c r="G1227">
        <v>0.94</v>
      </c>
      <c r="H1227">
        <v>58.385094000000002</v>
      </c>
      <c r="I1227">
        <v>119.15</v>
      </c>
      <c r="J1227">
        <v>86.16</v>
      </c>
      <c r="K1227">
        <v>9</v>
      </c>
      <c r="L1227">
        <v>80.620180000000005</v>
      </c>
      <c r="M1227">
        <v>74.45</v>
      </c>
      <c r="P1227">
        <v>-2.8065783560000002</v>
      </c>
      <c r="Q1227">
        <v>7221.3698770000001</v>
      </c>
      <c r="R1227">
        <v>6.71</v>
      </c>
      <c r="S1227">
        <v>267667</v>
      </c>
      <c r="T1227">
        <v>-0.80368899999999999</v>
      </c>
      <c r="U1227">
        <v>11.609444</v>
      </c>
    </row>
    <row r="1228" spans="1:21">
      <c r="A1228" t="s">
        <v>80</v>
      </c>
      <c r="B1228">
        <v>2007</v>
      </c>
      <c r="C1228">
        <v>8646.7340000000004</v>
      </c>
      <c r="D1228">
        <v>4940.0000570000002</v>
      </c>
      <c r="E1228">
        <v>0.89</v>
      </c>
      <c r="F1228">
        <v>0</v>
      </c>
      <c r="G1228">
        <v>0.79</v>
      </c>
      <c r="H1228">
        <v>47.023809999999997</v>
      </c>
      <c r="I1228">
        <v>115.72</v>
      </c>
      <c r="J1228">
        <v>87.35</v>
      </c>
      <c r="K1228">
        <v>9</v>
      </c>
      <c r="L1228">
        <v>81.319550000000007</v>
      </c>
      <c r="M1228">
        <v>75.900000000000006</v>
      </c>
      <c r="P1228">
        <v>6.0081080250000003</v>
      </c>
      <c r="Q1228">
        <v>8458.3091789999999</v>
      </c>
      <c r="R1228">
        <v>6.98</v>
      </c>
      <c r="S1228">
        <v>267667</v>
      </c>
      <c r="T1228">
        <v>-0.80368899999999999</v>
      </c>
      <c r="U1228">
        <v>11.609444</v>
      </c>
    </row>
    <row r="1229" spans="1:21">
      <c r="A1229" t="s">
        <v>80</v>
      </c>
      <c r="B1229">
        <v>2008</v>
      </c>
      <c r="C1229">
        <v>8547.8410000000003</v>
      </c>
      <c r="D1229">
        <v>5269.9999809999999</v>
      </c>
      <c r="E1229">
        <v>0.89</v>
      </c>
      <c r="F1229">
        <v>0</v>
      </c>
      <c r="G1229">
        <v>0.88</v>
      </c>
      <c r="H1229">
        <v>49.717514000000001</v>
      </c>
      <c r="I1229">
        <v>112.35</v>
      </c>
      <c r="J1229">
        <v>87.32</v>
      </c>
      <c r="K1229">
        <v>9</v>
      </c>
      <c r="L1229">
        <v>82.026150000000001</v>
      </c>
      <c r="M1229">
        <v>77.7</v>
      </c>
      <c r="O1229">
        <v>407070000</v>
      </c>
      <c r="P1229">
        <v>-3.3084306489999999</v>
      </c>
      <c r="Q1229">
        <v>10254.17196</v>
      </c>
      <c r="R1229">
        <v>7.94</v>
      </c>
      <c r="S1229">
        <v>267667</v>
      </c>
      <c r="T1229">
        <v>-0.80368899999999999</v>
      </c>
      <c r="U1229">
        <v>11.609444</v>
      </c>
    </row>
    <row r="1230" spans="1:21">
      <c r="A1230" t="s">
        <v>80</v>
      </c>
      <c r="B1230">
        <v>2009</v>
      </c>
      <c r="C1230">
        <v>8182.4560000000001</v>
      </c>
      <c r="D1230">
        <v>5199.9998089999999</v>
      </c>
      <c r="E1230">
        <v>0.87</v>
      </c>
      <c r="F1230">
        <v>0</v>
      </c>
      <c r="G1230">
        <v>0.94</v>
      </c>
      <c r="H1230">
        <v>51.933703999999999</v>
      </c>
      <c r="I1230">
        <v>109.37</v>
      </c>
      <c r="J1230">
        <v>88</v>
      </c>
      <c r="K1230">
        <v>9</v>
      </c>
      <c r="L1230">
        <v>82.742699999999999</v>
      </c>
      <c r="M1230">
        <v>79</v>
      </c>
      <c r="P1230">
        <v>0.13033111999999999</v>
      </c>
      <c r="Q1230">
        <v>7721.0189529999998</v>
      </c>
      <c r="R1230">
        <v>8.68</v>
      </c>
      <c r="S1230">
        <v>267667</v>
      </c>
      <c r="T1230">
        <v>-0.80368899999999999</v>
      </c>
      <c r="U1230">
        <v>11.609444</v>
      </c>
    </row>
    <row r="1231" spans="1:21">
      <c r="A1231" t="s">
        <v>80</v>
      </c>
      <c r="B1231">
        <v>2010</v>
      </c>
      <c r="C1231">
        <v>9214.65</v>
      </c>
      <c r="D1231">
        <v>5760.0002290000002</v>
      </c>
      <c r="E1231">
        <v>0.97</v>
      </c>
      <c r="F1231">
        <v>0</v>
      </c>
      <c r="G1231">
        <v>0.9</v>
      </c>
      <c r="H1231">
        <v>48.128340000000001</v>
      </c>
      <c r="I1231">
        <v>105.66</v>
      </c>
      <c r="J1231">
        <v>85.86</v>
      </c>
      <c r="K1231">
        <v>9</v>
      </c>
      <c r="L1231">
        <v>89.46172</v>
      </c>
      <c r="M1231">
        <v>80.400000000000006</v>
      </c>
      <c r="O1231">
        <v>6240000</v>
      </c>
      <c r="P1231">
        <v>7.0898873150000004</v>
      </c>
      <c r="Q1231">
        <v>8849.3226080000004</v>
      </c>
      <c r="R1231">
        <v>9.09</v>
      </c>
      <c r="S1231">
        <v>267667</v>
      </c>
      <c r="T1231">
        <v>-0.80368899999999999</v>
      </c>
      <c r="U1231">
        <v>11.609444</v>
      </c>
    </row>
    <row r="1232" spans="1:21">
      <c r="A1232" t="s">
        <v>80</v>
      </c>
      <c r="B1232">
        <v>2011</v>
      </c>
      <c r="C1232">
        <v>9102.2980000000007</v>
      </c>
      <c r="D1232">
        <v>5780.0002100000002</v>
      </c>
      <c r="E1232">
        <v>1.1299999999999999</v>
      </c>
      <c r="F1232">
        <v>0</v>
      </c>
      <c r="G1232">
        <v>0.83</v>
      </c>
      <c r="H1232">
        <v>42.346939999999996</v>
      </c>
      <c r="I1232">
        <v>101.86</v>
      </c>
      <c r="J1232">
        <v>79.709999999999994</v>
      </c>
      <c r="K1232">
        <v>9</v>
      </c>
      <c r="L1232">
        <v>88.859566000000001</v>
      </c>
      <c r="M1232">
        <v>81.599999999999994</v>
      </c>
      <c r="P1232">
        <v>7.0917533429999997</v>
      </c>
      <c r="Q1232">
        <v>10809.684950000001</v>
      </c>
      <c r="R1232">
        <v>6.83</v>
      </c>
      <c r="S1232">
        <v>267667</v>
      </c>
      <c r="T1232">
        <v>-0.80368899999999999</v>
      </c>
      <c r="U1232">
        <v>11.609444</v>
      </c>
    </row>
    <row r="1233" spans="1:21">
      <c r="A1233" t="s">
        <v>80</v>
      </c>
      <c r="B1233">
        <v>2012</v>
      </c>
      <c r="C1233">
        <v>11006.093999999999</v>
      </c>
      <c r="D1233">
        <v>5599.9999049999997</v>
      </c>
      <c r="E1233">
        <v>1.18</v>
      </c>
      <c r="F1233">
        <v>0</v>
      </c>
      <c r="G1233">
        <v>0.9</v>
      </c>
      <c r="H1233">
        <v>43.269233999999997</v>
      </c>
      <c r="I1233">
        <v>98.07</v>
      </c>
      <c r="J1233">
        <v>75.489999999999995</v>
      </c>
      <c r="K1233">
        <v>9</v>
      </c>
      <c r="L1233">
        <v>89.3</v>
      </c>
      <c r="M1233">
        <v>82.65</v>
      </c>
      <c r="P1233">
        <v>5.2510769179999999</v>
      </c>
      <c r="Q1233">
        <v>9813.5057469999992</v>
      </c>
      <c r="R1233">
        <v>5.73</v>
      </c>
      <c r="S1233">
        <v>267667</v>
      </c>
      <c r="T1233">
        <v>-0.80368899999999999</v>
      </c>
      <c r="U1233">
        <v>11.609444</v>
      </c>
    </row>
    <row r="1234" spans="1:21">
      <c r="A1234" t="s">
        <v>80</v>
      </c>
      <c r="B1234">
        <v>2013</v>
      </c>
      <c r="C1234">
        <v>10740.267</v>
      </c>
      <c r="D1234">
        <v>5789.9999619999999</v>
      </c>
      <c r="E1234">
        <v>1.0900000000000001</v>
      </c>
      <c r="F1234">
        <v>0</v>
      </c>
      <c r="G1234">
        <v>0.93</v>
      </c>
      <c r="H1234">
        <v>46.039603999999997</v>
      </c>
      <c r="I1234">
        <v>182.49</v>
      </c>
      <c r="J1234">
        <v>82.19</v>
      </c>
      <c r="K1234">
        <v>9</v>
      </c>
      <c r="L1234">
        <v>86.4</v>
      </c>
      <c r="M1234">
        <v>83.6</v>
      </c>
      <c r="O1234">
        <v>20000</v>
      </c>
      <c r="P1234">
        <v>5.6386990030000002</v>
      </c>
      <c r="Q1234">
        <v>9683.5816200000008</v>
      </c>
      <c r="R1234">
        <v>7.97</v>
      </c>
      <c r="S1234">
        <v>267667</v>
      </c>
      <c r="T1234">
        <v>-0.80368899999999999</v>
      </c>
      <c r="U1234">
        <v>11.609444</v>
      </c>
    </row>
    <row r="1235" spans="1:21">
      <c r="A1235" t="s">
        <v>80</v>
      </c>
      <c r="B1235">
        <v>2014</v>
      </c>
      <c r="C1235">
        <v>10845.483</v>
      </c>
      <c r="D1235">
        <v>5960.0000380000001</v>
      </c>
      <c r="E1235">
        <v>1.1299999999999999</v>
      </c>
      <c r="F1235">
        <v>0</v>
      </c>
      <c r="G1235">
        <v>0.79</v>
      </c>
      <c r="H1235">
        <v>41.145836000000003</v>
      </c>
      <c r="I1235">
        <v>176.03</v>
      </c>
      <c r="J1235">
        <v>81.3</v>
      </c>
      <c r="K1235">
        <v>9</v>
      </c>
      <c r="L1235">
        <v>86.964309999999998</v>
      </c>
      <c r="M1235">
        <v>84.65</v>
      </c>
      <c r="O1235">
        <v>10000</v>
      </c>
      <c r="P1235">
        <v>4.3149644409999999</v>
      </c>
      <c r="Q1235">
        <v>9663.4241099999999</v>
      </c>
      <c r="R1235">
        <v>7.42</v>
      </c>
      <c r="S1235">
        <v>267667</v>
      </c>
      <c r="T1235">
        <v>-0.80368899999999999</v>
      </c>
      <c r="U1235">
        <v>11.609444</v>
      </c>
    </row>
    <row r="1236" spans="1:21">
      <c r="A1236" t="s">
        <v>80</v>
      </c>
      <c r="B1236">
        <v>2015</v>
      </c>
      <c r="C1236">
        <v>10108.493</v>
      </c>
      <c r="D1236">
        <v>6119.9998859999996</v>
      </c>
      <c r="E1236">
        <v>1.1200000000000001</v>
      </c>
      <c r="F1236">
        <v>0</v>
      </c>
      <c r="G1236">
        <v>0.93</v>
      </c>
      <c r="H1236">
        <v>45.365856000000001</v>
      </c>
      <c r="I1236">
        <v>170.87</v>
      </c>
      <c r="J1236">
        <v>81.95</v>
      </c>
      <c r="K1236">
        <v>9</v>
      </c>
      <c r="L1236">
        <v>87.376859999999994</v>
      </c>
      <c r="M1236">
        <v>85.6</v>
      </c>
      <c r="O1236">
        <v>13090000</v>
      </c>
      <c r="P1236">
        <v>3.8788993949999999</v>
      </c>
      <c r="Q1236">
        <v>7384.7007039999999</v>
      </c>
      <c r="R1236">
        <v>7.22</v>
      </c>
      <c r="S1236">
        <v>267667</v>
      </c>
      <c r="T1236">
        <v>-0.80368899999999999</v>
      </c>
      <c r="U1236">
        <v>11.609444</v>
      </c>
    </row>
    <row r="1237" spans="1:21">
      <c r="A1237" t="s">
        <v>80</v>
      </c>
      <c r="B1237">
        <v>2016</v>
      </c>
      <c r="C1237">
        <v>9740.6990000000005</v>
      </c>
      <c r="D1237">
        <v>6420.0000760000003</v>
      </c>
      <c r="E1237">
        <v>1.28</v>
      </c>
      <c r="F1237">
        <v>0</v>
      </c>
      <c r="G1237">
        <v>0.96</v>
      </c>
      <c r="H1237">
        <v>42.857143000000001</v>
      </c>
      <c r="I1237">
        <v>165.79</v>
      </c>
      <c r="J1237">
        <v>80.77</v>
      </c>
      <c r="K1237">
        <v>9</v>
      </c>
      <c r="L1237">
        <v>88.203829999999996</v>
      </c>
      <c r="M1237">
        <v>86.2</v>
      </c>
      <c r="O1237">
        <v>40720000</v>
      </c>
      <c r="P1237">
        <v>2.0914422080000001</v>
      </c>
      <c r="Q1237">
        <v>6984.4197119999999</v>
      </c>
      <c r="R1237">
        <v>7.11</v>
      </c>
      <c r="S1237">
        <v>267667</v>
      </c>
      <c r="T1237">
        <v>-0.80368899999999999</v>
      </c>
      <c r="U1237">
        <v>11.609444</v>
      </c>
    </row>
    <row r="1238" spans="1:21">
      <c r="A1238" t="s">
        <v>80</v>
      </c>
      <c r="B1238">
        <v>2017</v>
      </c>
      <c r="C1238">
        <v>10052.395500000001</v>
      </c>
      <c r="D1238">
        <v>5329.9999239999997</v>
      </c>
      <c r="E1238">
        <v>1.25</v>
      </c>
      <c r="F1238">
        <v>0</v>
      </c>
      <c r="G1238">
        <v>0.94</v>
      </c>
      <c r="H1238">
        <v>42.922375000000002</v>
      </c>
      <c r="I1238">
        <v>161.22</v>
      </c>
      <c r="J1238">
        <v>90.1</v>
      </c>
      <c r="K1238">
        <v>9</v>
      </c>
      <c r="L1238">
        <v>86.27</v>
      </c>
      <c r="M1238">
        <v>86.8</v>
      </c>
      <c r="O1238">
        <v>120000</v>
      </c>
      <c r="P1238">
        <v>0.47264203100000002</v>
      </c>
      <c r="Q1238">
        <v>7230.4349119999997</v>
      </c>
      <c r="R1238">
        <v>6.75</v>
      </c>
      <c r="S1238">
        <v>267667</v>
      </c>
      <c r="T1238">
        <v>-0.80368899999999999</v>
      </c>
      <c r="U1238">
        <v>11.609444</v>
      </c>
    </row>
    <row r="1239" spans="1:21">
      <c r="A1239" t="s">
        <v>80</v>
      </c>
      <c r="B1239">
        <v>2018</v>
      </c>
      <c r="C1239">
        <v>8795.3240000000005</v>
      </c>
      <c r="D1239">
        <v>5119.9998859999996</v>
      </c>
      <c r="E1239">
        <v>1.26</v>
      </c>
      <c r="F1239">
        <v>0</v>
      </c>
      <c r="G1239">
        <v>0.91</v>
      </c>
      <c r="H1239">
        <v>41.935482</v>
      </c>
      <c r="I1239">
        <v>157.08000000000001</v>
      </c>
      <c r="J1239">
        <v>90.13</v>
      </c>
      <c r="K1239">
        <v>9</v>
      </c>
      <c r="L1239">
        <v>89.881516000000005</v>
      </c>
      <c r="M1239">
        <v>87.4</v>
      </c>
      <c r="O1239">
        <v>20000</v>
      </c>
      <c r="P1239">
        <v>0.83791658099999999</v>
      </c>
      <c r="Q1239">
        <v>7959.007267</v>
      </c>
      <c r="R1239">
        <v>6.64</v>
      </c>
      <c r="S1239">
        <v>267667</v>
      </c>
      <c r="T1239">
        <v>-0.80368899999999999</v>
      </c>
      <c r="U1239">
        <v>11.609444</v>
      </c>
    </row>
    <row r="1240" spans="1:21">
      <c r="A1240" t="s">
        <v>80</v>
      </c>
      <c r="B1240">
        <v>2019</v>
      </c>
      <c r="C1240">
        <v>7427.6616000000004</v>
      </c>
      <c r="D1240">
        <v>5250</v>
      </c>
      <c r="E1240">
        <v>1.25</v>
      </c>
      <c r="F1240">
        <v>0</v>
      </c>
      <c r="G1240">
        <v>1.01</v>
      </c>
      <c r="H1240">
        <v>44.690266000000001</v>
      </c>
      <c r="I1240">
        <v>153.22</v>
      </c>
      <c r="J1240">
        <v>89.88</v>
      </c>
      <c r="K1240">
        <v>9</v>
      </c>
      <c r="L1240">
        <v>90.726294999999993</v>
      </c>
      <c r="M1240">
        <v>87.8</v>
      </c>
      <c r="P1240">
        <v>3.9208087950000001</v>
      </c>
      <c r="Q1240">
        <v>7766.9965540000003</v>
      </c>
      <c r="R1240">
        <v>5.99</v>
      </c>
      <c r="S1240">
        <v>267667</v>
      </c>
      <c r="T1240">
        <v>-0.80368899999999999</v>
      </c>
      <c r="U1240">
        <v>11.609444</v>
      </c>
    </row>
    <row r="1241" spans="1:21">
      <c r="A1241" t="s">
        <v>80</v>
      </c>
      <c r="B1241">
        <v>2020</v>
      </c>
      <c r="C1241">
        <v>8367.0679999999993</v>
      </c>
      <c r="E1241">
        <v>1.19</v>
      </c>
      <c r="F1241">
        <v>0</v>
      </c>
      <c r="G1241">
        <v>1.01</v>
      </c>
      <c r="H1241">
        <v>45.909089999999999</v>
      </c>
      <c r="I1241">
        <v>149.56</v>
      </c>
      <c r="K1241">
        <v>9</v>
      </c>
      <c r="L1241">
        <v>91.571560000000005</v>
      </c>
      <c r="M1241">
        <v>88.1</v>
      </c>
      <c r="P1241">
        <v>-1.83776093</v>
      </c>
      <c r="Q1241">
        <v>6881.7151919999997</v>
      </c>
      <c r="S1241">
        <v>267667</v>
      </c>
      <c r="T1241">
        <v>-0.80368899999999999</v>
      </c>
      <c r="U1241">
        <v>11.609444</v>
      </c>
    </row>
    <row r="1242" spans="1:21">
      <c r="A1242" t="s">
        <v>81</v>
      </c>
      <c r="B1242">
        <v>2000</v>
      </c>
      <c r="C1242">
        <v>880.39733999999999</v>
      </c>
      <c r="E1242">
        <v>0.11</v>
      </c>
      <c r="F1242">
        <v>0</v>
      </c>
      <c r="G1242">
        <v>0</v>
      </c>
      <c r="H1242">
        <v>0</v>
      </c>
      <c r="I1242">
        <v>0</v>
      </c>
      <c r="J1242">
        <v>62.86</v>
      </c>
      <c r="K1242">
        <v>239</v>
      </c>
      <c r="L1242">
        <v>34.299999999999997</v>
      </c>
      <c r="M1242">
        <v>3.7</v>
      </c>
      <c r="R1242">
        <v>3.13</v>
      </c>
      <c r="S1242">
        <v>11300</v>
      </c>
      <c r="T1242">
        <v>13.466666</v>
      </c>
      <c r="U1242">
        <v>-16.566666659999999</v>
      </c>
    </row>
    <row r="1243" spans="1:21">
      <c r="A1243" t="s">
        <v>81</v>
      </c>
      <c r="B1243">
        <v>2001</v>
      </c>
      <c r="C1243">
        <v>931.84937000000002</v>
      </c>
      <c r="E1243">
        <v>0.13</v>
      </c>
      <c r="F1243">
        <v>0</v>
      </c>
      <c r="G1243">
        <v>0</v>
      </c>
      <c r="H1243">
        <v>0</v>
      </c>
      <c r="I1243">
        <v>0.01</v>
      </c>
      <c r="J1243">
        <v>59.61</v>
      </c>
      <c r="K1243">
        <v>239</v>
      </c>
      <c r="L1243">
        <v>29.87002</v>
      </c>
      <c r="M1243">
        <v>3.7</v>
      </c>
      <c r="R1243">
        <v>3.1</v>
      </c>
      <c r="S1243">
        <v>11300</v>
      </c>
      <c r="T1243">
        <v>13.466666</v>
      </c>
      <c r="U1243">
        <v>-16.566666659999999</v>
      </c>
    </row>
    <row r="1244" spans="1:21">
      <c r="A1244" t="s">
        <v>81</v>
      </c>
      <c r="B1244">
        <v>2002</v>
      </c>
      <c r="C1244">
        <v>901.83420000000001</v>
      </c>
      <c r="E1244">
        <v>0.14000000000000001</v>
      </c>
      <c r="F1244">
        <v>0</v>
      </c>
      <c r="G1244">
        <v>0</v>
      </c>
      <c r="H1244">
        <v>0</v>
      </c>
      <c r="I1244">
        <v>0.05</v>
      </c>
      <c r="J1244">
        <v>60.97</v>
      </c>
      <c r="K1244">
        <v>239</v>
      </c>
      <c r="L1244">
        <v>31.517565000000001</v>
      </c>
      <c r="M1244">
        <v>3.8</v>
      </c>
      <c r="O1244">
        <v>10000</v>
      </c>
      <c r="R1244">
        <v>3.23</v>
      </c>
      <c r="S1244">
        <v>11300</v>
      </c>
      <c r="T1244">
        <v>13.466666</v>
      </c>
      <c r="U1244">
        <v>-16.566666659999999</v>
      </c>
    </row>
    <row r="1245" spans="1:21">
      <c r="A1245" t="s">
        <v>81</v>
      </c>
      <c r="B1245">
        <v>2003</v>
      </c>
      <c r="C1245">
        <v>876.48059999999998</v>
      </c>
      <c r="E1245">
        <v>0.16</v>
      </c>
      <c r="F1245">
        <v>0</v>
      </c>
      <c r="G1245">
        <v>0</v>
      </c>
      <c r="H1245">
        <v>0</v>
      </c>
      <c r="I1245">
        <v>0.14000000000000001</v>
      </c>
      <c r="J1245">
        <v>62.41</v>
      </c>
      <c r="K1245">
        <v>239</v>
      </c>
      <c r="L1245">
        <v>27.8</v>
      </c>
      <c r="M1245">
        <v>3.7</v>
      </c>
      <c r="R1245">
        <v>3.05</v>
      </c>
      <c r="S1245">
        <v>11300</v>
      </c>
      <c r="T1245">
        <v>13.466666</v>
      </c>
      <c r="U1245">
        <v>-16.566666659999999</v>
      </c>
    </row>
    <row r="1246" spans="1:21">
      <c r="A1246" t="s">
        <v>81</v>
      </c>
      <c r="B1246">
        <v>2004</v>
      </c>
      <c r="C1246">
        <v>898.55993999999998</v>
      </c>
      <c r="E1246">
        <v>0.17</v>
      </c>
      <c r="F1246">
        <v>0</v>
      </c>
      <c r="G1246">
        <v>0</v>
      </c>
      <c r="H1246">
        <v>0</v>
      </c>
      <c r="I1246">
        <v>0.26</v>
      </c>
      <c r="J1246">
        <v>61.25</v>
      </c>
      <c r="K1246">
        <v>239</v>
      </c>
      <c r="L1246">
        <v>34.799300000000002</v>
      </c>
      <c r="M1246">
        <v>3.6</v>
      </c>
      <c r="R1246">
        <v>2.94</v>
      </c>
      <c r="S1246">
        <v>11300</v>
      </c>
      <c r="T1246">
        <v>13.466666</v>
      </c>
      <c r="U1246">
        <v>-16.566666659999999</v>
      </c>
    </row>
    <row r="1247" spans="1:21">
      <c r="A1247" t="s">
        <v>81</v>
      </c>
      <c r="B1247">
        <v>2005</v>
      </c>
      <c r="C1247">
        <v>881.66327000000001</v>
      </c>
      <c r="E1247">
        <v>0.19</v>
      </c>
      <c r="F1247">
        <v>0</v>
      </c>
      <c r="G1247">
        <v>0</v>
      </c>
      <c r="H1247">
        <v>0</v>
      </c>
      <c r="I1247">
        <v>0.42</v>
      </c>
      <c r="J1247">
        <v>61.71</v>
      </c>
      <c r="K1247">
        <v>239</v>
      </c>
      <c r="L1247">
        <v>30.456268000000001</v>
      </c>
      <c r="M1247">
        <v>3.4</v>
      </c>
      <c r="R1247">
        <v>3.05</v>
      </c>
      <c r="S1247">
        <v>11300</v>
      </c>
      <c r="T1247">
        <v>13.466666</v>
      </c>
      <c r="U1247">
        <v>-16.566666659999999</v>
      </c>
    </row>
    <row r="1248" spans="1:21">
      <c r="A1248" t="s">
        <v>81</v>
      </c>
      <c r="B1248">
        <v>2006</v>
      </c>
      <c r="C1248">
        <v>929.5181</v>
      </c>
      <c r="E1248">
        <v>0.2</v>
      </c>
      <c r="F1248">
        <v>0</v>
      </c>
      <c r="G1248">
        <v>0</v>
      </c>
      <c r="H1248">
        <v>0</v>
      </c>
      <c r="I1248">
        <v>0.46</v>
      </c>
      <c r="J1248">
        <v>60.21</v>
      </c>
      <c r="K1248">
        <v>239</v>
      </c>
      <c r="L1248">
        <v>38.078944999999997</v>
      </c>
      <c r="M1248">
        <v>3.3</v>
      </c>
      <c r="R1248">
        <v>3.2</v>
      </c>
      <c r="S1248">
        <v>11300</v>
      </c>
      <c r="T1248">
        <v>13.466666</v>
      </c>
      <c r="U1248">
        <v>-16.566666659999999</v>
      </c>
    </row>
    <row r="1249" spans="1:21">
      <c r="A1249" t="s">
        <v>81</v>
      </c>
      <c r="B1249">
        <v>2007</v>
      </c>
      <c r="C1249">
        <v>934.91290000000004</v>
      </c>
      <c r="E1249">
        <v>0.22</v>
      </c>
      <c r="F1249">
        <v>0</v>
      </c>
      <c r="G1249">
        <v>0</v>
      </c>
      <c r="H1249">
        <v>0</v>
      </c>
      <c r="I1249">
        <v>0.71</v>
      </c>
      <c r="J1249">
        <v>57.27</v>
      </c>
      <c r="K1249">
        <v>239</v>
      </c>
      <c r="L1249">
        <v>39.724227999999997</v>
      </c>
      <c r="M1249">
        <v>3.1</v>
      </c>
      <c r="R1249">
        <v>3.22</v>
      </c>
      <c r="S1249">
        <v>11300</v>
      </c>
      <c r="T1249">
        <v>13.466666</v>
      </c>
      <c r="U1249">
        <v>-16.566666659999999</v>
      </c>
    </row>
    <row r="1250" spans="1:21">
      <c r="A1250" t="s">
        <v>81</v>
      </c>
      <c r="B1250">
        <v>2008</v>
      </c>
      <c r="C1250">
        <v>941.51689999999996</v>
      </c>
      <c r="E1250">
        <v>0.23</v>
      </c>
      <c r="F1250">
        <v>0</v>
      </c>
      <c r="G1250">
        <v>0</v>
      </c>
      <c r="H1250">
        <v>0</v>
      </c>
      <c r="I1250">
        <v>0.83</v>
      </c>
      <c r="J1250">
        <v>56.28</v>
      </c>
      <c r="K1250">
        <v>239</v>
      </c>
      <c r="L1250">
        <v>41.376739999999998</v>
      </c>
      <c r="M1250">
        <v>3</v>
      </c>
      <c r="R1250">
        <v>3.09</v>
      </c>
      <c r="S1250">
        <v>11300</v>
      </c>
      <c r="T1250">
        <v>13.466666</v>
      </c>
      <c r="U1250">
        <v>-16.566666659999999</v>
      </c>
    </row>
    <row r="1251" spans="1:21">
      <c r="A1251" t="s">
        <v>81</v>
      </c>
      <c r="B1251">
        <v>2009</v>
      </c>
      <c r="C1251">
        <v>980.54083000000003</v>
      </c>
      <c r="E1251">
        <v>0.23</v>
      </c>
      <c r="F1251">
        <v>0</v>
      </c>
      <c r="G1251">
        <v>0</v>
      </c>
      <c r="H1251">
        <v>0</v>
      </c>
      <c r="I1251">
        <v>1.02</v>
      </c>
      <c r="J1251">
        <v>53.91</v>
      </c>
      <c r="K1251">
        <v>239</v>
      </c>
      <c r="L1251">
        <v>43.039192</v>
      </c>
      <c r="M1251">
        <v>2.8</v>
      </c>
      <c r="R1251">
        <v>3.09</v>
      </c>
      <c r="S1251">
        <v>11300</v>
      </c>
      <c r="T1251">
        <v>13.466666</v>
      </c>
      <c r="U1251">
        <v>-16.566666659999999</v>
      </c>
    </row>
    <row r="1252" spans="1:21">
      <c r="A1252" t="s">
        <v>81</v>
      </c>
      <c r="B1252">
        <v>2010</v>
      </c>
      <c r="C1252">
        <v>1036.8581999999999</v>
      </c>
      <c r="E1252">
        <v>0.23</v>
      </c>
      <c r="F1252">
        <v>0</v>
      </c>
      <c r="G1252">
        <v>0</v>
      </c>
      <c r="H1252">
        <v>0</v>
      </c>
      <c r="I1252">
        <v>1.08</v>
      </c>
      <c r="J1252">
        <v>56.6</v>
      </c>
      <c r="K1252">
        <v>239</v>
      </c>
      <c r="L1252">
        <v>46.655276999999998</v>
      </c>
      <c r="M1252">
        <v>2.7</v>
      </c>
      <c r="R1252">
        <v>2.92</v>
      </c>
      <c r="S1252">
        <v>11300</v>
      </c>
      <c r="T1252">
        <v>13.466666</v>
      </c>
      <c r="U1252">
        <v>-16.566666659999999</v>
      </c>
    </row>
    <row r="1253" spans="1:21">
      <c r="A1253" t="s">
        <v>81</v>
      </c>
      <c r="B1253">
        <v>2011</v>
      </c>
      <c r="C1253">
        <v>1056.7408</v>
      </c>
      <c r="E1253">
        <v>0.24</v>
      </c>
      <c r="F1253">
        <v>0</v>
      </c>
      <c r="G1253">
        <v>0</v>
      </c>
      <c r="H1253">
        <v>0</v>
      </c>
      <c r="I1253">
        <v>1.0900000000000001</v>
      </c>
      <c r="J1253">
        <v>56.24</v>
      </c>
      <c r="K1253">
        <v>239</v>
      </c>
      <c r="L1253">
        <v>48.247086000000003</v>
      </c>
      <c r="M1253">
        <v>2.4</v>
      </c>
      <c r="O1253">
        <v>10000</v>
      </c>
      <c r="R1253">
        <v>3.24</v>
      </c>
      <c r="S1253">
        <v>11300</v>
      </c>
      <c r="T1253">
        <v>13.466666</v>
      </c>
      <c r="U1253">
        <v>-16.566666659999999</v>
      </c>
    </row>
    <row r="1254" spans="1:21">
      <c r="A1254" t="s">
        <v>81</v>
      </c>
      <c r="B1254">
        <v>2012</v>
      </c>
      <c r="C1254">
        <v>998.79663000000005</v>
      </c>
      <c r="E1254">
        <v>0.25</v>
      </c>
      <c r="F1254">
        <v>0</v>
      </c>
      <c r="G1254">
        <v>0</v>
      </c>
      <c r="H1254">
        <v>0</v>
      </c>
      <c r="I1254">
        <v>1.6</v>
      </c>
      <c r="J1254">
        <v>56.95</v>
      </c>
      <c r="K1254">
        <v>239</v>
      </c>
      <c r="L1254">
        <v>49.827930000000002</v>
      </c>
      <c r="M1254">
        <v>2.2999999999999998</v>
      </c>
      <c r="R1254">
        <v>3.13</v>
      </c>
      <c r="S1254">
        <v>11300</v>
      </c>
      <c r="T1254">
        <v>13.466666</v>
      </c>
      <c r="U1254">
        <v>-16.566666659999999</v>
      </c>
    </row>
    <row r="1255" spans="1:21">
      <c r="A1255" t="s">
        <v>81</v>
      </c>
      <c r="B1255">
        <v>2013</v>
      </c>
      <c r="C1255">
        <v>964.19213999999999</v>
      </c>
      <c r="E1255">
        <v>0.25</v>
      </c>
      <c r="F1255">
        <v>0</v>
      </c>
      <c r="G1255">
        <v>0</v>
      </c>
      <c r="H1255">
        <v>0</v>
      </c>
      <c r="I1255">
        <v>1.57</v>
      </c>
      <c r="J1255">
        <v>59.33</v>
      </c>
      <c r="K1255">
        <v>239</v>
      </c>
      <c r="L1255">
        <v>51.5</v>
      </c>
      <c r="M1255">
        <v>2.2000000000000002</v>
      </c>
      <c r="R1255">
        <v>3.01</v>
      </c>
      <c r="S1255">
        <v>11300</v>
      </c>
      <c r="T1255">
        <v>13.466666</v>
      </c>
      <c r="U1255">
        <v>-16.566666659999999</v>
      </c>
    </row>
    <row r="1256" spans="1:21">
      <c r="A1256" t="s">
        <v>81</v>
      </c>
      <c r="B1256">
        <v>2014</v>
      </c>
      <c r="C1256">
        <v>1034.7433000000001</v>
      </c>
      <c r="E1256">
        <v>0.26</v>
      </c>
      <c r="F1256">
        <v>0</v>
      </c>
      <c r="G1256">
        <v>0</v>
      </c>
      <c r="H1256">
        <v>0</v>
      </c>
      <c r="I1256">
        <v>1.64</v>
      </c>
      <c r="J1256">
        <v>53.17</v>
      </c>
      <c r="K1256">
        <v>239</v>
      </c>
      <c r="L1256">
        <v>52.933726999999998</v>
      </c>
      <c r="M1256">
        <v>2.1</v>
      </c>
      <c r="R1256">
        <v>3.34</v>
      </c>
      <c r="S1256">
        <v>11300</v>
      </c>
      <c r="T1256">
        <v>13.466666</v>
      </c>
      <c r="U1256">
        <v>-16.566666659999999</v>
      </c>
    </row>
    <row r="1257" spans="1:21">
      <c r="A1257" t="s">
        <v>81</v>
      </c>
      <c r="B1257">
        <v>2015</v>
      </c>
      <c r="C1257">
        <v>1028.8588</v>
      </c>
      <c r="E1257">
        <v>0.28000000000000003</v>
      </c>
      <c r="F1257">
        <v>0</v>
      </c>
      <c r="G1257">
        <v>0</v>
      </c>
      <c r="H1257">
        <v>0</v>
      </c>
      <c r="I1257">
        <v>1.62</v>
      </c>
      <c r="J1257">
        <v>48.95</v>
      </c>
      <c r="K1257">
        <v>239</v>
      </c>
      <c r="L1257">
        <v>54.561990000000002</v>
      </c>
      <c r="M1257">
        <v>2</v>
      </c>
      <c r="R1257">
        <v>3.48</v>
      </c>
      <c r="S1257">
        <v>11300</v>
      </c>
      <c r="T1257">
        <v>13.466666</v>
      </c>
      <c r="U1257">
        <v>-16.566666659999999</v>
      </c>
    </row>
    <row r="1258" spans="1:21">
      <c r="A1258" t="s">
        <v>81</v>
      </c>
      <c r="B1258">
        <v>2016</v>
      </c>
      <c r="C1258">
        <v>1008.46924</v>
      </c>
      <c r="E1258">
        <v>0.28999999999999998</v>
      </c>
      <c r="F1258">
        <v>0</v>
      </c>
      <c r="G1258">
        <v>0</v>
      </c>
      <c r="H1258">
        <v>0</v>
      </c>
      <c r="I1258">
        <v>1.58</v>
      </c>
      <c r="J1258">
        <v>48.62</v>
      </c>
      <c r="K1258">
        <v>239</v>
      </c>
      <c r="L1258">
        <v>56.327407999999998</v>
      </c>
      <c r="M1258">
        <v>1.9</v>
      </c>
      <c r="R1258">
        <v>3.45</v>
      </c>
      <c r="S1258">
        <v>11300</v>
      </c>
      <c r="T1258">
        <v>13.466666</v>
      </c>
      <c r="U1258">
        <v>-16.566666659999999</v>
      </c>
    </row>
    <row r="1259" spans="1:21">
      <c r="A1259" t="s">
        <v>81</v>
      </c>
      <c r="B1259">
        <v>2017</v>
      </c>
      <c r="C1259">
        <v>998.23009999999999</v>
      </c>
      <c r="E1259">
        <v>0.3</v>
      </c>
      <c r="F1259">
        <v>0</v>
      </c>
      <c r="G1259">
        <v>0</v>
      </c>
      <c r="H1259">
        <v>0</v>
      </c>
      <c r="I1259">
        <v>1.53</v>
      </c>
      <c r="J1259">
        <v>48.02</v>
      </c>
      <c r="K1259">
        <v>239</v>
      </c>
      <c r="L1259">
        <v>56.2</v>
      </c>
      <c r="M1259">
        <v>1.9</v>
      </c>
      <c r="O1259">
        <v>25390000</v>
      </c>
      <c r="R1259">
        <v>3.29</v>
      </c>
      <c r="S1259">
        <v>11300</v>
      </c>
      <c r="T1259">
        <v>13.466666</v>
      </c>
      <c r="U1259">
        <v>-16.566666659999999</v>
      </c>
    </row>
    <row r="1260" spans="1:21">
      <c r="A1260" t="s">
        <v>81</v>
      </c>
      <c r="B1260">
        <v>2018</v>
      </c>
      <c r="C1260">
        <v>978.74630000000002</v>
      </c>
      <c r="E1260">
        <v>0.31</v>
      </c>
      <c r="F1260">
        <v>0</v>
      </c>
      <c r="G1260">
        <v>0</v>
      </c>
      <c r="H1260">
        <v>0</v>
      </c>
      <c r="I1260">
        <v>1.49</v>
      </c>
      <c r="J1260">
        <v>49.01</v>
      </c>
      <c r="K1260">
        <v>239</v>
      </c>
      <c r="L1260">
        <v>60.3</v>
      </c>
      <c r="M1260">
        <v>1.8</v>
      </c>
      <c r="O1260">
        <v>64770000</v>
      </c>
      <c r="R1260">
        <v>3.08</v>
      </c>
      <c r="S1260">
        <v>11300</v>
      </c>
      <c r="T1260">
        <v>13.466666</v>
      </c>
      <c r="U1260">
        <v>-16.566666659999999</v>
      </c>
    </row>
    <row r="1261" spans="1:21">
      <c r="A1261" t="s">
        <v>81</v>
      </c>
      <c r="B1261">
        <v>2019</v>
      </c>
      <c r="C1261">
        <v>972.66790000000003</v>
      </c>
      <c r="E1261">
        <v>0.3</v>
      </c>
      <c r="F1261">
        <v>0</v>
      </c>
      <c r="G1261">
        <v>0</v>
      </c>
      <c r="H1261">
        <v>0</v>
      </c>
      <c r="I1261">
        <v>1.45</v>
      </c>
      <c r="J1261">
        <v>49.24</v>
      </c>
      <c r="K1261">
        <v>239</v>
      </c>
      <c r="L1261">
        <v>62.1</v>
      </c>
      <c r="M1261">
        <v>1.8</v>
      </c>
      <c r="O1261">
        <v>11870000</v>
      </c>
      <c r="R1261">
        <v>2.97</v>
      </c>
      <c r="S1261">
        <v>11300</v>
      </c>
      <c r="T1261">
        <v>13.466666</v>
      </c>
      <c r="U1261">
        <v>-16.566666659999999</v>
      </c>
    </row>
    <row r="1262" spans="1:21">
      <c r="A1262" t="s">
        <v>81</v>
      </c>
      <c r="B1262">
        <v>2020</v>
      </c>
      <c r="C1262">
        <v>905.34559999999999</v>
      </c>
      <c r="E1262">
        <v>0.28999999999999998</v>
      </c>
      <c r="F1262">
        <v>0</v>
      </c>
      <c r="G1262">
        <v>0</v>
      </c>
      <c r="H1262">
        <v>0</v>
      </c>
      <c r="I1262">
        <v>1.4</v>
      </c>
      <c r="K1262">
        <v>239</v>
      </c>
      <c r="L1262">
        <v>62.273066999999998</v>
      </c>
      <c r="M1262">
        <v>1.7</v>
      </c>
      <c r="S1262">
        <v>11300</v>
      </c>
      <c r="T1262">
        <v>13.466666</v>
      </c>
      <c r="U1262">
        <v>-16.566666659999999</v>
      </c>
    </row>
    <row r="1263" spans="1:21">
      <c r="A1263" t="s">
        <v>82</v>
      </c>
      <c r="B1263">
        <v>2000</v>
      </c>
      <c r="C1263">
        <v>9423.7039999999997</v>
      </c>
      <c r="D1263">
        <v>4770</v>
      </c>
      <c r="E1263">
        <v>1.47</v>
      </c>
      <c r="F1263">
        <v>0</v>
      </c>
      <c r="G1263">
        <v>5.8</v>
      </c>
      <c r="H1263">
        <v>79.779915000000003</v>
      </c>
      <c r="I1263">
        <v>587.03</v>
      </c>
      <c r="J1263">
        <v>47.25</v>
      </c>
      <c r="K1263">
        <v>57</v>
      </c>
      <c r="L1263">
        <v>99.811809999999994</v>
      </c>
      <c r="M1263">
        <v>48.1</v>
      </c>
      <c r="P1263">
        <v>1.8383410659999999</v>
      </c>
      <c r="Q1263">
        <v>749.90853500000003</v>
      </c>
      <c r="R1263">
        <v>5.99</v>
      </c>
      <c r="S1263">
        <v>69700</v>
      </c>
      <c r="T1263">
        <v>42.315407</v>
      </c>
      <c r="U1263">
        <v>43.356892000000002</v>
      </c>
    </row>
    <row r="1264" spans="1:21">
      <c r="A1264" t="s">
        <v>82</v>
      </c>
      <c r="B1264">
        <v>2001</v>
      </c>
      <c r="C1264">
        <v>8959.5720000000001</v>
      </c>
      <c r="D1264">
        <v>3520</v>
      </c>
      <c r="E1264">
        <v>1.31</v>
      </c>
      <c r="F1264">
        <v>0</v>
      </c>
      <c r="G1264">
        <v>5.49</v>
      </c>
      <c r="H1264">
        <v>80.735290000000006</v>
      </c>
      <c r="I1264">
        <v>595.94000000000005</v>
      </c>
      <c r="J1264">
        <v>53.15</v>
      </c>
      <c r="K1264">
        <v>57</v>
      </c>
      <c r="L1264">
        <v>99.805329999999998</v>
      </c>
      <c r="M1264">
        <v>49.1</v>
      </c>
      <c r="O1264">
        <v>18260000</v>
      </c>
      <c r="P1264">
        <v>4.8054532730000004</v>
      </c>
      <c r="Q1264">
        <v>801.99041390000002</v>
      </c>
      <c r="R1264">
        <v>5.12</v>
      </c>
      <c r="S1264">
        <v>69700</v>
      </c>
      <c r="T1264">
        <v>42.315407</v>
      </c>
      <c r="U1264">
        <v>43.356892000000002</v>
      </c>
    </row>
    <row r="1265" spans="1:21">
      <c r="A1265" t="s">
        <v>82</v>
      </c>
      <c r="B1265">
        <v>2002</v>
      </c>
      <c r="C1265">
        <v>10776.442999999999</v>
      </c>
      <c r="D1265">
        <v>2960.0000380000001</v>
      </c>
      <c r="E1265">
        <v>0.46</v>
      </c>
      <c r="F1265">
        <v>0</v>
      </c>
      <c r="G1265">
        <v>6.7</v>
      </c>
      <c r="H1265">
        <v>93.575423999999998</v>
      </c>
      <c r="I1265">
        <v>601.30999999999995</v>
      </c>
      <c r="J1265">
        <v>56.76</v>
      </c>
      <c r="K1265">
        <v>57</v>
      </c>
      <c r="L1265">
        <v>99.9</v>
      </c>
      <c r="M1265">
        <v>49.6</v>
      </c>
      <c r="P1265">
        <v>5.473836801</v>
      </c>
      <c r="Q1265">
        <v>853.51645370000006</v>
      </c>
      <c r="R1265">
        <v>4.8</v>
      </c>
      <c r="S1265">
        <v>69700</v>
      </c>
      <c r="T1265">
        <v>42.315407</v>
      </c>
      <c r="U1265">
        <v>43.356892000000002</v>
      </c>
    </row>
    <row r="1266" spans="1:21">
      <c r="A1266" t="s">
        <v>82</v>
      </c>
      <c r="B1266">
        <v>2003</v>
      </c>
      <c r="C1266">
        <v>9694.8490000000002</v>
      </c>
      <c r="D1266">
        <v>3160.000086</v>
      </c>
      <c r="E1266">
        <v>0.6</v>
      </c>
      <c r="F1266">
        <v>0</v>
      </c>
      <c r="G1266">
        <v>6.46</v>
      </c>
      <c r="H1266">
        <v>91.501419999999996</v>
      </c>
      <c r="I1266">
        <v>604.1</v>
      </c>
      <c r="J1266">
        <v>55.33</v>
      </c>
      <c r="K1266">
        <v>57</v>
      </c>
      <c r="L1266">
        <v>100</v>
      </c>
      <c r="M1266">
        <v>51.1</v>
      </c>
      <c r="O1266">
        <v>1860000</v>
      </c>
      <c r="P1266">
        <v>11.05872319</v>
      </c>
      <c r="Q1266">
        <v>1010.00798</v>
      </c>
      <c r="R1266">
        <v>4.5999999999999996</v>
      </c>
      <c r="S1266">
        <v>69700</v>
      </c>
      <c r="T1266">
        <v>42.315407</v>
      </c>
      <c r="U1266">
        <v>43.356892000000002</v>
      </c>
    </row>
    <row r="1267" spans="1:21">
      <c r="A1267" t="s">
        <v>82</v>
      </c>
      <c r="B1267">
        <v>2004</v>
      </c>
      <c r="C1267">
        <v>10085.432000000001</v>
      </c>
      <c r="D1267">
        <v>3369.9998860000001</v>
      </c>
      <c r="E1267">
        <v>0.82</v>
      </c>
      <c r="F1267">
        <v>0</v>
      </c>
      <c r="G1267">
        <v>5.99</v>
      </c>
      <c r="H1267">
        <v>87.958884999999995</v>
      </c>
      <c r="I1267">
        <v>605.98</v>
      </c>
      <c r="J1267">
        <v>54.53</v>
      </c>
      <c r="K1267">
        <v>57</v>
      </c>
      <c r="L1267">
        <v>99.93</v>
      </c>
      <c r="M1267">
        <v>52.7</v>
      </c>
      <c r="O1267">
        <v>3440000</v>
      </c>
      <c r="P1267">
        <v>5.7944963459999999</v>
      </c>
      <c r="Q1267">
        <v>1305.0474859999999</v>
      </c>
      <c r="R1267">
        <v>4.47</v>
      </c>
      <c r="S1267">
        <v>69700</v>
      </c>
      <c r="T1267">
        <v>42.315407</v>
      </c>
      <c r="U1267">
        <v>43.356892000000002</v>
      </c>
    </row>
    <row r="1268" spans="1:21">
      <c r="A1268" t="s">
        <v>82</v>
      </c>
      <c r="B1268">
        <v>2005</v>
      </c>
      <c r="C1268">
        <v>11553.322</v>
      </c>
      <c r="D1268">
        <v>4239.9997709999998</v>
      </c>
      <c r="E1268">
        <v>0.97</v>
      </c>
      <c r="F1268">
        <v>0</v>
      </c>
      <c r="G1268">
        <v>6.17</v>
      </c>
      <c r="H1268">
        <v>86.414565999999994</v>
      </c>
      <c r="I1268">
        <v>608.23</v>
      </c>
      <c r="J1268">
        <v>41.48</v>
      </c>
      <c r="K1268">
        <v>57</v>
      </c>
      <c r="L1268">
        <v>97.935050000000004</v>
      </c>
      <c r="M1268">
        <v>54.2</v>
      </c>
      <c r="O1268">
        <v>9570000</v>
      </c>
      <c r="P1268">
        <v>9.5895740620000005</v>
      </c>
      <c r="Q1268">
        <v>1642.7609379999999</v>
      </c>
      <c r="R1268">
        <v>4.17</v>
      </c>
      <c r="S1268">
        <v>69700</v>
      </c>
      <c r="T1268">
        <v>42.315407</v>
      </c>
      <c r="U1268">
        <v>43.356892000000002</v>
      </c>
    </row>
    <row r="1269" spans="1:21">
      <c r="A1269" t="s">
        <v>82</v>
      </c>
      <c r="B1269">
        <v>2006</v>
      </c>
      <c r="C1269">
        <v>10517.187</v>
      </c>
      <c r="D1269">
        <v>4699.9998089999999</v>
      </c>
      <c r="E1269">
        <v>1.85</v>
      </c>
      <c r="F1269">
        <v>0</v>
      </c>
      <c r="G1269">
        <v>5.26</v>
      </c>
      <c r="H1269">
        <v>73.980310000000003</v>
      </c>
      <c r="I1269">
        <v>616.91999999999996</v>
      </c>
      <c r="J1269">
        <v>37.22</v>
      </c>
      <c r="K1269">
        <v>57</v>
      </c>
      <c r="L1269">
        <v>100</v>
      </c>
      <c r="M1269">
        <v>56.35</v>
      </c>
      <c r="O1269">
        <v>2580000</v>
      </c>
      <c r="P1269">
        <v>9.4197706480000001</v>
      </c>
      <c r="Q1269">
        <v>1996.057129</v>
      </c>
      <c r="R1269">
        <v>4.0599999999999996</v>
      </c>
      <c r="S1269">
        <v>69700</v>
      </c>
      <c r="T1269">
        <v>42.315407</v>
      </c>
      <c r="U1269">
        <v>43.356892000000002</v>
      </c>
    </row>
    <row r="1270" spans="1:21">
      <c r="A1270" t="s">
        <v>82</v>
      </c>
      <c r="B1270">
        <v>2007</v>
      </c>
      <c r="C1270">
        <v>13246.12</v>
      </c>
      <c r="D1270">
        <v>5630.0001140000004</v>
      </c>
      <c r="E1270">
        <v>1.42</v>
      </c>
      <c r="F1270">
        <v>0</v>
      </c>
      <c r="G1270">
        <v>6.75</v>
      </c>
      <c r="H1270">
        <v>82.619339999999994</v>
      </c>
      <c r="I1270">
        <v>648.92999999999995</v>
      </c>
      <c r="J1270">
        <v>36.22</v>
      </c>
      <c r="K1270">
        <v>57</v>
      </c>
      <c r="L1270">
        <v>100</v>
      </c>
      <c r="M1270">
        <v>58.3</v>
      </c>
      <c r="P1270">
        <v>12.57895343</v>
      </c>
      <c r="Q1270">
        <v>2635.3538819999999</v>
      </c>
      <c r="R1270">
        <v>3.98</v>
      </c>
      <c r="S1270">
        <v>69700</v>
      </c>
      <c r="T1270">
        <v>42.315407</v>
      </c>
      <c r="U1270">
        <v>43.356892000000002</v>
      </c>
    </row>
    <row r="1271" spans="1:21">
      <c r="A1271" t="s">
        <v>82</v>
      </c>
      <c r="B1271">
        <v>2008</v>
      </c>
      <c r="C1271">
        <v>13342.63</v>
      </c>
      <c r="D1271">
        <v>4840.000153</v>
      </c>
      <c r="E1271">
        <v>1.21</v>
      </c>
      <c r="F1271">
        <v>0</v>
      </c>
      <c r="G1271">
        <v>7.09</v>
      </c>
      <c r="H1271">
        <v>85.421683999999999</v>
      </c>
      <c r="I1271">
        <v>654.96</v>
      </c>
      <c r="J1271">
        <v>36.299999999999997</v>
      </c>
      <c r="K1271">
        <v>57</v>
      </c>
      <c r="L1271">
        <v>100</v>
      </c>
      <c r="M1271">
        <v>60.8</v>
      </c>
      <c r="P1271">
        <v>2.4185716589999999</v>
      </c>
      <c r="Q1271">
        <v>3324.7358789999998</v>
      </c>
      <c r="R1271">
        <v>3.49</v>
      </c>
      <c r="S1271">
        <v>69700</v>
      </c>
      <c r="T1271">
        <v>42.315407</v>
      </c>
      <c r="U1271">
        <v>43.356892000000002</v>
      </c>
    </row>
    <row r="1272" spans="1:21">
      <c r="A1272" t="s">
        <v>82</v>
      </c>
      <c r="B1272">
        <v>2009</v>
      </c>
      <c r="C1272">
        <v>13652.776</v>
      </c>
      <c r="D1272">
        <v>5619.9998859999996</v>
      </c>
      <c r="E1272">
        <v>1.08</v>
      </c>
      <c r="F1272">
        <v>0</v>
      </c>
      <c r="G1272">
        <v>7.34</v>
      </c>
      <c r="H1272">
        <v>87.173389999999998</v>
      </c>
      <c r="I1272">
        <v>659.83</v>
      </c>
      <c r="J1272">
        <v>36.72</v>
      </c>
      <c r="K1272">
        <v>57</v>
      </c>
      <c r="L1272">
        <v>100</v>
      </c>
      <c r="M1272">
        <v>63</v>
      </c>
      <c r="O1272">
        <v>1020000</v>
      </c>
      <c r="P1272">
        <v>-3.6505136309999999</v>
      </c>
      <c r="Q1272">
        <v>2822.66743</v>
      </c>
      <c r="R1272">
        <v>3.74</v>
      </c>
      <c r="S1272">
        <v>69700</v>
      </c>
      <c r="T1272">
        <v>42.315407</v>
      </c>
      <c r="U1272">
        <v>43.356892000000002</v>
      </c>
    </row>
    <row r="1273" spans="1:21">
      <c r="A1273" t="s">
        <v>82</v>
      </c>
      <c r="B1273">
        <v>2010</v>
      </c>
      <c r="C1273">
        <v>14789.647000000001</v>
      </c>
      <c r="D1273">
        <v>5320.000172</v>
      </c>
      <c r="E1273">
        <v>0.71</v>
      </c>
      <c r="F1273">
        <v>0</v>
      </c>
      <c r="G1273">
        <v>9.27</v>
      </c>
      <c r="H1273">
        <v>92.885779999999997</v>
      </c>
      <c r="I1273">
        <v>659.27</v>
      </c>
      <c r="J1273">
        <v>39.15</v>
      </c>
      <c r="K1273">
        <v>57</v>
      </c>
      <c r="L1273">
        <v>100</v>
      </c>
      <c r="M1273">
        <v>65.599999999999994</v>
      </c>
      <c r="O1273">
        <v>8380000</v>
      </c>
      <c r="P1273">
        <v>6.2494877679999998</v>
      </c>
      <c r="Q1273">
        <v>3233.2959430000001</v>
      </c>
      <c r="R1273">
        <v>3.55</v>
      </c>
      <c r="S1273">
        <v>69700</v>
      </c>
      <c r="T1273">
        <v>42.315407</v>
      </c>
      <c r="U1273">
        <v>43.356892000000002</v>
      </c>
    </row>
    <row r="1274" spans="1:21">
      <c r="A1274" t="s">
        <v>82</v>
      </c>
      <c r="B1274">
        <v>2011</v>
      </c>
      <c r="C1274">
        <v>13820.906999999999</v>
      </c>
      <c r="D1274">
        <v>6519.9999809999999</v>
      </c>
      <c r="E1274">
        <v>2.17</v>
      </c>
      <c r="F1274">
        <v>0</v>
      </c>
      <c r="G1274">
        <v>7.81</v>
      </c>
      <c r="H1274">
        <v>78.256516000000005</v>
      </c>
      <c r="I1274">
        <v>662.44</v>
      </c>
      <c r="J1274">
        <v>31.53</v>
      </c>
      <c r="K1274">
        <v>57</v>
      </c>
      <c r="L1274">
        <v>100</v>
      </c>
      <c r="M1274">
        <v>68.7</v>
      </c>
      <c r="O1274">
        <v>139210000</v>
      </c>
      <c r="P1274">
        <v>7.399999867</v>
      </c>
      <c r="Q1274">
        <v>4021.7433059999998</v>
      </c>
      <c r="R1274">
        <v>3.75</v>
      </c>
      <c r="S1274">
        <v>69700</v>
      </c>
      <c r="T1274">
        <v>42.315407</v>
      </c>
      <c r="U1274">
        <v>43.356892000000002</v>
      </c>
    </row>
    <row r="1275" spans="1:21">
      <c r="A1275" t="s">
        <v>82</v>
      </c>
      <c r="B1275">
        <v>2012</v>
      </c>
      <c r="C1275">
        <v>14376.835999999999</v>
      </c>
      <c r="D1275">
        <v>7190.0000570000002</v>
      </c>
      <c r="E1275">
        <v>2.3199999999999998</v>
      </c>
      <c r="F1275">
        <v>0</v>
      </c>
      <c r="G1275">
        <v>7.15</v>
      </c>
      <c r="H1275">
        <v>75.501580000000004</v>
      </c>
      <c r="I1275">
        <v>666.78</v>
      </c>
      <c r="J1275">
        <v>28.69</v>
      </c>
      <c r="K1275">
        <v>57</v>
      </c>
      <c r="L1275">
        <v>100</v>
      </c>
      <c r="M1275">
        <v>71.7</v>
      </c>
      <c r="O1275">
        <v>37150000</v>
      </c>
      <c r="P1275">
        <v>6.3690083059999996</v>
      </c>
      <c r="Q1275">
        <v>4421.8182420000003</v>
      </c>
      <c r="R1275">
        <v>3.68</v>
      </c>
      <c r="S1275">
        <v>69700</v>
      </c>
      <c r="T1275">
        <v>42.315407</v>
      </c>
      <c r="U1275">
        <v>43.356892000000002</v>
      </c>
    </row>
    <row r="1276" spans="1:21">
      <c r="A1276" t="s">
        <v>82</v>
      </c>
      <c r="B1276">
        <v>2013</v>
      </c>
      <c r="C1276">
        <v>16267.887000000001</v>
      </c>
      <c r="D1276">
        <v>7840.000153</v>
      </c>
      <c r="E1276">
        <v>1.68</v>
      </c>
      <c r="F1276">
        <v>0</v>
      </c>
      <c r="G1276">
        <v>8.19</v>
      </c>
      <c r="H1276">
        <v>82.978719999999996</v>
      </c>
      <c r="I1276">
        <v>675.23</v>
      </c>
      <c r="J1276">
        <v>33.159999999999997</v>
      </c>
      <c r="K1276">
        <v>57</v>
      </c>
      <c r="L1276">
        <v>100</v>
      </c>
      <c r="M1276">
        <v>74.099999999999994</v>
      </c>
      <c r="O1276">
        <v>9820000</v>
      </c>
      <c r="P1276">
        <v>3.6213053519999998</v>
      </c>
      <c r="Q1276">
        <v>4623.7457249999998</v>
      </c>
      <c r="R1276">
        <v>3.99</v>
      </c>
      <c r="S1276">
        <v>69700</v>
      </c>
      <c r="T1276">
        <v>42.315407</v>
      </c>
      <c r="U1276">
        <v>43.356892000000002</v>
      </c>
    </row>
    <row r="1277" spans="1:21">
      <c r="A1277" t="s">
        <v>82</v>
      </c>
      <c r="B1277">
        <v>2014</v>
      </c>
      <c r="C1277">
        <v>17044.346000000001</v>
      </c>
      <c r="D1277">
        <v>8470.0002669999994</v>
      </c>
      <c r="E1277">
        <v>1.91</v>
      </c>
      <c r="F1277">
        <v>0</v>
      </c>
      <c r="G1277">
        <v>8.25</v>
      </c>
      <c r="H1277">
        <v>81.200789999999998</v>
      </c>
      <c r="I1277">
        <v>711.64</v>
      </c>
      <c r="J1277">
        <v>31.34</v>
      </c>
      <c r="K1277">
        <v>57</v>
      </c>
      <c r="L1277">
        <v>100</v>
      </c>
      <c r="M1277">
        <v>77</v>
      </c>
      <c r="O1277">
        <v>195990000</v>
      </c>
      <c r="P1277">
        <v>4.4319248230000001</v>
      </c>
      <c r="Q1277">
        <v>4739.1883379999999</v>
      </c>
      <c r="R1277">
        <v>4.08</v>
      </c>
      <c r="S1277">
        <v>69700</v>
      </c>
      <c r="T1277">
        <v>42.315407</v>
      </c>
      <c r="U1277">
        <v>43.356892000000002</v>
      </c>
    </row>
    <row r="1278" spans="1:21">
      <c r="A1278" t="s">
        <v>82</v>
      </c>
      <c r="B1278">
        <v>2015</v>
      </c>
      <c r="C1278">
        <v>18088.293000000001</v>
      </c>
      <c r="D1278">
        <v>9199.9998090000008</v>
      </c>
      <c r="E1278">
        <v>2.2400000000000002</v>
      </c>
      <c r="F1278">
        <v>0</v>
      </c>
      <c r="G1278">
        <v>8.3699999999999992</v>
      </c>
      <c r="H1278">
        <v>78.88785</v>
      </c>
      <c r="I1278">
        <v>714.92</v>
      </c>
      <c r="J1278">
        <v>28.15</v>
      </c>
      <c r="K1278">
        <v>57</v>
      </c>
      <c r="L1278">
        <v>100</v>
      </c>
      <c r="M1278">
        <v>79.3</v>
      </c>
      <c r="O1278">
        <v>6770000</v>
      </c>
      <c r="P1278">
        <v>3.0222073800000002</v>
      </c>
      <c r="Q1278">
        <v>4014.1859439999998</v>
      </c>
      <c r="R1278">
        <v>4.18</v>
      </c>
      <c r="S1278">
        <v>69700</v>
      </c>
      <c r="T1278">
        <v>42.315407</v>
      </c>
      <c r="U1278">
        <v>43.356892000000002</v>
      </c>
    </row>
    <row r="1279" spans="1:21">
      <c r="A1279" t="s">
        <v>82</v>
      </c>
      <c r="B1279">
        <v>2016</v>
      </c>
      <c r="C1279">
        <v>19119.282999999999</v>
      </c>
      <c r="D1279">
        <v>9649.9996190000002</v>
      </c>
      <c r="E1279">
        <v>2.1</v>
      </c>
      <c r="F1279">
        <v>0</v>
      </c>
      <c r="G1279">
        <v>9.25</v>
      </c>
      <c r="H1279">
        <v>81.497794999999996</v>
      </c>
      <c r="I1279">
        <v>731.32</v>
      </c>
      <c r="J1279">
        <v>27.64</v>
      </c>
      <c r="K1279">
        <v>57</v>
      </c>
      <c r="L1279">
        <v>100</v>
      </c>
      <c r="M1279">
        <v>81.650000000000006</v>
      </c>
      <c r="O1279">
        <v>90510000</v>
      </c>
      <c r="P1279">
        <v>2.9064387800000002</v>
      </c>
      <c r="Q1279">
        <v>4062.1698879999999</v>
      </c>
      <c r="R1279">
        <v>4.2</v>
      </c>
      <c r="S1279">
        <v>69700</v>
      </c>
      <c r="T1279">
        <v>42.315407</v>
      </c>
      <c r="U1279">
        <v>43.356892000000002</v>
      </c>
    </row>
    <row r="1280" spans="1:21">
      <c r="A1280" t="s">
        <v>82</v>
      </c>
      <c r="B1280">
        <v>2017</v>
      </c>
      <c r="C1280">
        <v>19005.780999999999</v>
      </c>
      <c r="D1280">
        <v>9729.9995419999996</v>
      </c>
      <c r="E1280">
        <v>2.1</v>
      </c>
      <c r="F1280">
        <v>0</v>
      </c>
      <c r="G1280">
        <v>9.2100000000000009</v>
      </c>
      <c r="H1280">
        <v>81.432360000000003</v>
      </c>
      <c r="I1280">
        <v>792.98</v>
      </c>
      <c r="J1280">
        <v>28.03</v>
      </c>
      <c r="K1280">
        <v>57</v>
      </c>
      <c r="L1280">
        <v>100</v>
      </c>
      <c r="M1280">
        <v>84</v>
      </c>
      <c r="O1280">
        <v>30000000</v>
      </c>
      <c r="P1280">
        <v>4.8426032250000004</v>
      </c>
      <c r="Q1280">
        <v>4357.0009360000004</v>
      </c>
      <c r="R1280">
        <v>4.04</v>
      </c>
      <c r="S1280">
        <v>69700</v>
      </c>
      <c r="T1280">
        <v>42.315407</v>
      </c>
      <c r="U1280">
        <v>43.356892000000002</v>
      </c>
    </row>
    <row r="1281" spans="1:21">
      <c r="A1281" t="s">
        <v>82</v>
      </c>
      <c r="B1281">
        <v>2018</v>
      </c>
      <c r="C1281">
        <v>19383.401999999998</v>
      </c>
      <c r="D1281">
        <v>9569.9996950000004</v>
      </c>
      <c r="E1281">
        <v>1.99</v>
      </c>
      <c r="F1281">
        <v>0</v>
      </c>
      <c r="G1281">
        <v>9.93</v>
      </c>
      <c r="H1281">
        <v>83.305369999999996</v>
      </c>
      <c r="I1281">
        <v>821.49</v>
      </c>
      <c r="J1281">
        <v>27.94</v>
      </c>
      <c r="K1281">
        <v>57</v>
      </c>
      <c r="L1281">
        <v>99.9</v>
      </c>
      <c r="M1281">
        <v>85.8</v>
      </c>
      <c r="O1281">
        <v>46330000</v>
      </c>
      <c r="P1281">
        <v>4.8429198849999997</v>
      </c>
      <c r="Q1281">
        <v>4722.7877829999998</v>
      </c>
      <c r="R1281">
        <v>3.82</v>
      </c>
      <c r="S1281">
        <v>69700</v>
      </c>
      <c r="T1281">
        <v>42.315407</v>
      </c>
      <c r="U1281">
        <v>43.356892000000002</v>
      </c>
    </row>
    <row r="1282" spans="1:21">
      <c r="A1282" t="s">
        <v>82</v>
      </c>
      <c r="B1282">
        <v>2019</v>
      </c>
      <c r="C1282">
        <v>19659.346000000001</v>
      </c>
      <c r="D1282">
        <v>10109.999659999999</v>
      </c>
      <c r="E1282">
        <v>2.67</v>
      </c>
      <c r="F1282">
        <v>0</v>
      </c>
      <c r="G1282">
        <v>8.93</v>
      </c>
      <c r="H1282">
        <v>76.982759999999999</v>
      </c>
      <c r="I1282">
        <v>916.8</v>
      </c>
      <c r="J1282">
        <v>25.22</v>
      </c>
      <c r="K1282">
        <v>57</v>
      </c>
      <c r="L1282">
        <v>100</v>
      </c>
      <c r="M1282">
        <v>87.7</v>
      </c>
      <c r="O1282">
        <v>23940000</v>
      </c>
      <c r="P1282">
        <v>4.9823504749999996</v>
      </c>
      <c r="Q1282">
        <v>4697.9836519999999</v>
      </c>
      <c r="R1282">
        <v>3.83</v>
      </c>
      <c r="S1282">
        <v>69700</v>
      </c>
      <c r="T1282">
        <v>42.315407</v>
      </c>
      <c r="U1282">
        <v>43.356892000000002</v>
      </c>
    </row>
    <row r="1283" spans="1:21">
      <c r="A1283" t="s">
        <v>82</v>
      </c>
      <c r="B1283">
        <v>2020</v>
      </c>
      <c r="C1283">
        <v>18696.849999999999</v>
      </c>
      <c r="E1283">
        <v>2.82</v>
      </c>
      <c r="F1283">
        <v>0</v>
      </c>
      <c r="G1283">
        <v>8.34</v>
      </c>
      <c r="H1283">
        <v>74.731185999999994</v>
      </c>
      <c r="I1283">
        <v>962.41</v>
      </c>
      <c r="K1283">
        <v>57</v>
      </c>
      <c r="L1283">
        <v>100</v>
      </c>
      <c r="M1283">
        <v>89.1</v>
      </c>
      <c r="P1283">
        <v>-6.760439817</v>
      </c>
      <c r="Q1283">
        <v>4266.6907950000004</v>
      </c>
      <c r="S1283">
        <v>69700</v>
      </c>
      <c r="T1283">
        <v>42.315407</v>
      </c>
      <c r="U1283">
        <v>43.356892000000002</v>
      </c>
    </row>
    <row r="1284" spans="1:21">
      <c r="A1284" t="s">
        <v>83</v>
      </c>
      <c r="B1284">
        <v>2000</v>
      </c>
      <c r="C1284">
        <v>48903.7</v>
      </c>
      <c r="D1284">
        <v>830280</v>
      </c>
      <c r="E1284">
        <v>367.22</v>
      </c>
      <c r="F1284">
        <v>169.61</v>
      </c>
      <c r="G1284">
        <v>35.47</v>
      </c>
      <c r="H1284">
        <v>35.834353999999998</v>
      </c>
      <c r="J1284">
        <v>3.7</v>
      </c>
      <c r="K1284">
        <v>240</v>
      </c>
      <c r="L1284">
        <v>100</v>
      </c>
      <c r="M1284">
        <v>100</v>
      </c>
      <c r="N1284">
        <v>2.8871117000000002</v>
      </c>
      <c r="P1284">
        <v>2.9125029640000002</v>
      </c>
      <c r="Q1284">
        <v>23635.929220000002</v>
      </c>
      <c r="R1284">
        <v>4</v>
      </c>
      <c r="S1284">
        <v>357022</v>
      </c>
      <c r="T1284">
        <v>51.165691000000002</v>
      </c>
      <c r="U1284">
        <v>10.451525999999999</v>
      </c>
    </row>
    <row r="1285" spans="1:21">
      <c r="A1285" t="s">
        <v>83</v>
      </c>
      <c r="B1285">
        <v>2001</v>
      </c>
      <c r="C1285">
        <v>49841.387000000002</v>
      </c>
      <c r="D1285">
        <v>847680</v>
      </c>
      <c r="E1285">
        <v>372.69</v>
      </c>
      <c r="F1285">
        <v>171.3</v>
      </c>
      <c r="G1285">
        <v>37.9</v>
      </c>
      <c r="H1285">
        <v>35.951813000000001</v>
      </c>
      <c r="J1285">
        <v>3.9</v>
      </c>
      <c r="K1285">
        <v>240</v>
      </c>
      <c r="L1285">
        <v>100</v>
      </c>
      <c r="M1285">
        <v>100</v>
      </c>
      <c r="N1285">
        <v>2.9411676</v>
      </c>
      <c r="P1285">
        <v>1.681468481</v>
      </c>
      <c r="Q1285">
        <v>23607.882860000002</v>
      </c>
      <c r="R1285">
        <v>4.05</v>
      </c>
      <c r="S1285">
        <v>357022</v>
      </c>
      <c r="T1285">
        <v>51.165691000000002</v>
      </c>
      <c r="U1285">
        <v>10.451525999999999</v>
      </c>
    </row>
    <row r="1286" spans="1:21">
      <c r="A1286" t="s">
        <v>83</v>
      </c>
      <c r="B1286">
        <v>2002</v>
      </c>
      <c r="C1286">
        <v>49257.79</v>
      </c>
      <c r="D1286">
        <v>833380.00490000006</v>
      </c>
      <c r="E1286">
        <v>372.64</v>
      </c>
      <c r="F1286">
        <v>164.84</v>
      </c>
      <c r="G1286">
        <v>44.48</v>
      </c>
      <c r="H1286">
        <v>35.968105000000001</v>
      </c>
      <c r="J1286">
        <v>4.41</v>
      </c>
      <c r="K1286">
        <v>240</v>
      </c>
      <c r="L1286">
        <v>100</v>
      </c>
      <c r="M1286">
        <v>100</v>
      </c>
      <c r="N1286">
        <v>3.5386320000000002</v>
      </c>
      <c r="P1286">
        <v>-0.19797383499999999</v>
      </c>
      <c r="Q1286">
        <v>25077.729080000001</v>
      </c>
      <c r="R1286">
        <v>3.97</v>
      </c>
      <c r="S1286">
        <v>357022</v>
      </c>
      <c r="T1286">
        <v>51.165691000000002</v>
      </c>
      <c r="U1286">
        <v>10.451525999999999</v>
      </c>
    </row>
    <row r="1287" spans="1:21">
      <c r="A1287" t="s">
        <v>83</v>
      </c>
      <c r="B1287">
        <v>2003</v>
      </c>
      <c r="C1287">
        <v>49300.902000000002</v>
      </c>
      <c r="D1287">
        <v>836789.978</v>
      </c>
      <c r="E1287">
        <v>390.81</v>
      </c>
      <c r="F1287">
        <v>165.06</v>
      </c>
      <c r="G1287">
        <v>46.67</v>
      </c>
      <c r="H1287">
        <v>35.139575999999998</v>
      </c>
      <c r="J1287">
        <v>5.44</v>
      </c>
      <c r="K1287">
        <v>240</v>
      </c>
      <c r="L1287">
        <v>100</v>
      </c>
      <c r="M1287">
        <v>100</v>
      </c>
      <c r="N1287">
        <v>3.6419896999999999</v>
      </c>
      <c r="P1287">
        <v>-0.70011668599999999</v>
      </c>
      <c r="Q1287">
        <v>30243.576529999998</v>
      </c>
      <c r="R1287">
        <v>3.99</v>
      </c>
      <c r="S1287">
        <v>357022</v>
      </c>
      <c r="T1287">
        <v>51.165691000000002</v>
      </c>
      <c r="U1287">
        <v>10.451525999999999</v>
      </c>
    </row>
    <row r="1288" spans="1:21">
      <c r="A1288" t="s">
        <v>83</v>
      </c>
      <c r="B1288">
        <v>2004</v>
      </c>
      <c r="C1288">
        <v>49342.406000000003</v>
      </c>
      <c r="D1288">
        <v>821070.00730000006</v>
      </c>
      <c r="E1288">
        <v>385.24</v>
      </c>
      <c r="F1288">
        <v>167.07</v>
      </c>
      <c r="G1288">
        <v>57.97</v>
      </c>
      <c r="H1288">
        <v>36.874873999999998</v>
      </c>
      <c r="J1288">
        <v>6.34</v>
      </c>
      <c r="K1288">
        <v>240</v>
      </c>
      <c r="L1288">
        <v>100</v>
      </c>
      <c r="M1288">
        <v>100</v>
      </c>
      <c r="N1288">
        <v>4.5165977000000002</v>
      </c>
      <c r="P1288">
        <v>1.175088132</v>
      </c>
      <c r="Q1288">
        <v>34044.053630000002</v>
      </c>
      <c r="R1288">
        <v>3.97</v>
      </c>
      <c r="S1288">
        <v>357022</v>
      </c>
      <c r="T1288">
        <v>51.165691000000002</v>
      </c>
      <c r="U1288">
        <v>10.451525999999999</v>
      </c>
    </row>
    <row r="1289" spans="1:21">
      <c r="A1289" t="s">
        <v>83</v>
      </c>
      <c r="B1289">
        <v>2005</v>
      </c>
      <c r="C1289">
        <v>48793.565999999999</v>
      </c>
      <c r="D1289">
        <v>802380.00490000006</v>
      </c>
      <c r="E1289">
        <v>386.96</v>
      </c>
      <c r="F1289">
        <v>163.05000000000001</v>
      </c>
      <c r="G1289">
        <v>63.4</v>
      </c>
      <c r="H1289">
        <v>36.916584</v>
      </c>
      <c r="J1289">
        <v>7.28</v>
      </c>
      <c r="K1289">
        <v>240</v>
      </c>
      <c r="L1289">
        <v>100</v>
      </c>
      <c r="M1289">
        <v>100</v>
      </c>
      <c r="N1289">
        <v>5.2084193000000001</v>
      </c>
      <c r="P1289">
        <v>0.73170716400000002</v>
      </c>
      <c r="Q1289">
        <v>34507.36881</v>
      </c>
      <c r="R1289">
        <v>3.92</v>
      </c>
      <c r="S1289">
        <v>357022</v>
      </c>
      <c r="T1289">
        <v>51.165691000000002</v>
      </c>
      <c r="U1289">
        <v>10.451525999999999</v>
      </c>
    </row>
    <row r="1290" spans="1:21">
      <c r="A1290" t="s">
        <v>83</v>
      </c>
      <c r="B1290">
        <v>2006</v>
      </c>
      <c r="C1290">
        <v>50043.03</v>
      </c>
      <c r="D1290">
        <v>814409.97309999994</v>
      </c>
      <c r="E1290">
        <v>390.03</v>
      </c>
      <c r="F1290">
        <v>167.27</v>
      </c>
      <c r="G1290">
        <v>72.510000000000005</v>
      </c>
      <c r="H1290">
        <v>38.071800000000003</v>
      </c>
      <c r="J1290">
        <v>8.59</v>
      </c>
      <c r="K1290">
        <v>240</v>
      </c>
      <c r="L1290">
        <v>100</v>
      </c>
      <c r="M1290">
        <v>100</v>
      </c>
      <c r="N1290">
        <v>6.0263046999999998</v>
      </c>
      <c r="P1290">
        <v>3.8164419129999998</v>
      </c>
      <c r="Q1290">
        <v>36323.447740000003</v>
      </c>
      <c r="R1290">
        <v>3.89</v>
      </c>
      <c r="S1290">
        <v>357022</v>
      </c>
      <c r="T1290">
        <v>51.165691000000002</v>
      </c>
      <c r="U1290">
        <v>10.451525999999999</v>
      </c>
    </row>
    <row r="1291" spans="1:21">
      <c r="A1291" t="s">
        <v>83</v>
      </c>
      <c r="B1291">
        <v>2007</v>
      </c>
      <c r="C1291">
        <v>47958.13</v>
      </c>
      <c r="D1291">
        <v>783799.9878</v>
      </c>
      <c r="E1291">
        <v>402.4</v>
      </c>
      <c r="F1291">
        <v>140.53</v>
      </c>
      <c r="G1291">
        <v>89.38</v>
      </c>
      <c r="H1291">
        <v>36.360329999999998</v>
      </c>
      <c r="J1291">
        <v>10.47</v>
      </c>
      <c r="K1291">
        <v>240</v>
      </c>
      <c r="L1291">
        <v>100</v>
      </c>
      <c r="M1291">
        <v>100</v>
      </c>
      <c r="N1291">
        <v>7.6538333999999999</v>
      </c>
      <c r="P1291">
        <v>2.9764551309999998</v>
      </c>
      <c r="Q1291">
        <v>41587.212899999999</v>
      </c>
      <c r="R1291">
        <v>3.58</v>
      </c>
      <c r="S1291">
        <v>357022</v>
      </c>
      <c r="T1291">
        <v>51.165691000000002</v>
      </c>
      <c r="U1291">
        <v>10.451525999999999</v>
      </c>
    </row>
    <row r="1292" spans="1:21">
      <c r="A1292" t="s">
        <v>83</v>
      </c>
      <c r="B1292">
        <v>2008</v>
      </c>
      <c r="C1292">
        <v>48445.983999999997</v>
      </c>
      <c r="D1292">
        <v>789690.0024</v>
      </c>
      <c r="E1292">
        <v>390.43</v>
      </c>
      <c r="F1292">
        <v>148.49</v>
      </c>
      <c r="G1292">
        <v>94.28</v>
      </c>
      <c r="H1292">
        <v>38.340176</v>
      </c>
      <c r="J1292">
        <v>10.25</v>
      </c>
      <c r="K1292">
        <v>240</v>
      </c>
      <c r="L1292">
        <v>100</v>
      </c>
      <c r="M1292">
        <v>100</v>
      </c>
      <c r="N1292">
        <v>7.8176284000000003</v>
      </c>
      <c r="P1292">
        <v>0.95987913400000002</v>
      </c>
      <c r="Q1292">
        <v>45427.151680000003</v>
      </c>
      <c r="R1292">
        <v>3.59</v>
      </c>
      <c r="S1292">
        <v>357022</v>
      </c>
      <c r="T1292">
        <v>51.165691000000002</v>
      </c>
      <c r="U1292">
        <v>10.451525999999999</v>
      </c>
    </row>
    <row r="1293" spans="1:21">
      <c r="A1293" t="s">
        <v>83</v>
      </c>
      <c r="B1293">
        <v>2009</v>
      </c>
      <c r="C1293">
        <v>45436.277000000002</v>
      </c>
      <c r="D1293">
        <v>734809.9976</v>
      </c>
      <c r="E1293">
        <v>358.07</v>
      </c>
      <c r="F1293">
        <v>134.93</v>
      </c>
      <c r="G1293">
        <v>95.94</v>
      </c>
      <c r="H1293">
        <v>39.200935000000001</v>
      </c>
      <c r="J1293">
        <v>10.72</v>
      </c>
      <c r="K1293">
        <v>240</v>
      </c>
      <c r="L1293">
        <v>100</v>
      </c>
      <c r="M1293">
        <v>100</v>
      </c>
      <c r="N1293">
        <v>8.4542800000000007</v>
      </c>
      <c r="P1293">
        <v>-5.6938363360000004</v>
      </c>
      <c r="Q1293">
        <v>41485.90165</v>
      </c>
      <c r="R1293">
        <v>3.56</v>
      </c>
      <c r="S1293">
        <v>357022</v>
      </c>
      <c r="T1293">
        <v>51.165691000000002</v>
      </c>
      <c r="U1293">
        <v>10.451525999999999</v>
      </c>
    </row>
    <row r="1294" spans="1:21">
      <c r="A1294" t="s">
        <v>83</v>
      </c>
      <c r="B1294">
        <v>2010</v>
      </c>
      <c r="C1294">
        <v>47305.82</v>
      </c>
      <c r="D1294">
        <v>773070.00730000006</v>
      </c>
      <c r="E1294">
        <v>378.9</v>
      </c>
      <c r="F1294">
        <v>140.56</v>
      </c>
      <c r="G1294">
        <v>105.18</v>
      </c>
      <c r="H1294">
        <v>39.341059999999999</v>
      </c>
      <c r="J1294">
        <v>11.61</v>
      </c>
      <c r="K1294">
        <v>240</v>
      </c>
      <c r="L1294">
        <v>100</v>
      </c>
      <c r="M1294">
        <v>100</v>
      </c>
      <c r="N1294">
        <v>8.7924690000000005</v>
      </c>
      <c r="P1294">
        <v>4.1798824989999996</v>
      </c>
      <c r="Q1294">
        <v>41531.934200000003</v>
      </c>
      <c r="R1294">
        <v>3.6</v>
      </c>
      <c r="S1294">
        <v>357022</v>
      </c>
      <c r="T1294">
        <v>51.165691000000002</v>
      </c>
      <c r="U1294">
        <v>10.451525999999999</v>
      </c>
    </row>
    <row r="1295" spans="1:21">
      <c r="A1295" t="s">
        <v>83</v>
      </c>
      <c r="B1295">
        <v>2011</v>
      </c>
      <c r="C1295">
        <v>45571.504000000001</v>
      </c>
      <c r="D1295">
        <v>746479.98049999995</v>
      </c>
      <c r="E1295">
        <v>373.16</v>
      </c>
      <c r="F1295">
        <v>107.97</v>
      </c>
      <c r="G1295">
        <v>124.04</v>
      </c>
      <c r="H1295">
        <v>38.337989999999998</v>
      </c>
      <c r="J1295">
        <v>12.54</v>
      </c>
      <c r="K1295">
        <v>240</v>
      </c>
      <c r="L1295">
        <v>100</v>
      </c>
      <c r="M1295">
        <v>100</v>
      </c>
      <c r="N1295">
        <v>10.566965</v>
      </c>
      <c r="P1295">
        <v>3.9251927050000002</v>
      </c>
      <c r="Q1295">
        <v>46644.776030000001</v>
      </c>
      <c r="R1295">
        <v>3.28</v>
      </c>
      <c r="S1295">
        <v>357022</v>
      </c>
      <c r="T1295">
        <v>51.165691000000002</v>
      </c>
      <c r="U1295">
        <v>10.451525999999999</v>
      </c>
    </row>
    <row r="1296" spans="1:21">
      <c r="A1296" t="s">
        <v>83</v>
      </c>
      <c r="B1296">
        <v>2012</v>
      </c>
      <c r="C1296">
        <v>46132.67</v>
      </c>
      <c r="D1296">
        <v>760130.00490000006</v>
      </c>
      <c r="E1296">
        <v>377.89</v>
      </c>
      <c r="F1296">
        <v>99.46</v>
      </c>
      <c r="G1296">
        <v>143.04</v>
      </c>
      <c r="H1296">
        <v>39.088313999999997</v>
      </c>
      <c r="J1296">
        <v>13.64</v>
      </c>
      <c r="K1296">
        <v>240</v>
      </c>
      <c r="L1296">
        <v>100</v>
      </c>
      <c r="M1296">
        <v>100</v>
      </c>
      <c r="N1296">
        <v>11.899699</v>
      </c>
      <c r="P1296">
        <v>0.41849759399999997</v>
      </c>
      <c r="Q1296">
        <v>43858.363060000003</v>
      </c>
      <c r="R1296">
        <v>3.29</v>
      </c>
      <c r="S1296">
        <v>357022</v>
      </c>
      <c r="T1296">
        <v>51.165691000000002</v>
      </c>
      <c r="U1296">
        <v>10.451525999999999</v>
      </c>
    </row>
    <row r="1297" spans="1:21">
      <c r="A1297" t="s">
        <v>83</v>
      </c>
      <c r="B1297">
        <v>2013</v>
      </c>
      <c r="C1297">
        <v>47361.546999999999</v>
      </c>
      <c r="D1297">
        <v>776150.02439999999</v>
      </c>
      <c r="E1297">
        <v>381.52</v>
      </c>
      <c r="F1297">
        <v>97.29</v>
      </c>
      <c r="G1297">
        <v>152.34</v>
      </c>
      <c r="H1297">
        <v>39.551609999999997</v>
      </c>
      <c r="J1297">
        <v>13.63</v>
      </c>
      <c r="K1297">
        <v>240</v>
      </c>
      <c r="L1297">
        <v>100</v>
      </c>
      <c r="M1297">
        <v>100</v>
      </c>
      <c r="N1297">
        <v>12.063335</v>
      </c>
      <c r="P1297">
        <v>0.43759130299999999</v>
      </c>
      <c r="Q1297">
        <v>46285.764069999997</v>
      </c>
      <c r="R1297">
        <v>3.35</v>
      </c>
      <c r="S1297">
        <v>357022</v>
      </c>
      <c r="T1297">
        <v>51.165691000000002</v>
      </c>
      <c r="U1297">
        <v>10.451525999999999</v>
      </c>
    </row>
    <row r="1298" spans="1:21">
      <c r="A1298" t="s">
        <v>83</v>
      </c>
      <c r="B1298">
        <v>2014</v>
      </c>
      <c r="C1298">
        <v>45327.561999999998</v>
      </c>
      <c r="D1298">
        <v>736010.0098</v>
      </c>
      <c r="E1298">
        <v>360.28</v>
      </c>
      <c r="F1298">
        <v>97.13</v>
      </c>
      <c r="G1298">
        <v>162.54</v>
      </c>
      <c r="H1298">
        <v>41.885640000000002</v>
      </c>
      <c r="J1298">
        <v>14.02</v>
      </c>
      <c r="K1298">
        <v>240</v>
      </c>
      <c r="L1298">
        <v>100</v>
      </c>
      <c r="M1298">
        <v>100</v>
      </c>
      <c r="N1298">
        <v>13.278847000000001</v>
      </c>
      <c r="P1298">
        <v>2.2095434310000002</v>
      </c>
      <c r="Q1298">
        <v>47959.993269999999</v>
      </c>
      <c r="R1298">
        <v>3.13</v>
      </c>
      <c r="S1298">
        <v>357022</v>
      </c>
      <c r="T1298">
        <v>51.165691000000002</v>
      </c>
      <c r="U1298">
        <v>10.451525999999999</v>
      </c>
    </row>
    <row r="1299" spans="1:21">
      <c r="A1299" t="s">
        <v>83</v>
      </c>
      <c r="B1299">
        <v>2015</v>
      </c>
      <c r="C1299">
        <v>46066.887000000002</v>
      </c>
      <c r="D1299">
        <v>742309.9976</v>
      </c>
      <c r="E1299">
        <v>359.99</v>
      </c>
      <c r="F1299">
        <v>91.79</v>
      </c>
      <c r="G1299">
        <v>188.79</v>
      </c>
      <c r="H1299">
        <v>43.801609999999997</v>
      </c>
      <c r="J1299">
        <v>14.55</v>
      </c>
      <c r="K1299">
        <v>240</v>
      </c>
      <c r="L1299">
        <v>100</v>
      </c>
      <c r="M1299">
        <v>100</v>
      </c>
      <c r="N1299">
        <v>14.823544</v>
      </c>
      <c r="P1299">
        <v>1.4919315280000001</v>
      </c>
      <c r="Q1299">
        <v>41086.729670000001</v>
      </c>
      <c r="R1299">
        <v>3.1</v>
      </c>
      <c r="S1299">
        <v>357022</v>
      </c>
      <c r="T1299">
        <v>51.165691000000002</v>
      </c>
      <c r="U1299">
        <v>10.451525999999999</v>
      </c>
    </row>
    <row r="1300" spans="1:21">
      <c r="A1300" t="s">
        <v>83</v>
      </c>
      <c r="B1300">
        <v>2016</v>
      </c>
      <c r="C1300">
        <v>46675.777000000002</v>
      </c>
      <c r="D1300">
        <v>747150.02439999999</v>
      </c>
      <c r="E1300">
        <v>368.67</v>
      </c>
      <c r="F1300">
        <v>84.63</v>
      </c>
      <c r="G1300">
        <v>189.67</v>
      </c>
      <c r="H1300">
        <v>42.6614</v>
      </c>
      <c r="J1300">
        <v>14.24</v>
      </c>
      <c r="K1300">
        <v>240</v>
      </c>
      <c r="L1300">
        <v>100</v>
      </c>
      <c r="M1300">
        <v>100</v>
      </c>
      <c r="N1300">
        <v>14.607312</v>
      </c>
      <c r="P1300">
        <v>2.2299998680000002</v>
      </c>
      <c r="Q1300">
        <v>42107.517269999997</v>
      </c>
      <c r="R1300">
        <v>3.04</v>
      </c>
      <c r="S1300">
        <v>357022</v>
      </c>
      <c r="T1300">
        <v>51.165691000000002</v>
      </c>
      <c r="U1300">
        <v>10.451525999999999</v>
      </c>
    </row>
    <row r="1301" spans="1:21">
      <c r="A1301" t="s">
        <v>83</v>
      </c>
      <c r="B1301">
        <v>2017</v>
      </c>
      <c r="C1301">
        <v>47112.9</v>
      </c>
      <c r="D1301">
        <v>732200.0122</v>
      </c>
      <c r="E1301">
        <v>353.37</v>
      </c>
      <c r="F1301">
        <v>76.319999999999993</v>
      </c>
      <c r="G1301">
        <v>216.32</v>
      </c>
      <c r="H1301">
        <v>45.299610000000001</v>
      </c>
      <c r="J1301">
        <v>15.22</v>
      </c>
      <c r="K1301">
        <v>240</v>
      </c>
      <c r="L1301">
        <v>100</v>
      </c>
      <c r="M1301">
        <v>100</v>
      </c>
      <c r="N1301">
        <v>16.196213</v>
      </c>
      <c r="P1301">
        <v>2.6802311140000001</v>
      </c>
      <c r="Q1301">
        <v>44542.2952</v>
      </c>
      <c r="R1301">
        <v>2.98</v>
      </c>
      <c r="S1301">
        <v>357022</v>
      </c>
      <c r="T1301">
        <v>51.165691000000002</v>
      </c>
      <c r="U1301">
        <v>10.451525999999999</v>
      </c>
    </row>
    <row r="1302" spans="1:21">
      <c r="A1302" t="s">
        <v>83</v>
      </c>
      <c r="B1302">
        <v>2018</v>
      </c>
      <c r="C1302">
        <v>45781.406000000003</v>
      </c>
      <c r="D1302">
        <v>707700.0122</v>
      </c>
      <c r="E1302">
        <v>334.65</v>
      </c>
      <c r="F1302">
        <v>76</v>
      </c>
      <c r="G1302">
        <v>222.07</v>
      </c>
      <c r="H1302">
        <v>47.109305999999997</v>
      </c>
      <c r="J1302">
        <v>16.12</v>
      </c>
      <c r="K1302">
        <v>240</v>
      </c>
      <c r="L1302">
        <v>100</v>
      </c>
      <c r="M1302">
        <v>100</v>
      </c>
      <c r="N1302">
        <v>17.084951</v>
      </c>
      <c r="P1302">
        <v>1.086024514</v>
      </c>
      <c r="Q1302">
        <v>47950.180809999998</v>
      </c>
      <c r="R1302">
        <v>2.87</v>
      </c>
      <c r="S1302">
        <v>357022</v>
      </c>
      <c r="T1302">
        <v>51.165691000000002</v>
      </c>
      <c r="U1302">
        <v>10.451525999999999</v>
      </c>
    </row>
    <row r="1303" spans="1:21">
      <c r="A1303" t="s">
        <v>83</v>
      </c>
      <c r="B1303">
        <v>2019</v>
      </c>
      <c r="C1303">
        <v>44467.745999999999</v>
      </c>
      <c r="D1303">
        <v>657400.02439999999</v>
      </c>
      <c r="E1303">
        <v>284.08999999999997</v>
      </c>
      <c r="F1303">
        <v>75.069999999999993</v>
      </c>
      <c r="G1303">
        <v>240.33</v>
      </c>
      <c r="H1303">
        <v>52.611384999999999</v>
      </c>
      <c r="J1303">
        <v>17.170000000000002</v>
      </c>
      <c r="K1303">
        <v>240</v>
      </c>
      <c r="L1303">
        <v>100</v>
      </c>
      <c r="M1303">
        <v>100</v>
      </c>
      <c r="N1303">
        <v>18.768305000000002</v>
      </c>
      <c r="P1303">
        <v>1.0555082469999999</v>
      </c>
      <c r="Q1303">
        <v>46794.899290000001</v>
      </c>
      <c r="R1303">
        <v>2.76</v>
      </c>
      <c r="S1303">
        <v>357022</v>
      </c>
      <c r="T1303">
        <v>51.165691000000002</v>
      </c>
      <c r="U1303">
        <v>10.451525999999999</v>
      </c>
    </row>
    <row r="1304" spans="1:21">
      <c r="A1304" t="s">
        <v>83</v>
      </c>
      <c r="B1304">
        <v>2020</v>
      </c>
      <c r="C1304">
        <v>41377.68</v>
      </c>
      <c r="E1304">
        <v>251.4</v>
      </c>
      <c r="F1304">
        <v>64.38</v>
      </c>
      <c r="G1304">
        <v>251.48</v>
      </c>
      <c r="H1304">
        <v>55.681694</v>
      </c>
      <c r="K1304">
        <v>240</v>
      </c>
      <c r="L1304">
        <v>100</v>
      </c>
      <c r="M1304">
        <v>100</v>
      </c>
      <c r="N1304">
        <v>21.122827999999998</v>
      </c>
      <c r="P1304">
        <v>-4.5696167169999997</v>
      </c>
      <c r="Q1304">
        <v>46208.429470000003</v>
      </c>
      <c r="S1304">
        <v>357022</v>
      </c>
      <c r="T1304">
        <v>51.165691000000002</v>
      </c>
      <c r="U1304">
        <v>10.451525999999999</v>
      </c>
    </row>
    <row r="1305" spans="1:21">
      <c r="A1305" t="s">
        <v>84</v>
      </c>
      <c r="B1305">
        <v>2000</v>
      </c>
      <c r="C1305">
        <v>2116.77</v>
      </c>
      <c r="D1305">
        <v>5740</v>
      </c>
      <c r="E1305">
        <v>0.57999999999999996</v>
      </c>
      <c r="F1305">
        <v>0</v>
      </c>
      <c r="G1305">
        <v>6.55</v>
      </c>
      <c r="H1305">
        <v>91.865359999999995</v>
      </c>
      <c r="I1305">
        <v>61.51</v>
      </c>
      <c r="J1305">
        <v>71.62</v>
      </c>
      <c r="K1305">
        <v>137</v>
      </c>
      <c r="L1305">
        <v>43.7</v>
      </c>
      <c r="M1305">
        <v>6.2</v>
      </c>
      <c r="O1305">
        <v>4160000</v>
      </c>
      <c r="P1305">
        <v>3.7000000819999999</v>
      </c>
      <c r="Q1305">
        <v>258.47103989999999</v>
      </c>
      <c r="R1305">
        <v>5.0199999999999996</v>
      </c>
      <c r="S1305">
        <v>238533</v>
      </c>
      <c r="T1305">
        <v>7.9465269999999997</v>
      </c>
      <c r="U1305">
        <v>-1.0231939999999999</v>
      </c>
    </row>
    <row r="1306" spans="1:21">
      <c r="A1306" t="s">
        <v>84</v>
      </c>
      <c r="B1306">
        <v>2001</v>
      </c>
      <c r="C1306">
        <v>2073.1176999999998</v>
      </c>
      <c r="D1306">
        <v>6210</v>
      </c>
      <c r="E1306">
        <v>1.18</v>
      </c>
      <c r="F1306">
        <v>0</v>
      </c>
      <c r="G1306">
        <v>6.55</v>
      </c>
      <c r="H1306">
        <v>84.734800000000007</v>
      </c>
      <c r="I1306">
        <v>60.02</v>
      </c>
      <c r="J1306">
        <v>69.319999999999993</v>
      </c>
      <c r="K1306">
        <v>137</v>
      </c>
      <c r="L1306">
        <v>44.837513000000001</v>
      </c>
      <c r="M1306">
        <v>6.6</v>
      </c>
      <c r="O1306">
        <v>1020000</v>
      </c>
      <c r="P1306">
        <v>4.0000001279999999</v>
      </c>
      <c r="Q1306">
        <v>269.01498479999998</v>
      </c>
      <c r="R1306">
        <v>4.82</v>
      </c>
      <c r="S1306">
        <v>238533</v>
      </c>
      <c r="T1306">
        <v>7.9465269999999997</v>
      </c>
      <c r="U1306">
        <v>-1.0231939999999999</v>
      </c>
    </row>
    <row r="1307" spans="1:21">
      <c r="A1307" t="s">
        <v>84</v>
      </c>
      <c r="B1307">
        <v>2002</v>
      </c>
      <c r="C1307">
        <v>1846.1882000000001</v>
      </c>
      <c r="D1307">
        <v>7429.999828</v>
      </c>
      <c r="E1307">
        <v>2.1</v>
      </c>
      <c r="F1307">
        <v>0</v>
      </c>
      <c r="G1307">
        <v>5.01</v>
      </c>
      <c r="H1307">
        <v>70.464134000000001</v>
      </c>
      <c r="I1307">
        <v>58.57</v>
      </c>
      <c r="J1307">
        <v>65.680000000000007</v>
      </c>
      <c r="K1307">
        <v>137</v>
      </c>
      <c r="L1307">
        <v>46.858069999999998</v>
      </c>
      <c r="M1307">
        <v>7.2</v>
      </c>
      <c r="O1307">
        <v>20000</v>
      </c>
      <c r="P1307">
        <v>4.4999995589999999</v>
      </c>
      <c r="Q1307">
        <v>304.56463600000001</v>
      </c>
      <c r="R1307">
        <v>4.6100000000000003</v>
      </c>
      <c r="S1307">
        <v>238533</v>
      </c>
      <c r="T1307">
        <v>7.9465269999999997</v>
      </c>
      <c r="U1307">
        <v>-1.0231939999999999</v>
      </c>
    </row>
    <row r="1308" spans="1:21">
      <c r="A1308" t="s">
        <v>84</v>
      </c>
      <c r="B1308">
        <v>2003</v>
      </c>
      <c r="C1308">
        <v>1645.2809</v>
      </c>
      <c r="D1308">
        <v>7139.9998660000001</v>
      </c>
      <c r="E1308">
        <v>1.86</v>
      </c>
      <c r="F1308">
        <v>0</v>
      </c>
      <c r="G1308">
        <v>3.87</v>
      </c>
      <c r="H1308">
        <v>67.539270000000002</v>
      </c>
      <c r="I1308">
        <v>57.15</v>
      </c>
      <c r="J1308">
        <v>64.47</v>
      </c>
      <c r="K1308">
        <v>137</v>
      </c>
      <c r="L1308">
        <v>48.3</v>
      </c>
      <c r="M1308">
        <v>7.9</v>
      </c>
      <c r="O1308">
        <v>340000</v>
      </c>
      <c r="P1308">
        <v>5.2000001329999996</v>
      </c>
      <c r="Q1308">
        <v>367.82136209999999</v>
      </c>
      <c r="R1308">
        <v>4.16</v>
      </c>
      <c r="S1308">
        <v>238533</v>
      </c>
      <c r="T1308">
        <v>7.9465269999999997</v>
      </c>
      <c r="U1308">
        <v>-1.0231939999999999</v>
      </c>
    </row>
    <row r="1309" spans="1:21">
      <c r="A1309" t="s">
        <v>84</v>
      </c>
      <c r="B1309">
        <v>2004</v>
      </c>
      <c r="C1309">
        <v>1892.3693000000001</v>
      </c>
      <c r="D1309">
        <v>6679.999828</v>
      </c>
      <c r="E1309">
        <v>0.64</v>
      </c>
      <c r="F1309">
        <v>0</v>
      </c>
      <c r="G1309">
        <v>5.24</v>
      </c>
      <c r="H1309">
        <v>89.115650000000002</v>
      </c>
      <c r="I1309">
        <v>55.74</v>
      </c>
      <c r="J1309">
        <v>62.38</v>
      </c>
      <c r="K1309">
        <v>137</v>
      </c>
      <c r="L1309">
        <v>50.885829999999999</v>
      </c>
      <c r="M1309">
        <v>8.5</v>
      </c>
      <c r="O1309">
        <v>250000</v>
      </c>
      <c r="P1309">
        <v>5.5999999909999998</v>
      </c>
      <c r="Q1309">
        <v>417.50806669999997</v>
      </c>
      <c r="R1309">
        <v>3.88</v>
      </c>
      <c r="S1309">
        <v>238533</v>
      </c>
      <c r="T1309">
        <v>7.9465269999999997</v>
      </c>
      <c r="U1309">
        <v>-1.0231939999999999</v>
      </c>
    </row>
    <row r="1310" spans="1:21">
      <c r="A1310" t="s">
        <v>84</v>
      </c>
      <c r="B1310">
        <v>2005</v>
      </c>
      <c r="C1310">
        <v>1893.7173</v>
      </c>
      <c r="D1310">
        <v>7039.9999619999999</v>
      </c>
      <c r="E1310">
        <v>1.1000000000000001</v>
      </c>
      <c r="F1310">
        <v>0</v>
      </c>
      <c r="G1310">
        <v>5.58</v>
      </c>
      <c r="H1310">
        <v>83.532936000000007</v>
      </c>
      <c r="I1310">
        <v>54.36</v>
      </c>
      <c r="J1310">
        <v>61.43</v>
      </c>
      <c r="K1310">
        <v>137</v>
      </c>
      <c r="L1310">
        <v>41.25</v>
      </c>
      <c r="M1310">
        <v>9.5</v>
      </c>
      <c r="O1310">
        <v>350000</v>
      </c>
      <c r="P1310">
        <v>5.9000038190000001</v>
      </c>
      <c r="Q1310">
        <v>492.5440562</v>
      </c>
      <c r="R1310">
        <v>3.64</v>
      </c>
      <c r="S1310">
        <v>238533</v>
      </c>
      <c r="T1310">
        <v>7.9465269999999997</v>
      </c>
      <c r="U1310">
        <v>-1.0231939999999999</v>
      </c>
    </row>
    <row r="1311" spans="1:21">
      <c r="A1311" t="s">
        <v>84</v>
      </c>
      <c r="B1311">
        <v>2006</v>
      </c>
      <c r="C1311">
        <v>1794.2774999999999</v>
      </c>
      <c r="D1311">
        <v>8510.0002289999993</v>
      </c>
      <c r="E1311">
        <v>2.64</v>
      </c>
      <c r="F1311">
        <v>0</v>
      </c>
      <c r="G1311">
        <v>5.58</v>
      </c>
      <c r="H1311">
        <v>67.883210000000005</v>
      </c>
      <c r="I1311">
        <v>52.91</v>
      </c>
      <c r="J1311">
        <v>58.56</v>
      </c>
      <c r="K1311">
        <v>137</v>
      </c>
      <c r="L1311">
        <v>55.093449999999997</v>
      </c>
      <c r="M1311">
        <v>10.5</v>
      </c>
      <c r="O1311">
        <v>27040000</v>
      </c>
      <c r="P1311">
        <v>6.399912606</v>
      </c>
      <c r="Q1311">
        <v>913.39384930000006</v>
      </c>
      <c r="R1311">
        <v>3.69</v>
      </c>
      <c r="S1311">
        <v>238533</v>
      </c>
      <c r="T1311">
        <v>7.9465269999999997</v>
      </c>
      <c r="U1311">
        <v>-1.0231939999999999</v>
      </c>
    </row>
    <row r="1312" spans="1:21">
      <c r="A1312" t="s">
        <v>84</v>
      </c>
      <c r="B1312">
        <v>2007</v>
      </c>
      <c r="C1312">
        <v>1649.7665999999999</v>
      </c>
      <c r="D1312">
        <v>9119.9998859999996</v>
      </c>
      <c r="E1312">
        <v>3.06</v>
      </c>
      <c r="F1312">
        <v>0</v>
      </c>
      <c r="G1312">
        <v>3.71</v>
      </c>
      <c r="H1312">
        <v>54.80059</v>
      </c>
      <c r="I1312">
        <v>51.56</v>
      </c>
      <c r="J1312">
        <v>54.53</v>
      </c>
      <c r="K1312">
        <v>137</v>
      </c>
      <c r="L1312">
        <v>56.929794000000001</v>
      </c>
      <c r="M1312">
        <v>11.8</v>
      </c>
      <c r="O1312">
        <v>922210000</v>
      </c>
      <c r="P1312">
        <v>4.3468191039999997</v>
      </c>
      <c r="Q1312">
        <v>1081.166318</v>
      </c>
      <c r="R1312">
        <v>3.48</v>
      </c>
      <c r="S1312">
        <v>238533</v>
      </c>
      <c r="T1312">
        <v>7.9465269999999997</v>
      </c>
      <c r="U1312">
        <v>-1.0231939999999999</v>
      </c>
    </row>
    <row r="1313" spans="1:21">
      <c r="A1313" t="s">
        <v>84</v>
      </c>
      <c r="B1313">
        <v>2008</v>
      </c>
      <c r="C1313">
        <v>1899.8279</v>
      </c>
      <c r="D1313">
        <v>8659.9998469999991</v>
      </c>
      <c r="E1313">
        <v>2</v>
      </c>
      <c r="F1313">
        <v>0</v>
      </c>
      <c r="G1313">
        <v>6.14</v>
      </c>
      <c r="H1313">
        <v>75.429969999999997</v>
      </c>
      <c r="I1313">
        <v>50.36</v>
      </c>
      <c r="J1313">
        <v>57.34</v>
      </c>
      <c r="K1313">
        <v>137</v>
      </c>
      <c r="L1313">
        <v>60.5</v>
      </c>
      <c r="M1313">
        <v>13</v>
      </c>
      <c r="O1313">
        <v>7780000</v>
      </c>
      <c r="P1313">
        <v>9.149798938</v>
      </c>
      <c r="Q1313">
        <v>1217.064435</v>
      </c>
      <c r="R1313">
        <v>3.42</v>
      </c>
      <c r="S1313">
        <v>238533</v>
      </c>
      <c r="T1313">
        <v>7.9465269999999997</v>
      </c>
      <c r="U1313">
        <v>-1.0231939999999999</v>
      </c>
    </row>
    <row r="1314" spans="1:21">
      <c r="A1314" t="s">
        <v>84</v>
      </c>
      <c r="B1314">
        <v>2009</v>
      </c>
      <c r="C1314">
        <v>2130.4485</v>
      </c>
      <c r="D1314">
        <v>10010.00023</v>
      </c>
      <c r="E1314">
        <v>1.96</v>
      </c>
      <c r="F1314">
        <v>0</v>
      </c>
      <c r="G1314">
        <v>6.82</v>
      </c>
      <c r="H1314">
        <v>77.676540000000003</v>
      </c>
      <c r="I1314">
        <v>49.1</v>
      </c>
      <c r="J1314">
        <v>51.9</v>
      </c>
      <c r="K1314">
        <v>137</v>
      </c>
      <c r="L1314">
        <v>60.990780000000001</v>
      </c>
      <c r="M1314">
        <v>14.5</v>
      </c>
      <c r="O1314">
        <v>620000</v>
      </c>
      <c r="P1314">
        <v>4.8444870519999998</v>
      </c>
      <c r="Q1314">
        <v>1077.6620579999999</v>
      </c>
      <c r="R1314">
        <v>3.34</v>
      </c>
      <c r="S1314">
        <v>238533</v>
      </c>
      <c r="T1314">
        <v>7.9465269999999997</v>
      </c>
      <c r="U1314">
        <v>-1.0231939999999999</v>
      </c>
    </row>
    <row r="1315" spans="1:21">
      <c r="A1315" t="s">
        <v>84</v>
      </c>
      <c r="B1315">
        <v>2010</v>
      </c>
      <c r="C1315">
        <v>2141.837</v>
      </c>
      <c r="D1315">
        <v>11189.99958</v>
      </c>
      <c r="E1315">
        <v>2.98</v>
      </c>
      <c r="F1315">
        <v>0</v>
      </c>
      <c r="G1315">
        <v>6.95</v>
      </c>
      <c r="H1315">
        <v>69.989930000000001</v>
      </c>
      <c r="I1315">
        <v>47.89</v>
      </c>
      <c r="J1315">
        <v>51.91</v>
      </c>
      <c r="K1315">
        <v>137</v>
      </c>
      <c r="L1315">
        <v>64.2</v>
      </c>
      <c r="M1315">
        <v>16</v>
      </c>
      <c r="O1315">
        <v>24730000</v>
      </c>
      <c r="P1315">
        <v>7.8997119409999996</v>
      </c>
      <c r="Q1315">
        <v>1299.3452119999999</v>
      </c>
      <c r="R1315">
        <v>3.42</v>
      </c>
      <c r="S1315">
        <v>238533</v>
      </c>
      <c r="T1315">
        <v>7.9465269999999997</v>
      </c>
      <c r="U1315">
        <v>-1.0231939999999999</v>
      </c>
    </row>
    <row r="1316" spans="1:21">
      <c r="A1316" t="s">
        <v>84</v>
      </c>
      <c r="B1316">
        <v>2011</v>
      </c>
      <c r="C1316">
        <v>2627.7833999999998</v>
      </c>
      <c r="D1316">
        <v>11750</v>
      </c>
      <c r="E1316">
        <v>3.42</v>
      </c>
      <c r="F1316">
        <v>0</v>
      </c>
      <c r="G1316">
        <v>7.51</v>
      </c>
      <c r="H1316">
        <v>68.709969999999998</v>
      </c>
      <c r="I1316">
        <v>46.75</v>
      </c>
      <c r="J1316">
        <v>50.09</v>
      </c>
      <c r="K1316">
        <v>137</v>
      </c>
      <c r="L1316">
        <v>64.062560000000005</v>
      </c>
      <c r="M1316">
        <v>17.3</v>
      </c>
      <c r="O1316">
        <v>1370000</v>
      </c>
      <c r="P1316">
        <v>14.047123579999999</v>
      </c>
      <c r="Q1316">
        <v>1549.4627190000001</v>
      </c>
      <c r="R1316">
        <v>3.15</v>
      </c>
      <c r="S1316">
        <v>238533</v>
      </c>
      <c r="T1316">
        <v>7.9465269999999997</v>
      </c>
      <c r="U1316">
        <v>-1.0231939999999999</v>
      </c>
    </row>
    <row r="1317" spans="1:21">
      <c r="A1317" t="s">
        <v>84</v>
      </c>
      <c r="B1317">
        <v>2012</v>
      </c>
      <c r="C1317">
        <v>2631.0419999999999</v>
      </c>
      <c r="D1317">
        <v>14609.999659999999</v>
      </c>
      <c r="E1317">
        <v>3.71</v>
      </c>
      <c r="F1317">
        <v>0</v>
      </c>
      <c r="G1317">
        <v>8.01</v>
      </c>
      <c r="H1317">
        <v>68.344710000000006</v>
      </c>
      <c r="I1317">
        <v>45.65</v>
      </c>
      <c r="J1317">
        <v>46.5</v>
      </c>
      <c r="K1317">
        <v>137</v>
      </c>
      <c r="L1317">
        <v>56.51</v>
      </c>
      <c r="M1317">
        <v>18.7</v>
      </c>
      <c r="O1317">
        <v>800000</v>
      </c>
      <c r="P1317">
        <v>9.2927894060000007</v>
      </c>
      <c r="Q1317">
        <v>1587.5609320000001</v>
      </c>
      <c r="R1317">
        <v>3.21</v>
      </c>
      <c r="S1317">
        <v>238533</v>
      </c>
      <c r="T1317">
        <v>7.9465269999999997</v>
      </c>
      <c r="U1317">
        <v>-1.0231939999999999</v>
      </c>
    </row>
    <row r="1318" spans="1:21">
      <c r="A1318" t="s">
        <v>84</v>
      </c>
      <c r="B1318">
        <v>2013</v>
      </c>
      <c r="C1318">
        <v>2698.5383000000002</v>
      </c>
      <c r="D1318">
        <v>15630.000110000001</v>
      </c>
      <c r="E1318">
        <v>4.3600000000000003</v>
      </c>
      <c r="F1318">
        <v>0</v>
      </c>
      <c r="G1318">
        <v>8.17</v>
      </c>
      <c r="H1318">
        <v>65.203513999999998</v>
      </c>
      <c r="I1318">
        <v>59.77</v>
      </c>
      <c r="J1318">
        <v>46.19</v>
      </c>
      <c r="K1318">
        <v>137</v>
      </c>
      <c r="L1318">
        <v>70.7</v>
      </c>
      <c r="M1318">
        <v>19.600000000000001</v>
      </c>
      <c r="O1318">
        <v>2370000</v>
      </c>
      <c r="P1318">
        <v>7.3125250169999996</v>
      </c>
      <c r="Q1318">
        <v>2361.0903239999998</v>
      </c>
      <c r="R1318">
        <v>3.01</v>
      </c>
      <c r="S1318">
        <v>238533</v>
      </c>
      <c r="T1318">
        <v>7.9465269999999997</v>
      </c>
      <c r="U1318">
        <v>-1.0231939999999999</v>
      </c>
    </row>
    <row r="1319" spans="1:21">
      <c r="A1319" t="s">
        <v>84</v>
      </c>
      <c r="B1319">
        <v>2014</v>
      </c>
      <c r="C1319">
        <v>2673.1282000000001</v>
      </c>
      <c r="D1319">
        <v>15090.00015</v>
      </c>
      <c r="E1319">
        <v>4.3099999999999996</v>
      </c>
      <c r="F1319">
        <v>0</v>
      </c>
      <c r="G1319">
        <v>8.32</v>
      </c>
      <c r="H1319">
        <v>65.874899999999997</v>
      </c>
      <c r="I1319">
        <v>58.55</v>
      </c>
      <c r="J1319">
        <v>47.69</v>
      </c>
      <c r="K1319">
        <v>137</v>
      </c>
      <c r="L1319">
        <v>78.3</v>
      </c>
      <c r="M1319">
        <v>20.5</v>
      </c>
      <c r="O1319">
        <v>7190000</v>
      </c>
      <c r="P1319">
        <v>2.8562401629999998</v>
      </c>
      <c r="Q1319">
        <v>2012.2642470000001</v>
      </c>
      <c r="R1319">
        <v>2.97</v>
      </c>
      <c r="S1319">
        <v>238533</v>
      </c>
      <c r="T1319">
        <v>7.9465269999999997</v>
      </c>
      <c r="U1319">
        <v>-1.0231939999999999</v>
      </c>
    </row>
    <row r="1320" spans="1:21">
      <c r="A1320" t="s">
        <v>84</v>
      </c>
      <c r="B1320">
        <v>2015</v>
      </c>
      <c r="C1320">
        <v>2847.0212000000001</v>
      </c>
      <c r="D1320">
        <v>15779.99973</v>
      </c>
      <c r="E1320">
        <v>5.36</v>
      </c>
      <c r="F1320">
        <v>0</v>
      </c>
      <c r="G1320">
        <v>5.81</v>
      </c>
      <c r="H1320">
        <v>52.014324000000002</v>
      </c>
      <c r="I1320">
        <v>58.31</v>
      </c>
      <c r="J1320">
        <v>44.02</v>
      </c>
      <c r="K1320">
        <v>137</v>
      </c>
      <c r="L1320">
        <v>74.07884</v>
      </c>
      <c r="M1320">
        <v>21.1</v>
      </c>
      <c r="O1320">
        <v>6660000</v>
      </c>
      <c r="P1320">
        <v>2.120759338</v>
      </c>
      <c r="Q1320">
        <v>1774.0747710000001</v>
      </c>
      <c r="R1320">
        <v>3.03</v>
      </c>
      <c r="S1320">
        <v>238533</v>
      </c>
      <c r="T1320">
        <v>7.9465269999999997</v>
      </c>
      <c r="U1320">
        <v>-1.0231939999999999</v>
      </c>
    </row>
    <row r="1321" spans="1:21">
      <c r="A1321" t="s">
        <v>84</v>
      </c>
      <c r="B1321">
        <v>2016</v>
      </c>
      <c r="C1321">
        <v>2814.9978000000001</v>
      </c>
      <c r="D1321">
        <v>16069.999690000001</v>
      </c>
      <c r="E1321">
        <v>5.84</v>
      </c>
      <c r="F1321">
        <v>0</v>
      </c>
      <c r="G1321">
        <v>5.56</v>
      </c>
      <c r="H1321">
        <v>48.771929999999998</v>
      </c>
      <c r="I1321">
        <v>57.24</v>
      </c>
      <c r="J1321">
        <v>45.22</v>
      </c>
      <c r="K1321">
        <v>137</v>
      </c>
      <c r="L1321">
        <v>79.3</v>
      </c>
      <c r="M1321">
        <v>21.8</v>
      </c>
      <c r="O1321">
        <v>505230000</v>
      </c>
      <c r="P1321">
        <v>3.3734657499999998</v>
      </c>
      <c r="Q1321">
        <v>1971.9569349999999</v>
      </c>
      <c r="R1321">
        <v>2.96</v>
      </c>
      <c r="S1321">
        <v>238533</v>
      </c>
      <c r="T1321">
        <v>7.9465269999999997</v>
      </c>
      <c r="U1321">
        <v>-1.0231939999999999</v>
      </c>
    </row>
    <row r="1322" spans="1:21">
      <c r="A1322" t="s">
        <v>84</v>
      </c>
      <c r="B1322">
        <v>2017</v>
      </c>
      <c r="C1322">
        <v>2757.9564999999998</v>
      </c>
      <c r="D1322">
        <v>17010.000230000001</v>
      </c>
      <c r="E1322">
        <v>7.17</v>
      </c>
      <c r="F1322">
        <v>0</v>
      </c>
      <c r="G1322">
        <v>5.67</v>
      </c>
      <c r="H1322">
        <v>44.158880000000003</v>
      </c>
      <c r="I1322">
        <v>56.3</v>
      </c>
      <c r="J1322">
        <v>44.43</v>
      </c>
      <c r="K1322">
        <v>137</v>
      </c>
      <c r="L1322">
        <v>79</v>
      </c>
      <c r="M1322">
        <v>21.9</v>
      </c>
      <c r="O1322">
        <v>7910000</v>
      </c>
      <c r="P1322">
        <v>8.1288948810000008</v>
      </c>
      <c r="Q1322">
        <v>2074.2907329999998</v>
      </c>
      <c r="R1322">
        <v>2.75</v>
      </c>
      <c r="S1322">
        <v>238533</v>
      </c>
      <c r="T1322">
        <v>7.9465269999999997</v>
      </c>
      <c r="U1322">
        <v>-1.0231939999999999</v>
      </c>
    </row>
    <row r="1323" spans="1:21">
      <c r="A1323" t="s">
        <v>84</v>
      </c>
      <c r="B1323">
        <v>2018</v>
      </c>
      <c r="C1323">
        <v>3112.2910000000002</v>
      </c>
      <c r="D1323">
        <v>18680.000309999999</v>
      </c>
      <c r="E1323">
        <v>8.3000000000000007</v>
      </c>
      <c r="F1323">
        <v>0</v>
      </c>
      <c r="G1323">
        <v>6.07</v>
      </c>
      <c r="H1323">
        <v>42.240780000000001</v>
      </c>
      <c r="I1323">
        <v>56.21</v>
      </c>
      <c r="J1323">
        <v>41.48</v>
      </c>
      <c r="K1323">
        <v>137</v>
      </c>
      <c r="L1323">
        <v>80.400000000000006</v>
      </c>
      <c r="M1323">
        <v>22.2</v>
      </c>
      <c r="O1323">
        <v>28360000</v>
      </c>
      <c r="P1323">
        <v>6.2000776809999998</v>
      </c>
      <c r="Q1323">
        <v>2260.8605670000002</v>
      </c>
      <c r="R1323">
        <v>2.92</v>
      </c>
      <c r="S1323">
        <v>238533</v>
      </c>
      <c r="T1323">
        <v>7.9465269999999997</v>
      </c>
      <c r="U1323">
        <v>-1.0231939999999999</v>
      </c>
    </row>
    <row r="1324" spans="1:21">
      <c r="A1324" t="s">
        <v>84</v>
      </c>
      <c r="B1324">
        <v>2019</v>
      </c>
      <c r="C1324">
        <v>3135.5949999999998</v>
      </c>
      <c r="D1324">
        <v>20040.000919999999</v>
      </c>
      <c r="E1324">
        <v>9.3699999999999992</v>
      </c>
      <c r="F1324">
        <v>0</v>
      </c>
      <c r="G1324">
        <v>7.32</v>
      </c>
      <c r="H1324">
        <v>43.858597000000003</v>
      </c>
      <c r="I1324">
        <v>55.23</v>
      </c>
      <c r="J1324">
        <v>41.8</v>
      </c>
      <c r="K1324">
        <v>137</v>
      </c>
      <c r="L1324">
        <v>83.5</v>
      </c>
      <c r="M1324">
        <v>22.4</v>
      </c>
      <c r="O1324">
        <v>3360000</v>
      </c>
      <c r="P1324">
        <v>6.5077747940000004</v>
      </c>
      <c r="Q1324">
        <v>2246.6255780000001</v>
      </c>
      <c r="R1324">
        <v>2.85</v>
      </c>
      <c r="S1324">
        <v>238533</v>
      </c>
      <c r="T1324">
        <v>7.9465269999999997</v>
      </c>
      <c r="U1324">
        <v>-1.0231939999999999</v>
      </c>
    </row>
    <row r="1325" spans="1:21">
      <c r="A1325" t="s">
        <v>84</v>
      </c>
      <c r="B1325">
        <v>2020</v>
      </c>
      <c r="C1325">
        <v>3484.1567</v>
      </c>
      <c r="E1325">
        <v>12.82</v>
      </c>
      <c r="F1325">
        <v>0</v>
      </c>
      <c r="G1325">
        <v>7.38</v>
      </c>
      <c r="H1325">
        <v>36.534652999999999</v>
      </c>
      <c r="I1325">
        <v>54.28</v>
      </c>
      <c r="K1325">
        <v>137</v>
      </c>
      <c r="L1325">
        <v>85.873549999999994</v>
      </c>
      <c r="M1325">
        <v>22.2</v>
      </c>
      <c r="P1325">
        <v>0.41444345799999999</v>
      </c>
      <c r="Q1325">
        <v>2205.529016</v>
      </c>
      <c r="S1325">
        <v>238533</v>
      </c>
      <c r="T1325">
        <v>7.9465269999999997</v>
      </c>
      <c r="U1325">
        <v>-1.0231939999999999</v>
      </c>
    </row>
    <row r="1326" spans="1:21">
      <c r="A1326" t="s">
        <v>85</v>
      </c>
      <c r="B1326">
        <v>2000</v>
      </c>
      <c r="C1326">
        <v>33796.730000000003</v>
      </c>
      <c r="D1326">
        <v>94460</v>
      </c>
      <c r="E1326">
        <v>49.28</v>
      </c>
      <c r="F1326">
        <v>0</v>
      </c>
      <c r="G1326">
        <v>4.1399999999999997</v>
      </c>
      <c r="H1326">
        <v>7.7499064999999998</v>
      </c>
      <c r="J1326">
        <v>7.82</v>
      </c>
      <c r="K1326">
        <v>81</v>
      </c>
      <c r="L1326">
        <v>100</v>
      </c>
      <c r="M1326">
        <v>100</v>
      </c>
      <c r="N1326">
        <v>3.2847325999999999</v>
      </c>
      <c r="P1326">
        <v>3.919770905</v>
      </c>
      <c r="Q1326">
        <v>12042.95371</v>
      </c>
      <c r="R1326">
        <v>3.6</v>
      </c>
      <c r="S1326">
        <v>131957</v>
      </c>
      <c r="T1326">
        <v>39.074207999999999</v>
      </c>
      <c r="U1326">
        <v>21.824311999999999</v>
      </c>
    </row>
    <row r="1327" spans="1:21">
      <c r="A1327" t="s">
        <v>85</v>
      </c>
      <c r="B1327">
        <v>2001</v>
      </c>
      <c r="C1327">
        <v>33961.258000000002</v>
      </c>
      <c r="D1327">
        <v>96610</v>
      </c>
      <c r="E1327">
        <v>50.14</v>
      </c>
      <c r="F1327">
        <v>0</v>
      </c>
      <c r="G1327">
        <v>2.94</v>
      </c>
      <c r="H1327">
        <v>5.5388092999999996</v>
      </c>
      <c r="J1327">
        <v>7.11</v>
      </c>
      <c r="K1327">
        <v>81</v>
      </c>
      <c r="L1327">
        <v>100</v>
      </c>
      <c r="M1327">
        <v>100</v>
      </c>
      <c r="N1327">
        <v>2.2960410000000002</v>
      </c>
      <c r="P1327">
        <v>4.1316119689999997</v>
      </c>
      <c r="Q1327">
        <v>12538.17887</v>
      </c>
      <c r="R1327">
        <v>3.58</v>
      </c>
      <c r="S1327">
        <v>131957</v>
      </c>
      <c r="T1327">
        <v>39.074207999999999</v>
      </c>
      <c r="U1327">
        <v>21.824311999999999</v>
      </c>
    </row>
    <row r="1328" spans="1:21">
      <c r="A1328" t="s">
        <v>85</v>
      </c>
      <c r="B1328">
        <v>2002</v>
      </c>
      <c r="C1328">
        <v>33917.586000000003</v>
      </c>
      <c r="D1328">
        <v>96599.998470000006</v>
      </c>
      <c r="E1328">
        <v>50.37</v>
      </c>
      <c r="F1328">
        <v>0</v>
      </c>
      <c r="G1328">
        <v>3.58</v>
      </c>
      <c r="H1328">
        <v>6.6357736999999997</v>
      </c>
      <c r="J1328">
        <v>7.33</v>
      </c>
      <c r="K1328">
        <v>81</v>
      </c>
      <c r="L1328">
        <v>100</v>
      </c>
      <c r="M1328">
        <v>100</v>
      </c>
      <c r="N1328">
        <v>2.7831921999999998</v>
      </c>
      <c r="P1328">
        <v>3.922872114</v>
      </c>
      <c r="Q1328">
        <v>14110.31337</v>
      </c>
      <c r="R1328">
        <v>3.48</v>
      </c>
      <c r="S1328">
        <v>131957</v>
      </c>
      <c r="T1328">
        <v>39.074207999999999</v>
      </c>
      <c r="U1328">
        <v>21.824311999999999</v>
      </c>
    </row>
    <row r="1329" spans="1:21">
      <c r="A1329" t="s">
        <v>85</v>
      </c>
      <c r="B1329">
        <v>2003</v>
      </c>
      <c r="C1329">
        <v>35850.453000000001</v>
      </c>
      <c r="D1329">
        <v>100220.0012</v>
      </c>
      <c r="E1329">
        <v>52.01</v>
      </c>
      <c r="F1329">
        <v>0</v>
      </c>
      <c r="G1329">
        <v>5.89</v>
      </c>
      <c r="H1329">
        <v>10.172711</v>
      </c>
      <c r="J1329">
        <v>7.6</v>
      </c>
      <c r="K1329">
        <v>81</v>
      </c>
      <c r="L1329">
        <v>100</v>
      </c>
      <c r="M1329">
        <v>100</v>
      </c>
      <c r="N1329">
        <v>4.2976419999999997</v>
      </c>
      <c r="P1329">
        <v>5.7945307760000002</v>
      </c>
      <c r="Q1329">
        <v>18477.57836</v>
      </c>
      <c r="R1329">
        <v>3.39</v>
      </c>
      <c r="S1329">
        <v>131957</v>
      </c>
      <c r="T1329">
        <v>39.074207999999999</v>
      </c>
      <c r="U1329">
        <v>21.824311999999999</v>
      </c>
    </row>
    <row r="1330" spans="1:21">
      <c r="A1330" t="s">
        <v>85</v>
      </c>
      <c r="B1330">
        <v>2004</v>
      </c>
      <c r="C1330">
        <v>35828.086000000003</v>
      </c>
      <c r="D1330">
        <v>99839.996339999998</v>
      </c>
      <c r="E1330">
        <v>52.89</v>
      </c>
      <c r="F1330">
        <v>0</v>
      </c>
      <c r="G1330">
        <v>5.91</v>
      </c>
      <c r="H1330">
        <v>10.051021</v>
      </c>
      <c r="J1330">
        <v>7.85</v>
      </c>
      <c r="K1330">
        <v>81</v>
      </c>
      <c r="L1330">
        <v>100</v>
      </c>
      <c r="M1330">
        <v>100</v>
      </c>
      <c r="N1330">
        <v>4.291226</v>
      </c>
      <c r="P1330">
        <v>5.0609929019999997</v>
      </c>
      <c r="Q1330">
        <v>21955.104139999999</v>
      </c>
      <c r="R1330">
        <v>3.29</v>
      </c>
      <c r="S1330">
        <v>131957</v>
      </c>
      <c r="T1330">
        <v>39.074207999999999</v>
      </c>
      <c r="U1330">
        <v>21.824311999999999</v>
      </c>
    </row>
    <row r="1331" spans="1:21">
      <c r="A1331" t="s">
        <v>85</v>
      </c>
      <c r="B1331">
        <v>2005</v>
      </c>
      <c r="C1331">
        <v>35956.983999999997</v>
      </c>
      <c r="D1331">
        <v>101949.9969</v>
      </c>
      <c r="E1331">
        <v>53.02</v>
      </c>
      <c r="F1331">
        <v>0</v>
      </c>
      <c r="G1331">
        <v>6.41</v>
      </c>
      <c r="H1331">
        <v>10.785798</v>
      </c>
      <c r="J1331">
        <v>8.01</v>
      </c>
      <c r="K1331">
        <v>81</v>
      </c>
      <c r="L1331">
        <v>100</v>
      </c>
      <c r="M1331">
        <v>100</v>
      </c>
      <c r="N1331">
        <v>4.6003255999999997</v>
      </c>
      <c r="P1331">
        <v>0.59914188000000002</v>
      </c>
      <c r="Q1331">
        <v>22551.735769999999</v>
      </c>
      <c r="R1331">
        <v>3.33</v>
      </c>
      <c r="S1331">
        <v>131957</v>
      </c>
      <c r="T1331">
        <v>39.074207999999999</v>
      </c>
      <c r="U1331">
        <v>21.824311999999999</v>
      </c>
    </row>
    <row r="1332" spans="1:21">
      <c r="A1332" t="s">
        <v>85</v>
      </c>
      <c r="B1332">
        <v>2006</v>
      </c>
      <c r="C1332">
        <v>37034.241999999998</v>
      </c>
      <c r="D1332">
        <v>100699.9969</v>
      </c>
      <c r="E1332">
        <v>52.5</v>
      </c>
      <c r="F1332">
        <v>0</v>
      </c>
      <c r="G1332">
        <v>7.67</v>
      </c>
      <c r="H1332">
        <v>12.747216</v>
      </c>
      <c r="J1332">
        <v>8.51</v>
      </c>
      <c r="K1332">
        <v>81</v>
      </c>
      <c r="L1332">
        <v>100</v>
      </c>
      <c r="M1332">
        <v>100</v>
      </c>
      <c r="N1332">
        <v>5.3219500000000002</v>
      </c>
      <c r="P1332">
        <v>5.6524337080000002</v>
      </c>
      <c r="Q1332">
        <v>24801.157780000001</v>
      </c>
      <c r="R1332">
        <v>3.15</v>
      </c>
      <c r="S1332">
        <v>131957</v>
      </c>
      <c r="T1332">
        <v>39.074207999999999</v>
      </c>
      <c r="U1332">
        <v>21.824311999999999</v>
      </c>
    </row>
    <row r="1333" spans="1:21">
      <c r="A1333" t="s">
        <v>85</v>
      </c>
      <c r="B1333">
        <v>2007</v>
      </c>
      <c r="C1333">
        <v>37808.296999999999</v>
      </c>
      <c r="D1333">
        <v>104309.9976</v>
      </c>
      <c r="E1333">
        <v>58.12</v>
      </c>
      <c r="F1333">
        <v>0</v>
      </c>
      <c r="G1333">
        <v>4.59</v>
      </c>
      <c r="H1333">
        <v>7.319407</v>
      </c>
      <c r="J1333">
        <v>8.0500000000000007</v>
      </c>
      <c r="K1333">
        <v>81</v>
      </c>
      <c r="L1333">
        <v>100</v>
      </c>
      <c r="M1333">
        <v>100</v>
      </c>
      <c r="N1333">
        <v>3.1136857999999998</v>
      </c>
      <c r="P1333">
        <v>3.273746933</v>
      </c>
      <c r="Q1333">
        <v>28827.326389999998</v>
      </c>
      <c r="R1333">
        <v>3.04</v>
      </c>
      <c r="S1333">
        <v>131957</v>
      </c>
      <c r="T1333">
        <v>39.074207999999999</v>
      </c>
      <c r="U1333">
        <v>21.824311999999999</v>
      </c>
    </row>
    <row r="1334" spans="1:21">
      <c r="A1334" t="s">
        <v>85</v>
      </c>
      <c r="B1334">
        <v>2008</v>
      </c>
      <c r="C1334">
        <v>37168.061999999998</v>
      </c>
      <c r="D1334">
        <v>100410.0037</v>
      </c>
      <c r="E1334">
        <v>57.17</v>
      </c>
      <c r="F1334">
        <v>0</v>
      </c>
      <c r="G1334">
        <v>5.75</v>
      </c>
      <c r="H1334">
        <v>9.1385889999999996</v>
      </c>
      <c r="J1334">
        <v>8.32</v>
      </c>
      <c r="K1334">
        <v>81</v>
      </c>
      <c r="L1334">
        <v>100</v>
      </c>
      <c r="M1334">
        <v>100</v>
      </c>
      <c r="N1334">
        <v>3.9871401999999998</v>
      </c>
      <c r="P1334">
        <v>-0.33517255800000001</v>
      </c>
      <c r="Q1334">
        <v>31997.282019999999</v>
      </c>
      <c r="R1334">
        <v>3.07</v>
      </c>
      <c r="S1334">
        <v>131957</v>
      </c>
      <c r="T1334">
        <v>39.074207999999999</v>
      </c>
      <c r="U1334">
        <v>21.824311999999999</v>
      </c>
    </row>
    <row r="1335" spans="1:21">
      <c r="A1335" t="s">
        <v>85</v>
      </c>
      <c r="B1335">
        <v>2009</v>
      </c>
      <c r="C1335">
        <v>35855.25</v>
      </c>
      <c r="D1335">
        <v>94739.997860000003</v>
      </c>
      <c r="E1335">
        <v>52.91</v>
      </c>
      <c r="F1335">
        <v>0</v>
      </c>
      <c r="G1335">
        <v>8.16</v>
      </c>
      <c r="H1335">
        <v>13.361715999999999</v>
      </c>
      <c r="J1335">
        <v>9.19</v>
      </c>
      <c r="K1335">
        <v>81</v>
      </c>
      <c r="L1335">
        <v>100</v>
      </c>
      <c r="M1335">
        <v>100</v>
      </c>
      <c r="N1335">
        <v>5.8433247000000001</v>
      </c>
      <c r="P1335">
        <v>-4.3007334579999998</v>
      </c>
      <c r="Q1335">
        <v>29710.970229999999</v>
      </c>
      <c r="R1335">
        <v>3.11</v>
      </c>
      <c r="S1335">
        <v>131957</v>
      </c>
      <c r="T1335">
        <v>39.074207999999999</v>
      </c>
      <c r="U1335">
        <v>21.824311999999999</v>
      </c>
    </row>
    <row r="1336" spans="1:21">
      <c r="A1336" t="s">
        <v>85</v>
      </c>
      <c r="B1336">
        <v>2010</v>
      </c>
      <c r="C1336">
        <v>34298.055</v>
      </c>
      <c r="D1336">
        <v>87580.001829999994</v>
      </c>
      <c r="E1336">
        <v>46.85</v>
      </c>
      <c r="F1336">
        <v>0</v>
      </c>
      <c r="G1336">
        <v>10.53</v>
      </c>
      <c r="H1336">
        <v>18.351341000000001</v>
      </c>
      <c r="J1336">
        <v>11.37</v>
      </c>
      <c r="K1336">
        <v>81</v>
      </c>
      <c r="L1336">
        <v>100</v>
      </c>
      <c r="M1336">
        <v>100</v>
      </c>
      <c r="N1336">
        <v>7.8245930000000001</v>
      </c>
      <c r="P1336">
        <v>-5.4786274319999997</v>
      </c>
      <c r="Q1336">
        <v>26690.60742</v>
      </c>
      <c r="R1336">
        <v>3.09</v>
      </c>
      <c r="S1336">
        <v>131957</v>
      </c>
      <c r="T1336">
        <v>39.074207999999999</v>
      </c>
      <c r="U1336">
        <v>21.824311999999999</v>
      </c>
    </row>
    <row r="1337" spans="1:21">
      <c r="A1337" t="s">
        <v>85</v>
      </c>
      <c r="B1337">
        <v>2011</v>
      </c>
      <c r="C1337">
        <v>33738.633000000002</v>
      </c>
      <c r="D1337">
        <v>84550.003049999999</v>
      </c>
      <c r="E1337">
        <v>51.04</v>
      </c>
      <c r="F1337">
        <v>0</v>
      </c>
      <c r="G1337">
        <v>8.15</v>
      </c>
      <c r="H1337">
        <v>13.7692175</v>
      </c>
      <c r="J1337">
        <v>11.38</v>
      </c>
      <c r="K1337">
        <v>81</v>
      </c>
      <c r="L1337">
        <v>100</v>
      </c>
      <c r="M1337">
        <v>100</v>
      </c>
      <c r="N1337">
        <v>6.1592339999999997</v>
      </c>
      <c r="P1337">
        <v>-10.14931483</v>
      </c>
      <c r="Q1337">
        <v>25450.53412</v>
      </c>
      <c r="R1337">
        <v>3.33</v>
      </c>
      <c r="S1337">
        <v>131957</v>
      </c>
      <c r="T1337">
        <v>39.074207999999999</v>
      </c>
      <c r="U1337">
        <v>21.824311999999999</v>
      </c>
    </row>
    <row r="1338" spans="1:21">
      <c r="A1338" t="s">
        <v>85</v>
      </c>
      <c r="B1338">
        <v>2012</v>
      </c>
      <c r="C1338">
        <v>31860.057000000001</v>
      </c>
      <c r="D1338">
        <v>80089.996339999998</v>
      </c>
      <c r="E1338">
        <v>50.62</v>
      </c>
      <c r="F1338">
        <v>0</v>
      </c>
      <c r="G1338">
        <v>10.130000000000001</v>
      </c>
      <c r="H1338">
        <v>16.674896</v>
      </c>
      <c r="J1338">
        <v>14.17</v>
      </c>
      <c r="K1338">
        <v>81</v>
      </c>
      <c r="L1338">
        <v>100</v>
      </c>
      <c r="M1338">
        <v>100</v>
      </c>
      <c r="N1338">
        <v>8.1028939999999992</v>
      </c>
      <c r="P1338">
        <v>-7.0866967860000001</v>
      </c>
      <c r="Q1338">
        <v>21914.25173</v>
      </c>
      <c r="R1338">
        <v>3.55</v>
      </c>
      <c r="S1338">
        <v>131957</v>
      </c>
      <c r="T1338">
        <v>39.074207999999999</v>
      </c>
      <c r="U1338">
        <v>21.824311999999999</v>
      </c>
    </row>
    <row r="1339" spans="1:21">
      <c r="A1339" t="s">
        <v>85</v>
      </c>
      <c r="B1339">
        <v>2013</v>
      </c>
      <c r="C1339">
        <v>30079.553</v>
      </c>
      <c r="D1339">
        <v>72480.003360000002</v>
      </c>
      <c r="E1339">
        <v>42.76</v>
      </c>
      <c r="F1339">
        <v>0</v>
      </c>
      <c r="G1339">
        <v>14.36</v>
      </c>
      <c r="H1339">
        <v>25.140056999999999</v>
      </c>
      <c r="J1339">
        <v>16.61</v>
      </c>
      <c r="K1339">
        <v>81</v>
      </c>
      <c r="L1339">
        <v>100</v>
      </c>
      <c r="M1339">
        <v>100</v>
      </c>
      <c r="N1339">
        <v>12.095451000000001</v>
      </c>
      <c r="P1339">
        <v>-2.5159972220000002</v>
      </c>
      <c r="Q1339">
        <v>21781.59535</v>
      </c>
      <c r="R1339">
        <v>3.21</v>
      </c>
      <c r="S1339">
        <v>131957</v>
      </c>
      <c r="T1339">
        <v>39.074207999999999</v>
      </c>
      <c r="U1339">
        <v>21.824311999999999</v>
      </c>
    </row>
    <row r="1340" spans="1:21">
      <c r="A1340" t="s">
        <v>85</v>
      </c>
      <c r="B1340">
        <v>2014</v>
      </c>
      <c r="C1340">
        <v>28344.934000000001</v>
      </c>
      <c r="D1340">
        <v>69550.003049999999</v>
      </c>
      <c r="E1340">
        <v>38.17</v>
      </c>
      <c r="F1340">
        <v>0</v>
      </c>
      <c r="G1340">
        <v>12.18</v>
      </c>
      <c r="H1340">
        <v>24.190666</v>
      </c>
      <c r="J1340">
        <v>16.41</v>
      </c>
      <c r="K1340">
        <v>81</v>
      </c>
      <c r="L1340">
        <v>100</v>
      </c>
      <c r="M1340">
        <v>100</v>
      </c>
      <c r="N1340">
        <v>10.859847</v>
      </c>
      <c r="P1340">
        <v>0.47569594700000001</v>
      </c>
      <c r="Q1340">
        <v>21587.957549999999</v>
      </c>
      <c r="R1340">
        <v>3.16</v>
      </c>
      <c r="S1340">
        <v>131957</v>
      </c>
      <c r="T1340">
        <v>39.074207999999999</v>
      </c>
      <c r="U1340">
        <v>21.824311999999999</v>
      </c>
    </row>
    <row r="1341" spans="1:21">
      <c r="A1341" t="s">
        <v>85</v>
      </c>
      <c r="B1341">
        <v>2015</v>
      </c>
      <c r="C1341">
        <v>28845.504000000001</v>
      </c>
      <c r="D1341">
        <v>68010.002139999997</v>
      </c>
      <c r="E1341">
        <v>36.979999999999997</v>
      </c>
      <c r="F1341">
        <v>0</v>
      </c>
      <c r="G1341">
        <v>14.85</v>
      </c>
      <c r="H1341">
        <v>28.65136</v>
      </c>
      <c r="J1341">
        <v>17.47</v>
      </c>
      <c r="K1341">
        <v>81</v>
      </c>
      <c r="L1341">
        <v>100</v>
      </c>
      <c r="M1341">
        <v>100</v>
      </c>
      <c r="N1341">
        <v>13.008345</v>
      </c>
      <c r="P1341">
        <v>-0.19608763000000001</v>
      </c>
      <c r="Q1341">
        <v>18076.606759999999</v>
      </c>
      <c r="R1341">
        <v>3.18</v>
      </c>
      <c r="S1341">
        <v>131957</v>
      </c>
      <c r="T1341">
        <v>39.074207999999999</v>
      </c>
      <c r="U1341">
        <v>21.824311999999999</v>
      </c>
    </row>
    <row r="1342" spans="1:21">
      <c r="A1342" t="s">
        <v>85</v>
      </c>
      <c r="B1342">
        <v>2016</v>
      </c>
      <c r="C1342">
        <v>28556.062000000002</v>
      </c>
      <c r="D1342">
        <v>66849.998470000006</v>
      </c>
      <c r="E1342">
        <v>39.520000000000003</v>
      </c>
      <c r="F1342">
        <v>0</v>
      </c>
      <c r="G1342">
        <v>14.89</v>
      </c>
      <c r="H1342">
        <v>27.366292999999999</v>
      </c>
      <c r="J1342">
        <v>16.41</v>
      </c>
      <c r="K1342">
        <v>81</v>
      </c>
      <c r="L1342">
        <v>100</v>
      </c>
      <c r="M1342">
        <v>100</v>
      </c>
      <c r="N1342">
        <v>13.225244999999999</v>
      </c>
      <c r="P1342">
        <v>-0.48717329399999998</v>
      </c>
      <c r="Q1342">
        <v>17911.79938</v>
      </c>
      <c r="R1342">
        <v>3.13</v>
      </c>
      <c r="S1342">
        <v>131957</v>
      </c>
      <c r="T1342">
        <v>39.074207999999999</v>
      </c>
      <c r="U1342">
        <v>21.824311999999999</v>
      </c>
    </row>
    <row r="1343" spans="1:21">
      <c r="A1343" t="s">
        <v>85</v>
      </c>
      <c r="B1343">
        <v>2017</v>
      </c>
      <c r="C1343">
        <v>30131.884999999998</v>
      </c>
      <c r="D1343">
        <v>66800.003049999999</v>
      </c>
      <c r="E1343">
        <v>41.38</v>
      </c>
      <c r="F1343">
        <v>0</v>
      </c>
      <c r="G1343">
        <v>13.8</v>
      </c>
      <c r="H1343">
        <v>25.009062</v>
      </c>
      <c r="J1343">
        <v>16.38</v>
      </c>
      <c r="K1343">
        <v>81</v>
      </c>
      <c r="L1343">
        <v>100</v>
      </c>
      <c r="M1343">
        <v>100</v>
      </c>
      <c r="N1343">
        <v>14.015644999999999</v>
      </c>
      <c r="P1343">
        <v>1.09214912</v>
      </c>
      <c r="Q1343">
        <v>18536.190719999999</v>
      </c>
      <c r="R1343">
        <v>3.14</v>
      </c>
      <c r="S1343">
        <v>131957</v>
      </c>
      <c r="T1343">
        <v>39.074207999999999</v>
      </c>
      <c r="U1343">
        <v>21.824311999999999</v>
      </c>
    </row>
    <row r="1344" spans="1:21">
      <c r="A1344" t="s">
        <v>85</v>
      </c>
      <c r="B1344">
        <v>2018</v>
      </c>
      <c r="C1344">
        <v>30475.123</v>
      </c>
      <c r="D1344">
        <v>65019.996639999998</v>
      </c>
      <c r="E1344">
        <v>37.11</v>
      </c>
      <c r="F1344">
        <v>0</v>
      </c>
      <c r="G1344">
        <v>16.14</v>
      </c>
      <c r="H1344">
        <v>30.309857999999998</v>
      </c>
      <c r="J1344">
        <v>17.86</v>
      </c>
      <c r="K1344">
        <v>81</v>
      </c>
      <c r="L1344">
        <v>100</v>
      </c>
      <c r="M1344">
        <v>100</v>
      </c>
      <c r="N1344">
        <v>13.455227000000001</v>
      </c>
      <c r="P1344">
        <v>1.668428636</v>
      </c>
      <c r="Q1344">
        <v>19747.34258</v>
      </c>
      <c r="R1344">
        <v>3</v>
      </c>
      <c r="S1344">
        <v>131957</v>
      </c>
      <c r="T1344">
        <v>39.074207999999999</v>
      </c>
      <c r="U1344">
        <v>21.824311999999999</v>
      </c>
    </row>
    <row r="1345" spans="1:21">
      <c r="A1345" t="s">
        <v>85</v>
      </c>
      <c r="B1345">
        <v>2019</v>
      </c>
      <c r="C1345">
        <v>29966.309000000001</v>
      </c>
      <c r="D1345">
        <v>60000</v>
      </c>
      <c r="E1345">
        <v>32.479999999999997</v>
      </c>
      <c r="F1345">
        <v>0</v>
      </c>
      <c r="G1345">
        <v>16.100000000000001</v>
      </c>
      <c r="H1345">
        <v>33.141210000000001</v>
      </c>
      <c r="J1345">
        <v>18.510000000000002</v>
      </c>
      <c r="K1345">
        <v>81</v>
      </c>
      <c r="L1345">
        <v>100</v>
      </c>
      <c r="M1345">
        <v>100</v>
      </c>
      <c r="N1345">
        <v>13.694194</v>
      </c>
      <c r="P1345">
        <v>1.8035952559999999</v>
      </c>
      <c r="Q1345">
        <v>19133.75776</v>
      </c>
      <c r="R1345">
        <v>2.9</v>
      </c>
      <c r="S1345">
        <v>131957</v>
      </c>
      <c r="T1345">
        <v>39.074207999999999</v>
      </c>
      <c r="U1345">
        <v>21.824311999999999</v>
      </c>
    </row>
    <row r="1346" spans="1:21">
      <c r="A1346" t="s">
        <v>85</v>
      </c>
      <c r="B1346">
        <v>2020</v>
      </c>
      <c r="C1346">
        <v>26343.523000000001</v>
      </c>
      <c r="E1346">
        <v>30.61</v>
      </c>
      <c r="F1346">
        <v>0</v>
      </c>
      <c r="G1346">
        <v>17.55</v>
      </c>
      <c r="H1346">
        <v>36.441029999999998</v>
      </c>
      <c r="K1346">
        <v>81</v>
      </c>
      <c r="L1346">
        <v>100</v>
      </c>
      <c r="M1346">
        <v>100</v>
      </c>
      <c r="N1346">
        <v>16.707697</v>
      </c>
      <c r="P1346">
        <v>-9.0191290849999994</v>
      </c>
      <c r="Q1346">
        <v>17622.541000000001</v>
      </c>
      <c r="S1346">
        <v>131957</v>
      </c>
      <c r="T1346">
        <v>39.074207999999999</v>
      </c>
      <c r="U1346">
        <v>21.824311999999999</v>
      </c>
    </row>
    <row r="1347" spans="1:21">
      <c r="A1347" t="s">
        <v>86</v>
      </c>
      <c r="B1347">
        <v>2000</v>
      </c>
      <c r="C1347">
        <v>8030.9449999999997</v>
      </c>
      <c r="D1347">
        <v>210</v>
      </c>
      <c r="E1347">
        <v>0.13</v>
      </c>
      <c r="F1347">
        <v>0</v>
      </c>
      <c r="G1347">
        <v>0</v>
      </c>
      <c r="H1347">
        <v>0</v>
      </c>
      <c r="I1347">
        <v>0</v>
      </c>
      <c r="J1347">
        <v>10.5</v>
      </c>
      <c r="K1347">
        <v>331</v>
      </c>
      <c r="L1347">
        <v>86.042230000000004</v>
      </c>
      <c r="M1347">
        <v>92.4</v>
      </c>
      <c r="P1347">
        <v>4.8879521370000001</v>
      </c>
      <c r="Q1347">
        <v>5056.9772590000002</v>
      </c>
      <c r="R1347">
        <v>2.4500000000000002</v>
      </c>
      <c r="S1347">
        <v>349</v>
      </c>
      <c r="T1347">
        <v>12.1165</v>
      </c>
      <c r="U1347">
        <v>-61.679000000000002</v>
      </c>
    </row>
    <row r="1348" spans="1:21">
      <c r="A1348" t="s">
        <v>86</v>
      </c>
      <c r="B1348">
        <v>2001</v>
      </c>
      <c r="C1348">
        <v>8319.6190000000006</v>
      </c>
      <c r="D1348">
        <v>230</v>
      </c>
      <c r="E1348">
        <v>0.14000000000000001</v>
      </c>
      <c r="F1348">
        <v>0</v>
      </c>
      <c r="G1348">
        <v>0</v>
      </c>
      <c r="H1348">
        <v>0</v>
      </c>
      <c r="I1348">
        <v>0</v>
      </c>
      <c r="J1348">
        <v>10.42</v>
      </c>
      <c r="K1348">
        <v>331</v>
      </c>
      <c r="L1348">
        <v>86.371660000000006</v>
      </c>
      <c r="M1348">
        <v>92.8</v>
      </c>
      <c r="P1348">
        <v>-2.0239000410000001</v>
      </c>
      <c r="Q1348">
        <v>5041.0122350000001</v>
      </c>
      <c r="R1348">
        <v>2.56</v>
      </c>
      <c r="S1348">
        <v>349</v>
      </c>
      <c r="T1348">
        <v>12.1165</v>
      </c>
      <c r="U1348">
        <v>-61.679000000000002</v>
      </c>
    </row>
    <row r="1349" spans="1:21">
      <c r="A1349" t="s">
        <v>86</v>
      </c>
      <c r="B1349">
        <v>2002</v>
      </c>
      <c r="C1349">
        <v>8525.0370000000003</v>
      </c>
      <c r="D1349">
        <v>239.99999460000001</v>
      </c>
      <c r="E1349">
        <v>0.15</v>
      </c>
      <c r="F1349">
        <v>0</v>
      </c>
      <c r="G1349">
        <v>0</v>
      </c>
      <c r="H1349">
        <v>0</v>
      </c>
      <c r="I1349">
        <v>0</v>
      </c>
      <c r="J1349">
        <v>10.46</v>
      </c>
      <c r="K1349">
        <v>331</v>
      </c>
      <c r="L1349">
        <v>86.693510000000003</v>
      </c>
      <c r="M1349">
        <v>92.8</v>
      </c>
      <c r="P1349">
        <v>3.43732353</v>
      </c>
      <c r="Q1349">
        <v>5213.7956489999997</v>
      </c>
      <c r="R1349">
        <v>2.58</v>
      </c>
      <c r="S1349">
        <v>349</v>
      </c>
      <c r="T1349">
        <v>12.1165</v>
      </c>
      <c r="U1349">
        <v>-61.679000000000002</v>
      </c>
    </row>
    <row r="1350" spans="1:21">
      <c r="A1350" t="s">
        <v>86</v>
      </c>
      <c r="B1350">
        <v>2003</v>
      </c>
      <c r="C1350">
        <v>8976.2180000000008</v>
      </c>
      <c r="D1350">
        <v>250</v>
      </c>
      <c r="E1350">
        <v>0.16</v>
      </c>
      <c r="F1350">
        <v>0</v>
      </c>
      <c r="G1350">
        <v>0</v>
      </c>
      <c r="H1350">
        <v>0</v>
      </c>
      <c r="I1350">
        <v>0</v>
      </c>
      <c r="J1350">
        <v>10.44</v>
      </c>
      <c r="K1350">
        <v>331</v>
      </c>
      <c r="L1350">
        <v>87.010124000000005</v>
      </c>
      <c r="M1350">
        <v>93.1</v>
      </c>
      <c r="O1350">
        <v>460000</v>
      </c>
      <c r="P1350">
        <v>9.4639734309999994</v>
      </c>
      <c r="Q1350">
        <v>5682.7053779999997</v>
      </c>
      <c r="R1350">
        <v>2.5</v>
      </c>
      <c r="S1350">
        <v>349</v>
      </c>
      <c r="T1350">
        <v>12.1165</v>
      </c>
      <c r="U1350">
        <v>-61.679000000000002</v>
      </c>
    </row>
    <row r="1351" spans="1:21">
      <c r="A1351" t="s">
        <v>86</v>
      </c>
      <c r="B1351">
        <v>2004</v>
      </c>
      <c r="C1351">
        <v>8654.6640000000007</v>
      </c>
      <c r="D1351">
        <v>230.00000420000001</v>
      </c>
      <c r="E1351">
        <v>0.15</v>
      </c>
      <c r="F1351">
        <v>0</v>
      </c>
      <c r="G1351">
        <v>0</v>
      </c>
      <c r="H1351">
        <v>0</v>
      </c>
      <c r="I1351">
        <v>0</v>
      </c>
      <c r="J1351">
        <v>10.56</v>
      </c>
      <c r="K1351">
        <v>331</v>
      </c>
      <c r="L1351">
        <v>87.323845000000006</v>
      </c>
      <c r="M1351">
        <v>93.1</v>
      </c>
      <c r="P1351">
        <v>-0.64745031600000003</v>
      </c>
      <c r="Q1351">
        <v>5741.6536580000002</v>
      </c>
      <c r="R1351">
        <v>2.4500000000000002</v>
      </c>
      <c r="S1351">
        <v>349</v>
      </c>
      <c r="T1351">
        <v>12.1165</v>
      </c>
      <c r="U1351">
        <v>-61.679000000000002</v>
      </c>
    </row>
    <row r="1352" spans="1:21">
      <c r="A1352" t="s">
        <v>86</v>
      </c>
      <c r="B1352">
        <v>2005</v>
      </c>
      <c r="C1352">
        <v>9039.732</v>
      </c>
      <c r="D1352">
        <v>250</v>
      </c>
      <c r="E1352">
        <v>0.15</v>
      </c>
      <c r="F1352">
        <v>0</v>
      </c>
      <c r="G1352">
        <v>0</v>
      </c>
      <c r="H1352">
        <v>0</v>
      </c>
      <c r="I1352">
        <v>0</v>
      </c>
      <c r="J1352">
        <v>10.57</v>
      </c>
      <c r="K1352">
        <v>331</v>
      </c>
      <c r="L1352">
        <v>87.637039999999999</v>
      </c>
      <c r="M1352">
        <v>93.2</v>
      </c>
      <c r="P1352">
        <v>13.27618833</v>
      </c>
      <c r="Q1352">
        <v>6645.985549</v>
      </c>
      <c r="R1352">
        <v>2.27</v>
      </c>
      <c r="S1352">
        <v>349</v>
      </c>
      <c r="T1352">
        <v>12.1165</v>
      </c>
      <c r="U1352">
        <v>-61.679000000000002</v>
      </c>
    </row>
    <row r="1353" spans="1:21">
      <c r="A1353" t="s">
        <v>86</v>
      </c>
      <c r="B1353">
        <v>2006</v>
      </c>
      <c r="C1353">
        <v>9290.9290000000001</v>
      </c>
      <c r="D1353">
        <v>259.99999050000002</v>
      </c>
      <c r="E1353">
        <v>0.17</v>
      </c>
      <c r="F1353">
        <v>0</v>
      </c>
      <c r="G1353">
        <v>0</v>
      </c>
      <c r="H1353">
        <v>0</v>
      </c>
      <c r="I1353">
        <v>0</v>
      </c>
      <c r="J1353">
        <v>10.36</v>
      </c>
      <c r="K1353">
        <v>331</v>
      </c>
      <c r="L1353">
        <v>87.952100000000002</v>
      </c>
      <c r="M1353">
        <v>93.3</v>
      </c>
      <c r="P1353">
        <v>-3.995328244</v>
      </c>
      <c r="Q1353">
        <v>6658.2235860000001</v>
      </c>
      <c r="R1353">
        <v>2.4500000000000002</v>
      </c>
      <c r="S1353">
        <v>349</v>
      </c>
      <c r="T1353">
        <v>12.1165</v>
      </c>
      <c r="U1353">
        <v>-61.679000000000002</v>
      </c>
    </row>
    <row r="1354" spans="1:21">
      <c r="A1354" t="s">
        <v>86</v>
      </c>
      <c r="B1354">
        <v>2007</v>
      </c>
      <c r="C1354">
        <v>9798.6759999999995</v>
      </c>
      <c r="D1354">
        <v>280.00000119999999</v>
      </c>
      <c r="E1354">
        <v>0.18</v>
      </c>
      <c r="F1354">
        <v>0</v>
      </c>
      <c r="G1354">
        <v>0</v>
      </c>
      <c r="H1354">
        <v>0</v>
      </c>
      <c r="I1354">
        <v>0</v>
      </c>
      <c r="J1354">
        <v>9.9</v>
      </c>
      <c r="K1354">
        <v>331</v>
      </c>
      <c r="L1354">
        <v>88.271680000000003</v>
      </c>
      <c r="M1354">
        <v>93.2</v>
      </c>
      <c r="P1354">
        <v>6.1234509470000003</v>
      </c>
      <c r="Q1354">
        <v>7212.9868189999997</v>
      </c>
      <c r="R1354">
        <v>2.44</v>
      </c>
      <c r="S1354">
        <v>349</v>
      </c>
      <c r="T1354">
        <v>12.1165</v>
      </c>
      <c r="U1354">
        <v>-61.679000000000002</v>
      </c>
    </row>
    <row r="1355" spans="1:21">
      <c r="A1355" t="s">
        <v>86</v>
      </c>
      <c r="B1355">
        <v>2008</v>
      </c>
      <c r="C1355">
        <v>10349.056</v>
      </c>
      <c r="D1355">
        <v>289.99999170000001</v>
      </c>
      <c r="E1355">
        <v>0.19</v>
      </c>
      <c r="F1355">
        <v>0</v>
      </c>
      <c r="G1355">
        <v>0</v>
      </c>
      <c r="H1355">
        <v>0</v>
      </c>
      <c r="I1355">
        <v>1.41</v>
      </c>
      <c r="J1355">
        <v>10.69</v>
      </c>
      <c r="K1355">
        <v>331</v>
      </c>
      <c r="L1355">
        <v>90</v>
      </c>
      <c r="M1355">
        <v>93.2</v>
      </c>
      <c r="P1355">
        <v>0.94754262499999997</v>
      </c>
      <c r="Q1355">
        <v>7832.3490810000003</v>
      </c>
      <c r="R1355">
        <v>2.52</v>
      </c>
      <c r="S1355">
        <v>349</v>
      </c>
      <c r="T1355">
        <v>12.1165</v>
      </c>
      <c r="U1355">
        <v>-61.679000000000002</v>
      </c>
    </row>
    <row r="1356" spans="1:21">
      <c r="A1356" t="s">
        <v>86</v>
      </c>
      <c r="B1356">
        <v>2009</v>
      </c>
      <c r="C1356">
        <v>9980.4794999999995</v>
      </c>
      <c r="D1356">
        <v>810.00000239999997</v>
      </c>
      <c r="E1356">
        <v>0.2</v>
      </c>
      <c r="F1356">
        <v>0</v>
      </c>
      <c r="G1356">
        <v>0</v>
      </c>
      <c r="H1356">
        <v>0</v>
      </c>
      <c r="I1356">
        <v>1.82</v>
      </c>
      <c r="J1356">
        <v>10.47</v>
      </c>
      <c r="K1356">
        <v>331</v>
      </c>
      <c r="L1356">
        <v>88.93526</v>
      </c>
      <c r="M1356">
        <v>92.9</v>
      </c>
      <c r="P1356">
        <v>-6.6132813480000001</v>
      </c>
      <c r="Q1356">
        <v>7290.834938</v>
      </c>
      <c r="R1356">
        <v>2.7</v>
      </c>
      <c r="S1356">
        <v>349</v>
      </c>
      <c r="T1356">
        <v>12.1165</v>
      </c>
      <c r="U1356">
        <v>-61.679000000000002</v>
      </c>
    </row>
    <row r="1357" spans="1:21">
      <c r="A1357" t="s">
        <v>86</v>
      </c>
      <c r="B1357">
        <v>2010</v>
      </c>
      <c r="C1357">
        <v>10297.715</v>
      </c>
      <c r="D1357">
        <v>289.99999170000001</v>
      </c>
      <c r="E1357">
        <v>0.2</v>
      </c>
      <c r="F1357">
        <v>0</v>
      </c>
      <c r="G1357">
        <v>0</v>
      </c>
      <c r="H1357">
        <v>0</v>
      </c>
      <c r="I1357">
        <v>2.44</v>
      </c>
      <c r="J1357">
        <v>10.53</v>
      </c>
      <c r="K1357">
        <v>331</v>
      </c>
      <c r="L1357">
        <v>89.284660000000002</v>
      </c>
      <c r="M1357">
        <v>92.7</v>
      </c>
      <c r="P1357">
        <v>-0.51126275399999999</v>
      </c>
      <c r="Q1357">
        <v>7258.166561</v>
      </c>
      <c r="R1357">
        <v>2.82</v>
      </c>
      <c r="S1357">
        <v>349</v>
      </c>
      <c r="T1357">
        <v>12.1165</v>
      </c>
      <c r="U1357">
        <v>-61.679000000000002</v>
      </c>
    </row>
    <row r="1358" spans="1:21">
      <c r="A1358" t="s">
        <v>86</v>
      </c>
      <c r="B1358">
        <v>2011</v>
      </c>
      <c r="C1358">
        <v>10196.200999999999</v>
      </c>
      <c r="D1358">
        <v>310.00000240000003</v>
      </c>
      <c r="E1358">
        <v>0.2</v>
      </c>
      <c r="F1358">
        <v>0</v>
      </c>
      <c r="G1358">
        <v>0</v>
      </c>
      <c r="H1358">
        <v>0</v>
      </c>
      <c r="I1358">
        <v>3.28</v>
      </c>
      <c r="J1358">
        <v>11.27</v>
      </c>
      <c r="K1358">
        <v>331</v>
      </c>
      <c r="L1358">
        <v>88.8</v>
      </c>
      <c r="M1358">
        <v>92.6</v>
      </c>
      <c r="O1358">
        <v>3090000</v>
      </c>
      <c r="P1358">
        <v>0.764976824</v>
      </c>
      <c r="Q1358">
        <v>7291.7416700000003</v>
      </c>
      <c r="R1358">
        <v>2.69</v>
      </c>
      <c r="S1358">
        <v>349</v>
      </c>
      <c r="T1358">
        <v>12.1165</v>
      </c>
      <c r="U1358">
        <v>-61.679000000000002</v>
      </c>
    </row>
    <row r="1359" spans="1:21">
      <c r="A1359" t="s">
        <v>86</v>
      </c>
      <c r="B1359">
        <v>2012</v>
      </c>
      <c r="C1359">
        <v>10296.617</v>
      </c>
      <c r="D1359">
        <v>409.99999639999999</v>
      </c>
      <c r="E1359">
        <v>0.19</v>
      </c>
      <c r="F1359">
        <v>0</v>
      </c>
      <c r="G1359">
        <v>0</v>
      </c>
      <c r="H1359">
        <v>0</v>
      </c>
      <c r="I1359">
        <v>3.65</v>
      </c>
      <c r="J1359">
        <v>11.38</v>
      </c>
      <c r="K1359">
        <v>331</v>
      </c>
      <c r="L1359">
        <v>90.032250000000005</v>
      </c>
      <c r="M1359">
        <v>92.2</v>
      </c>
      <c r="P1359">
        <v>-1.155143735</v>
      </c>
      <c r="Q1359">
        <v>7444.0890749999999</v>
      </c>
      <c r="R1359">
        <v>2.89</v>
      </c>
      <c r="S1359">
        <v>349</v>
      </c>
      <c r="T1359">
        <v>12.1165</v>
      </c>
      <c r="U1359">
        <v>-61.679000000000002</v>
      </c>
    </row>
    <row r="1360" spans="1:21">
      <c r="A1360" t="s">
        <v>86</v>
      </c>
      <c r="B1360">
        <v>2013</v>
      </c>
      <c r="C1360">
        <v>11516.319</v>
      </c>
      <c r="D1360">
        <v>319.99999279999997</v>
      </c>
      <c r="E1360">
        <v>0.19</v>
      </c>
      <c r="F1360">
        <v>0</v>
      </c>
      <c r="G1360">
        <v>0</v>
      </c>
      <c r="H1360">
        <v>0</v>
      </c>
      <c r="I1360">
        <v>5.5</v>
      </c>
      <c r="J1360">
        <v>10.92</v>
      </c>
      <c r="K1360">
        <v>331</v>
      </c>
      <c r="L1360">
        <v>90.434905999999998</v>
      </c>
      <c r="M1360">
        <v>91.7</v>
      </c>
      <c r="P1360">
        <v>2.3514187729999998</v>
      </c>
      <c r="Q1360">
        <v>7789.6323549999997</v>
      </c>
      <c r="R1360">
        <v>3.18</v>
      </c>
      <c r="S1360">
        <v>349</v>
      </c>
      <c r="T1360">
        <v>12.1165</v>
      </c>
      <c r="U1360">
        <v>-61.679000000000002</v>
      </c>
    </row>
    <row r="1361" spans="1:21">
      <c r="A1361" t="s">
        <v>86</v>
      </c>
      <c r="B1361">
        <v>2014</v>
      </c>
      <c r="C1361">
        <v>9650.67</v>
      </c>
      <c r="D1361">
        <v>250</v>
      </c>
      <c r="E1361">
        <v>0.19</v>
      </c>
      <c r="F1361">
        <v>0</v>
      </c>
      <c r="G1361">
        <v>0</v>
      </c>
      <c r="H1361">
        <v>0</v>
      </c>
      <c r="I1361">
        <v>7.14</v>
      </c>
      <c r="J1361">
        <v>11.26</v>
      </c>
      <c r="K1361">
        <v>331</v>
      </c>
      <c r="L1361">
        <v>90.855379999999997</v>
      </c>
      <c r="M1361">
        <v>91.5</v>
      </c>
      <c r="O1361">
        <v>110000</v>
      </c>
      <c r="P1361">
        <v>7.3440765219999999</v>
      </c>
      <c r="Q1361">
        <v>8370.0404720000006</v>
      </c>
      <c r="R1361">
        <v>2.36</v>
      </c>
      <c r="S1361">
        <v>349</v>
      </c>
      <c r="T1361">
        <v>12.1165</v>
      </c>
      <c r="U1361">
        <v>-61.679000000000002</v>
      </c>
    </row>
    <row r="1362" spans="1:21">
      <c r="A1362" t="s">
        <v>86</v>
      </c>
      <c r="B1362">
        <v>2015</v>
      </c>
      <c r="C1362">
        <v>9958.8780000000006</v>
      </c>
      <c r="D1362">
        <v>270.00001070000002</v>
      </c>
      <c r="E1362">
        <v>0.19</v>
      </c>
      <c r="F1362">
        <v>0</v>
      </c>
      <c r="G1362">
        <v>0</v>
      </c>
      <c r="H1362">
        <v>0</v>
      </c>
      <c r="I1362">
        <v>10.06</v>
      </c>
      <c r="J1362">
        <v>11.07</v>
      </c>
      <c r="K1362">
        <v>331</v>
      </c>
      <c r="L1362">
        <v>91.290689999999998</v>
      </c>
      <c r="M1362">
        <v>91.2</v>
      </c>
      <c r="O1362">
        <v>1740000</v>
      </c>
      <c r="P1362">
        <v>6.4431437330000003</v>
      </c>
      <c r="Q1362">
        <v>9096.5386519999993</v>
      </c>
      <c r="R1362">
        <v>2.44</v>
      </c>
      <c r="S1362">
        <v>349</v>
      </c>
      <c r="T1362">
        <v>12.1165</v>
      </c>
      <c r="U1362">
        <v>-61.679000000000002</v>
      </c>
    </row>
    <row r="1363" spans="1:21">
      <c r="A1363" t="s">
        <v>86</v>
      </c>
      <c r="B1363">
        <v>2016</v>
      </c>
      <c r="C1363">
        <v>10175.044</v>
      </c>
      <c r="D1363">
        <v>280.00000119999999</v>
      </c>
      <c r="E1363">
        <v>0.2</v>
      </c>
      <c r="F1363">
        <v>0</v>
      </c>
      <c r="G1363">
        <v>0</v>
      </c>
      <c r="H1363">
        <v>0</v>
      </c>
      <c r="I1363">
        <v>20.55</v>
      </c>
      <c r="J1363">
        <v>11.4</v>
      </c>
      <c r="K1363">
        <v>331</v>
      </c>
      <c r="L1363">
        <v>91.737870000000001</v>
      </c>
      <c r="M1363">
        <v>90.85</v>
      </c>
      <c r="P1363">
        <v>3.739651388</v>
      </c>
      <c r="Q1363">
        <v>9628.2591690000008</v>
      </c>
      <c r="R1363">
        <v>2.4</v>
      </c>
      <c r="S1363">
        <v>349</v>
      </c>
      <c r="T1363">
        <v>12.1165</v>
      </c>
      <c r="U1363">
        <v>-61.679000000000002</v>
      </c>
    </row>
    <row r="1364" spans="1:21">
      <c r="A1364" t="s">
        <v>86</v>
      </c>
      <c r="B1364">
        <v>2017</v>
      </c>
      <c r="C1364">
        <v>10974.273999999999</v>
      </c>
      <c r="D1364">
        <v>289.99999170000001</v>
      </c>
      <c r="E1364">
        <v>0.21</v>
      </c>
      <c r="F1364">
        <v>0</v>
      </c>
      <c r="G1364">
        <v>0</v>
      </c>
      <c r="H1364">
        <v>0</v>
      </c>
      <c r="I1364">
        <v>21.31</v>
      </c>
      <c r="J1364">
        <v>11.48</v>
      </c>
      <c r="K1364">
        <v>331</v>
      </c>
      <c r="L1364">
        <v>92.193954000000005</v>
      </c>
      <c r="M1364">
        <v>90.25</v>
      </c>
      <c r="O1364">
        <v>720000</v>
      </c>
      <c r="P1364">
        <v>4.4386756690000002</v>
      </c>
      <c r="Q1364">
        <v>10152.83281</v>
      </c>
      <c r="R1364">
        <v>2.38</v>
      </c>
      <c r="S1364">
        <v>349</v>
      </c>
      <c r="T1364">
        <v>12.1165</v>
      </c>
      <c r="U1364">
        <v>-61.679000000000002</v>
      </c>
    </row>
    <row r="1365" spans="1:21">
      <c r="A1365" t="s">
        <v>86</v>
      </c>
      <c r="B1365">
        <v>2018</v>
      </c>
      <c r="C1365">
        <v>10724.041999999999</v>
      </c>
      <c r="D1365">
        <v>319.99999279999997</v>
      </c>
      <c r="E1365">
        <v>0.21</v>
      </c>
      <c r="F1365">
        <v>0</v>
      </c>
      <c r="G1365">
        <v>0</v>
      </c>
      <c r="H1365">
        <v>0</v>
      </c>
      <c r="I1365">
        <v>24.54</v>
      </c>
      <c r="J1365">
        <v>10.69</v>
      </c>
      <c r="K1365">
        <v>331</v>
      </c>
      <c r="L1365">
        <v>92.3</v>
      </c>
      <c r="M1365">
        <v>89.9</v>
      </c>
      <c r="P1365">
        <v>4.2994053919999997</v>
      </c>
      <c r="Q1365">
        <v>10466.88221</v>
      </c>
      <c r="R1365">
        <v>2.54</v>
      </c>
      <c r="S1365">
        <v>349</v>
      </c>
      <c r="T1365">
        <v>12.1165</v>
      </c>
      <c r="U1365">
        <v>-61.679000000000002</v>
      </c>
    </row>
    <row r="1366" spans="1:21">
      <c r="A1366" t="s">
        <v>86</v>
      </c>
      <c r="B1366">
        <v>2019</v>
      </c>
      <c r="C1366">
        <v>10655.754000000001</v>
      </c>
      <c r="D1366">
        <v>330.00001309999999</v>
      </c>
      <c r="E1366">
        <v>0.21</v>
      </c>
      <c r="F1366">
        <v>0</v>
      </c>
      <c r="G1366">
        <v>0</v>
      </c>
      <c r="H1366">
        <v>0</v>
      </c>
      <c r="I1366">
        <v>29.95</v>
      </c>
      <c r="J1366">
        <v>10.37</v>
      </c>
      <c r="K1366">
        <v>331</v>
      </c>
      <c r="L1366">
        <v>93.120964000000001</v>
      </c>
      <c r="M1366">
        <v>89.6</v>
      </c>
      <c r="P1366">
        <v>0.73558270000000003</v>
      </c>
      <c r="Q1366">
        <v>10827.435289999999</v>
      </c>
      <c r="R1366">
        <v>2.68</v>
      </c>
      <c r="S1366">
        <v>349</v>
      </c>
      <c r="T1366">
        <v>12.1165</v>
      </c>
      <c r="U1366">
        <v>-61.679000000000002</v>
      </c>
    </row>
    <row r="1367" spans="1:21">
      <c r="A1367" t="s">
        <v>86</v>
      </c>
      <c r="B1367">
        <v>2020</v>
      </c>
      <c r="C1367">
        <v>8918.3770000000004</v>
      </c>
      <c r="E1367">
        <v>0.2</v>
      </c>
      <c r="F1367">
        <v>0</v>
      </c>
      <c r="G1367">
        <v>0</v>
      </c>
      <c r="H1367">
        <v>0</v>
      </c>
      <c r="I1367">
        <v>29.81</v>
      </c>
      <c r="K1367">
        <v>331</v>
      </c>
      <c r="L1367">
        <v>93.586449999999999</v>
      </c>
      <c r="M1367">
        <v>89.1</v>
      </c>
      <c r="P1367">
        <v>-13.707730679999999</v>
      </c>
      <c r="Q1367">
        <v>9261.5518759999995</v>
      </c>
      <c r="S1367">
        <v>349</v>
      </c>
      <c r="T1367">
        <v>12.1165</v>
      </c>
      <c r="U1367">
        <v>-61.679000000000002</v>
      </c>
    </row>
    <row r="1368" spans="1:21">
      <c r="A1368" t="s">
        <v>87</v>
      </c>
      <c r="B1368">
        <v>2000</v>
      </c>
      <c r="C1368">
        <v>4058.5439999999999</v>
      </c>
      <c r="D1368">
        <v>9420</v>
      </c>
      <c r="E1368">
        <v>2.84</v>
      </c>
      <c r="F1368">
        <v>0</v>
      </c>
      <c r="G1368">
        <v>3.19</v>
      </c>
      <c r="H1368">
        <v>52.902152999999998</v>
      </c>
      <c r="I1368">
        <v>62.27</v>
      </c>
      <c r="J1368">
        <v>62.75</v>
      </c>
      <c r="K1368">
        <v>167</v>
      </c>
      <c r="L1368">
        <v>73.318209999999993</v>
      </c>
      <c r="M1368">
        <v>40.549999999999997</v>
      </c>
      <c r="P1368">
        <v>3.608868717</v>
      </c>
      <c r="Q1368">
        <v>1664.2989580000001</v>
      </c>
      <c r="R1368">
        <v>4</v>
      </c>
      <c r="S1368">
        <v>108889</v>
      </c>
      <c r="T1368">
        <v>15.783471</v>
      </c>
      <c r="U1368">
        <v>-90.230759000000006</v>
      </c>
    </row>
    <row r="1369" spans="1:21">
      <c r="A1369" t="s">
        <v>87</v>
      </c>
      <c r="B1369">
        <v>2001</v>
      </c>
      <c r="C1369">
        <v>4133.9459999999999</v>
      </c>
      <c r="D1369">
        <v>9810</v>
      </c>
      <c r="E1369">
        <v>2.83</v>
      </c>
      <c r="F1369">
        <v>0</v>
      </c>
      <c r="G1369">
        <v>3</v>
      </c>
      <c r="H1369">
        <v>51.457977</v>
      </c>
      <c r="I1369">
        <v>63.35</v>
      </c>
      <c r="J1369">
        <v>61.35</v>
      </c>
      <c r="K1369">
        <v>167</v>
      </c>
      <c r="L1369">
        <v>73.732730000000004</v>
      </c>
      <c r="M1369">
        <v>39.700000000000003</v>
      </c>
      <c r="P1369">
        <v>2.3325748659999999</v>
      </c>
      <c r="Q1369">
        <v>1550.3603660000001</v>
      </c>
      <c r="R1369">
        <v>4.01</v>
      </c>
      <c r="S1369">
        <v>108889</v>
      </c>
      <c r="T1369">
        <v>15.783471</v>
      </c>
      <c r="U1369">
        <v>-90.230759000000006</v>
      </c>
    </row>
    <row r="1370" spans="1:21">
      <c r="A1370" t="s">
        <v>87</v>
      </c>
      <c r="B1370">
        <v>2002</v>
      </c>
      <c r="C1370">
        <v>4082.9360000000001</v>
      </c>
      <c r="D1370">
        <v>10470.00027</v>
      </c>
      <c r="E1370">
        <v>3.35</v>
      </c>
      <c r="F1370">
        <v>0</v>
      </c>
      <c r="G1370">
        <v>2.79</v>
      </c>
      <c r="H1370">
        <v>45.43974</v>
      </c>
      <c r="I1370">
        <v>63.21</v>
      </c>
      <c r="J1370">
        <v>63.84</v>
      </c>
      <c r="K1370">
        <v>167</v>
      </c>
      <c r="L1370">
        <v>78.667839999999998</v>
      </c>
      <c r="M1370">
        <v>39</v>
      </c>
      <c r="P1370">
        <v>3.8392870860000001</v>
      </c>
      <c r="Q1370">
        <v>1682.9945009999999</v>
      </c>
      <c r="R1370">
        <v>4.43</v>
      </c>
      <c r="S1370">
        <v>108889</v>
      </c>
      <c r="T1370">
        <v>15.783471</v>
      </c>
      <c r="U1370">
        <v>-90.230759000000006</v>
      </c>
    </row>
    <row r="1371" spans="1:21">
      <c r="A1371" t="s">
        <v>87</v>
      </c>
      <c r="B1371">
        <v>2003</v>
      </c>
      <c r="C1371">
        <v>4382.7969999999996</v>
      </c>
      <c r="D1371">
        <v>10539.999959999999</v>
      </c>
      <c r="E1371">
        <v>4.0999999999999996</v>
      </c>
      <c r="F1371">
        <v>0</v>
      </c>
      <c r="G1371">
        <v>3.55</v>
      </c>
      <c r="H1371">
        <v>46.405228000000001</v>
      </c>
      <c r="I1371">
        <v>63.81</v>
      </c>
      <c r="J1371">
        <v>64.37</v>
      </c>
      <c r="K1371">
        <v>167</v>
      </c>
      <c r="L1371">
        <v>78.512209999999996</v>
      </c>
      <c r="M1371">
        <v>38.200000000000003</v>
      </c>
      <c r="P1371">
        <v>2.5603776680000001</v>
      </c>
      <c r="Q1371">
        <v>1737.879287</v>
      </c>
      <c r="R1371">
        <v>4.4000000000000004</v>
      </c>
      <c r="S1371">
        <v>108889</v>
      </c>
      <c r="T1371">
        <v>15.783471</v>
      </c>
      <c r="U1371">
        <v>-90.230759000000006</v>
      </c>
    </row>
    <row r="1372" spans="1:21">
      <c r="A1372" t="s">
        <v>87</v>
      </c>
      <c r="B1372">
        <v>2004</v>
      </c>
      <c r="C1372">
        <v>4045.2959999999998</v>
      </c>
      <c r="D1372">
        <v>10750</v>
      </c>
      <c r="E1372">
        <v>3.45</v>
      </c>
      <c r="F1372">
        <v>0</v>
      </c>
      <c r="G1372">
        <v>3.29</v>
      </c>
      <c r="H1372">
        <v>48.813057000000001</v>
      </c>
      <c r="I1372">
        <v>66.66</v>
      </c>
      <c r="J1372">
        <v>66.17</v>
      </c>
      <c r="K1372">
        <v>167</v>
      </c>
      <c r="L1372">
        <v>77.22824</v>
      </c>
      <c r="M1372">
        <v>37.6</v>
      </c>
      <c r="P1372">
        <v>3.137916836</v>
      </c>
      <c r="Q1372">
        <v>1859.0983630000001</v>
      </c>
      <c r="R1372">
        <v>4.4000000000000004</v>
      </c>
      <c r="S1372">
        <v>108889</v>
      </c>
      <c r="T1372">
        <v>15.783471</v>
      </c>
      <c r="U1372">
        <v>-90.230759000000006</v>
      </c>
    </row>
    <row r="1373" spans="1:21">
      <c r="A1373" t="s">
        <v>87</v>
      </c>
      <c r="B1373">
        <v>2005</v>
      </c>
      <c r="C1373">
        <v>4087.143</v>
      </c>
      <c r="D1373">
        <v>11529.99973</v>
      </c>
      <c r="E1373">
        <v>4.3099999999999996</v>
      </c>
      <c r="F1373">
        <v>0</v>
      </c>
      <c r="G1373">
        <v>3.99</v>
      </c>
      <c r="H1373">
        <v>48.072290000000002</v>
      </c>
      <c r="I1373">
        <v>73.95</v>
      </c>
      <c r="J1373">
        <v>65.319999999999993</v>
      </c>
      <c r="K1373">
        <v>167</v>
      </c>
      <c r="L1373">
        <v>78.389206000000001</v>
      </c>
      <c r="M1373">
        <v>37.450000000000003</v>
      </c>
      <c r="O1373">
        <v>40000</v>
      </c>
      <c r="P1373">
        <v>3.2760269260000001</v>
      </c>
      <c r="Q1373">
        <v>2068.500129</v>
      </c>
      <c r="R1373">
        <v>4.3600000000000003</v>
      </c>
      <c r="S1373">
        <v>108889</v>
      </c>
      <c r="T1373">
        <v>15.783471</v>
      </c>
      <c r="U1373">
        <v>-90.230759000000006</v>
      </c>
    </row>
    <row r="1374" spans="1:21">
      <c r="A1374" t="s">
        <v>87</v>
      </c>
      <c r="B1374">
        <v>2006</v>
      </c>
      <c r="C1374">
        <v>4242.915</v>
      </c>
      <c r="D1374">
        <v>11520.000459999999</v>
      </c>
      <c r="E1374">
        <v>3.68</v>
      </c>
      <c r="F1374">
        <v>0</v>
      </c>
      <c r="G1374">
        <v>4.6100000000000003</v>
      </c>
      <c r="H1374">
        <v>55.609169999999999</v>
      </c>
      <c r="I1374">
        <v>82.38</v>
      </c>
      <c r="J1374">
        <v>64.81</v>
      </c>
      <c r="K1374">
        <v>167</v>
      </c>
      <c r="L1374">
        <v>83.730994999999993</v>
      </c>
      <c r="M1374">
        <v>37.299999999999997</v>
      </c>
      <c r="O1374">
        <v>0</v>
      </c>
      <c r="P1374">
        <v>5.3513977869999998</v>
      </c>
      <c r="Q1374">
        <v>2251.0879629999999</v>
      </c>
      <c r="R1374">
        <v>4.17</v>
      </c>
      <c r="S1374">
        <v>108889</v>
      </c>
      <c r="T1374">
        <v>15.783471</v>
      </c>
      <c r="U1374">
        <v>-90.230759000000006</v>
      </c>
    </row>
    <row r="1375" spans="1:21">
      <c r="A1375" t="s">
        <v>87</v>
      </c>
      <c r="B1375">
        <v>2007</v>
      </c>
      <c r="C1375">
        <v>4454.0240000000003</v>
      </c>
      <c r="D1375">
        <v>12409.99985</v>
      </c>
      <c r="E1375">
        <v>4.4400000000000004</v>
      </c>
      <c r="F1375">
        <v>0</v>
      </c>
      <c r="G1375">
        <v>4.58</v>
      </c>
      <c r="H1375">
        <v>50.776049999999998</v>
      </c>
      <c r="I1375">
        <v>82.97</v>
      </c>
      <c r="J1375">
        <v>63.36</v>
      </c>
      <c r="K1375">
        <v>167</v>
      </c>
      <c r="L1375">
        <v>80.719406000000006</v>
      </c>
      <c r="M1375">
        <v>37.1</v>
      </c>
      <c r="P1375">
        <v>6.33771869</v>
      </c>
      <c r="Q1375">
        <v>2490.749127</v>
      </c>
      <c r="R1375">
        <v>4.2</v>
      </c>
      <c r="S1375">
        <v>108889</v>
      </c>
      <c r="T1375">
        <v>15.783471</v>
      </c>
      <c r="U1375">
        <v>-90.230759000000006</v>
      </c>
    </row>
    <row r="1376" spans="1:21">
      <c r="A1376" t="s">
        <v>87</v>
      </c>
      <c r="B1376">
        <v>2008</v>
      </c>
      <c r="C1376">
        <v>4052.9337999999998</v>
      </c>
      <c r="D1376">
        <v>11239.99977</v>
      </c>
      <c r="E1376">
        <v>3.39</v>
      </c>
      <c r="F1376">
        <v>0</v>
      </c>
      <c r="G1376">
        <v>5.05</v>
      </c>
      <c r="H1376">
        <v>59.834130000000002</v>
      </c>
      <c r="I1376">
        <v>84.38</v>
      </c>
      <c r="J1376">
        <v>66.59</v>
      </c>
      <c r="K1376">
        <v>167</v>
      </c>
      <c r="L1376">
        <v>81.894000000000005</v>
      </c>
      <c r="M1376">
        <v>37.1</v>
      </c>
      <c r="O1376">
        <v>60000</v>
      </c>
      <c r="P1376">
        <v>3.2935240000000001</v>
      </c>
      <c r="Q1376">
        <v>2802.4619619999999</v>
      </c>
      <c r="R1376">
        <v>3.96</v>
      </c>
      <c r="S1376">
        <v>108889</v>
      </c>
      <c r="T1376">
        <v>15.783471</v>
      </c>
      <c r="U1376">
        <v>-90.230759000000006</v>
      </c>
    </row>
    <row r="1377" spans="1:21">
      <c r="A1377" t="s">
        <v>87</v>
      </c>
      <c r="B1377">
        <v>2009</v>
      </c>
      <c r="C1377">
        <v>4154.5219999999999</v>
      </c>
      <c r="D1377">
        <v>11850.000379999999</v>
      </c>
      <c r="E1377">
        <v>4.04</v>
      </c>
      <c r="F1377">
        <v>0</v>
      </c>
      <c r="G1377">
        <v>4.5</v>
      </c>
      <c r="H1377">
        <v>52.693207000000001</v>
      </c>
      <c r="I1377">
        <v>84.25</v>
      </c>
      <c r="J1377">
        <v>65.349999999999994</v>
      </c>
      <c r="K1377">
        <v>167</v>
      </c>
      <c r="L1377">
        <v>83.078530000000001</v>
      </c>
      <c r="M1377">
        <v>37.4</v>
      </c>
      <c r="O1377">
        <v>20000</v>
      </c>
      <c r="P1377">
        <v>0.47689810700000002</v>
      </c>
      <c r="Q1377">
        <v>2651.8171229999998</v>
      </c>
      <c r="R1377">
        <v>4.22</v>
      </c>
      <c r="S1377">
        <v>108889</v>
      </c>
      <c r="T1377">
        <v>15.783471</v>
      </c>
      <c r="U1377">
        <v>-90.230759000000006</v>
      </c>
    </row>
    <row r="1378" spans="1:21">
      <c r="A1378" t="s">
        <v>87</v>
      </c>
      <c r="B1378">
        <v>2010</v>
      </c>
      <c r="C1378">
        <v>4004.3474000000001</v>
      </c>
      <c r="D1378">
        <v>11439.99958</v>
      </c>
      <c r="E1378">
        <v>2.96</v>
      </c>
      <c r="F1378">
        <v>0</v>
      </c>
      <c r="G1378">
        <v>5.03</v>
      </c>
      <c r="H1378">
        <v>62.953696999999998</v>
      </c>
      <c r="I1378">
        <v>89.61</v>
      </c>
      <c r="J1378">
        <v>67.17</v>
      </c>
      <c r="K1378">
        <v>167</v>
      </c>
      <c r="L1378">
        <v>84.275710000000004</v>
      </c>
      <c r="M1378">
        <v>38.1</v>
      </c>
      <c r="O1378">
        <v>9610000</v>
      </c>
      <c r="P1378">
        <v>2.8841754279999998</v>
      </c>
      <c r="Q1378">
        <v>2852.5473270000002</v>
      </c>
      <c r="R1378">
        <v>4.1399999999999997</v>
      </c>
      <c r="S1378">
        <v>108889</v>
      </c>
      <c r="T1378">
        <v>15.783471</v>
      </c>
      <c r="U1378">
        <v>-90.230759000000006</v>
      </c>
    </row>
    <row r="1379" spans="1:21">
      <c r="A1379" t="s">
        <v>87</v>
      </c>
      <c r="B1379">
        <v>2011</v>
      </c>
      <c r="C1379">
        <v>4004.556</v>
      </c>
      <c r="D1379">
        <v>11739.99977</v>
      </c>
      <c r="E1379">
        <v>3.02</v>
      </c>
      <c r="F1379">
        <v>0</v>
      </c>
      <c r="G1379">
        <v>5.26</v>
      </c>
      <c r="H1379">
        <v>63.526572999999999</v>
      </c>
      <c r="I1379">
        <v>89.69</v>
      </c>
      <c r="J1379">
        <v>67.19</v>
      </c>
      <c r="K1379">
        <v>167</v>
      </c>
      <c r="L1379">
        <v>84.026409999999998</v>
      </c>
      <c r="M1379">
        <v>38.4</v>
      </c>
      <c r="O1379">
        <v>4330000</v>
      </c>
      <c r="P1379">
        <v>4.1639068830000001</v>
      </c>
      <c r="Q1379">
        <v>3228.0457409999999</v>
      </c>
      <c r="R1379">
        <v>4.0599999999999996</v>
      </c>
      <c r="S1379">
        <v>108889</v>
      </c>
      <c r="T1379">
        <v>15.783471</v>
      </c>
      <c r="U1379">
        <v>-90.230759000000006</v>
      </c>
    </row>
    <row r="1380" spans="1:21">
      <c r="A1380" t="s">
        <v>87</v>
      </c>
      <c r="B1380">
        <v>2012</v>
      </c>
      <c r="C1380">
        <v>4204.2529999999997</v>
      </c>
      <c r="D1380">
        <v>12149.999620000001</v>
      </c>
      <c r="E1380">
        <v>3.38</v>
      </c>
      <c r="F1380">
        <v>0</v>
      </c>
      <c r="G1380">
        <v>5.94</v>
      </c>
      <c r="H1380">
        <v>63.733905999999998</v>
      </c>
      <c r="I1380">
        <v>99.19</v>
      </c>
      <c r="J1380">
        <v>67.45</v>
      </c>
      <c r="K1380">
        <v>167</v>
      </c>
      <c r="L1380">
        <v>86.718860000000006</v>
      </c>
      <c r="M1380">
        <v>39.200000000000003</v>
      </c>
      <c r="O1380">
        <v>8420000</v>
      </c>
      <c r="P1380">
        <v>2.9747085680000001</v>
      </c>
      <c r="Q1380">
        <v>3355.0369190000001</v>
      </c>
      <c r="R1380">
        <v>4.13</v>
      </c>
      <c r="S1380">
        <v>108889</v>
      </c>
      <c r="T1380">
        <v>15.783471</v>
      </c>
      <c r="U1380">
        <v>-90.230759000000006</v>
      </c>
    </row>
    <row r="1381" spans="1:21">
      <c r="A1381" t="s">
        <v>87</v>
      </c>
      <c r="B1381">
        <v>2013</v>
      </c>
      <c r="C1381">
        <v>4409.6170000000002</v>
      </c>
      <c r="D1381">
        <v>13000</v>
      </c>
      <c r="E1381">
        <v>3.63</v>
      </c>
      <c r="F1381">
        <v>0</v>
      </c>
      <c r="G1381">
        <v>6.44</v>
      </c>
      <c r="H1381">
        <v>63.952334999999998</v>
      </c>
      <c r="I1381">
        <v>105.57</v>
      </c>
      <c r="J1381">
        <v>67.290000000000006</v>
      </c>
      <c r="K1381">
        <v>167</v>
      </c>
      <c r="L1381">
        <v>87.969290000000001</v>
      </c>
      <c r="M1381">
        <v>40.200000000000003</v>
      </c>
      <c r="O1381">
        <v>17640000</v>
      </c>
      <c r="P1381">
        <v>3.6948191989999999</v>
      </c>
      <c r="Q1381">
        <v>3522.7737059999999</v>
      </c>
      <c r="R1381">
        <v>4.09</v>
      </c>
      <c r="S1381">
        <v>108889</v>
      </c>
      <c r="T1381">
        <v>15.783471</v>
      </c>
      <c r="U1381">
        <v>-90.230759000000006</v>
      </c>
    </row>
    <row r="1382" spans="1:21">
      <c r="A1382" t="s">
        <v>87</v>
      </c>
      <c r="B1382">
        <v>2014</v>
      </c>
      <c r="C1382">
        <v>4562.1045000000004</v>
      </c>
      <c r="D1382">
        <v>13949.999809999999</v>
      </c>
      <c r="E1382">
        <v>3.83</v>
      </c>
      <c r="F1382">
        <v>0</v>
      </c>
      <c r="G1382">
        <v>6.86</v>
      </c>
      <c r="H1382">
        <v>64.172129999999996</v>
      </c>
      <c r="I1382">
        <v>111.46</v>
      </c>
      <c r="J1382">
        <v>66.36</v>
      </c>
      <c r="K1382">
        <v>167</v>
      </c>
      <c r="L1382">
        <v>85.494370000000004</v>
      </c>
      <c r="M1382">
        <v>41.6</v>
      </c>
      <c r="O1382">
        <v>630000</v>
      </c>
      <c r="P1382">
        <v>4.4439775829999997</v>
      </c>
      <c r="Q1382">
        <v>3779.6423359999999</v>
      </c>
      <c r="R1382">
        <v>4.08</v>
      </c>
      <c r="S1382">
        <v>108889</v>
      </c>
      <c r="T1382">
        <v>15.783471</v>
      </c>
      <c r="U1382">
        <v>-90.230759000000006</v>
      </c>
    </row>
    <row r="1383" spans="1:21">
      <c r="A1383" t="s">
        <v>87</v>
      </c>
      <c r="B1383">
        <v>2015</v>
      </c>
      <c r="C1383">
        <v>5002.62</v>
      </c>
      <c r="D1383">
        <v>16340.00015</v>
      </c>
      <c r="E1383">
        <v>4.72</v>
      </c>
      <c r="F1383">
        <v>0</v>
      </c>
      <c r="G1383">
        <v>6.71</v>
      </c>
      <c r="H1383">
        <v>58.705162000000001</v>
      </c>
      <c r="I1383">
        <v>134.03</v>
      </c>
      <c r="J1383">
        <v>63.4</v>
      </c>
      <c r="K1383">
        <v>167</v>
      </c>
      <c r="L1383">
        <v>90.520619999999994</v>
      </c>
      <c r="M1383">
        <v>42.7</v>
      </c>
      <c r="O1383">
        <v>20000</v>
      </c>
      <c r="P1383">
        <v>4.0921708160000003</v>
      </c>
      <c r="Q1383">
        <v>3994.6369129999998</v>
      </c>
      <c r="R1383">
        <v>4.16</v>
      </c>
      <c r="S1383">
        <v>108889</v>
      </c>
      <c r="T1383">
        <v>15.783471</v>
      </c>
      <c r="U1383">
        <v>-90.230759000000006</v>
      </c>
    </row>
    <row r="1384" spans="1:21">
      <c r="A1384" t="s">
        <v>87</v>
      </c>
      <c r="B1384">
        <v>2016</v>
      </c>
      <c r="C1384">
        <v>5357.6980000000003</v>
      </c>
      <c r="D1384">
        <v>17489.999769999999</v>
      </c>
      <c r="E1384">
        <v>4.88</v>
      </c>
      <c r="F1384">
        <v>0</v>
      </c>
      <c r="G1384">
        <v>7.16</v>
      </c>
      <c r="H1384">
        <v>59.468437000000002</v>
      </c>
      <c r="I1384">
        <v>160.83000000000001</v>
      </c>
      <c r="J1384">
        <v>63.34</v>
      </c>
      <c r="K1384">
        <v>167</v>
      </c>
      <c r="L1384">
        <v>91.815579999999997</v>
      </c>
      <c r="M1384">
        <v>44.3</v>
      </c>
      <c r="O1384">
        <v>13190000</v>
      </c>
      <c r="P1384">
        <v>2.677802555</v>
      </c>
      <c r="Q1384">
        <v>4173.3016660000003</v>
      </c>
      <c r="R1384">
        <v>4.37</v>
      </c>
      <c r="S1384">
        <v>108889</v>
      </c>
      <c r="T1384">
        <v>15.783471</v>
      </c>
      <c r="U1384">
        <v>-90.230759000000006</v>
      </c>
    </row>
    <row r="1385" spans="1:21">
      <c r="A1385" t="s">
        <v>87</v>
      </c>
      <c r="B1385">
        <v>2017</v>
      </c>
      <c r="C1385">
        <v>5708.0923000000003</v>
      </c>
      <c r="D1385">
        <v>16569.999690000001</v>
      </c>
      <c r="E1385">
        <v>3.92</v>
      </c>
      <c r="F1385">
        <v>0</v>
      </c>
      <c r="G1385">
        <v>8.76</v>
      </c>
      <c r="H1385">
        <v>69.085175000000007</v>
      </c>
      <c r="I1385">
        <v>162.75</v>
      </c>
      <c r="J1385">
        <v>65.09</v>
      </c>
      <c r="K1385">
        <v>167</v>
      </c>
      <c r="L1385">
        <v>93.3</v>
      </c>
      <c r="M1385">
        <v>45.7</v>
      </c>
      <c r="O1385">
        <v>860000</v>
      </c>
      <c r="P1385">
        <v>3.0798514909999999</v>
      </c>
      <c r="Q1385">
        <v>4454.0481499999996</v>
      </c>
      <c r="R1385">
        <v>4.24</v>
      </c>
      <c r="S1385">
        <v>108889</v>
      </c>
      <c r="T1385">
        <v>15.783471</v>
      </c>
      <c r="U1385">
        <v>-90.230759000000006</v>
      </c>
    </row>
    <row r="1386" spans="1:21">
      <c r="A1386" t="s">
        <v>87</v>
      </c>
      <c r="B1386">
        <v>2018</v>
      </c>
      <c r="C1386">
        <v>5774.4165000000003</v>
      </c>
      <c r="D1386">
        <v>18319.999690000001</v>
      </c>
      <c r="E1386">
        <v>5.08</v>
      </c>
      <c r="F1386">
        <v>0</v>
      </c>
      <c r="G1386">
        <v>9.0399999999999991</v>
      </c>
      <c r="H1386">
        <v>64.022670000000005</v>
      </c>
      <c r="I1386">
        <v>165.96</v>
      </c>
      <c r="J1386">
        <v>64.12</v>
      </c>
      <c r="K1386">
        <v>167</v>
      </c>
      <c r="L1386">
        <v>94.429239999999993</v>
      </c>
      <c r="M1386">
        <v>46.95</v>
      </c>
      <c r="O1386">
        <v>11450000</v>
      </c>
      <c r="P1386">
        <v>3.3220979970000002</v>
      </c>
      <c r="Q1386">
        <v>4478.4246460000004</v>
      </c>
      <c r="R1386">
        <v>4.25</v>
      </c>
      <c r="S1386">
        <v>108889</v>
      </c>
      <c r="T1386">
        <v>15.783471</v>
      </c>
      <c r="U1386">
        <v>-90.230759000000006</v>
      </c>
    </row>
    <row r="1387" spans="1:21">
      <c r="A1387" t="s">
        <v>87</v>
      </c>
      <c r="B1387">
        <v>2019</v>
      </c>
      <c r="C1387">
        <v>5851.7349999999997</v>
      </c>
      <c r="D1387">
        <v>19309.999469999999</v>
      </c>
      <c r="E1387">
        <v>5.51</v>
      </c>
      <c r="F1387">
        <v>0</v>
      </c>
      <c r="G1387">
        <v>8.3000000000000007</v>
      </c>
      <c r="H1387">
        <v>60.101376000000002</v>
      </c>
      <c r="I1387">
        <v>163.26</v>
      </c>
      <c r="J1387">
        <v>62.92</v>
      </c>
      <c r="K1387">
        <v>167</v>
      </c>
      <c r="L1387">
        <v>95.742003999999994</v>
      </c>
      <c r="M1387">
        <v>48.6</v>
      </c>
      <c r="O1387">
        <v>56590000</v>
      </c>
      <c r="P1387">
        <v>3.8668565749999999</v>
      </c>
      <c r="Q1387">
        <v>4638.634943</v>
      </c>
      <c r="R1387">
        <v>4.24</v>
      </c>
      <c r="S1387">
        <v>108889</v>
      </c>
      <c r="T1387">
        <v>15.783471</v>
      </c>
      <c r="U1387">
        <v>-90.230759000000006</v>
      </c>
    </row>
    <row r="1388" spans="1:21">
      <c r="A1388" t="s">
        <v>87</v>
      </c>
      <c r="B1388">
        <v>2020</v>
      </c>
      <c r="C1388">
        <v>5734.4775</v>
      </c>
      <c r="E1388">
        <v>4.41</v>
      </c>
      <c r="F1388">
        <v>0</v>
      </c>
      <c r="G1388">
        <v>9.01</v>
      </c>
      <c r="H1388">
        <v>67.138596000000007</v>
      </c>
      <c r="I1388">
        <v>160.21</v>
      </c>
      <c r="K1388">
        <v>167</v>
      </c>
      <c r="L1388">
        <v>97.055269999999993</v>
      </c>
      <c r="M1388">
        <v>50.1</v>
      </c>
      <c r="P1388">
        <v>-1.519328029</v>
      </c>
      <c r="Q1388">
        <v>4603.3396169999996</v>
      </c>
      <c r="S1388">
        <v>108889</v>
      </c>
      <c r="T1388">
        <v>15.783471</v>
      </c>
      <c r="U1388">
        <v>-90.230759000000006</v>
      </c>
    </row>
    <row r="1389" spans="1:21">
      <c r="A1389" t="s">
        <v>88</v>
      </c>
      <c r="B1389">
        <v>2000</v>
      </c>
      <c r="C1389">
        <v>933.22344999999996</v>
      </c>
      <c r="D1389">
        <v>1490</v>
      </c>
      <c r="E1389">
        <v>0.34</v>
      </c>
      <c r="F1389">
        <v>0</v>
      </c>
      <c r="G1389">
        <v>0.41</v>
      </c>
      <c r="H1389">
        <v>54.666668000000001</v>
      </c>
      <c r="I1389">
        <v>15.56</v>
      </c>
      <c r="J1389">
        <v>85.52</v>
      </c>
      <c r="K1389">
        <v>53</v>
      </c>
      <c r="L1389">
        <v>15.146257</v>
      </c>
      <c r="M1389">
        <v>0.7</v>
      </c>
      <c r="O1389">
        <v>220000</v>
      </c>
      <c r="P1389">
        <v>2.5030605619999999</v>
      </c>
      <c r="Q1389">
        <v>363.48227930000002</v>
      </c>
      <c r="R1389">
        <v>9.11</v>
      </c>
      <c r="S1389">
        <v>245857</v>
      </c>
      <c r="T1389">
        <v>9.9455869999999997</v>
      </c>
      <c r="U1389">
        <v>-9.6966450000000002</v>
      </c>
    </row>
    <row r="1390" spans="1:21">
      <c r="A1390" t="s">
        <v>88</v>
      </c>
      <c r="B1390">
        <v>2001</v>
      </c>
      <c r="C1390">
        <v>1009.3095</v>
      </c>
      <c r="D1390">
        <v>1570</v>
      </c>
      <c r="E1390">
        <v>0.39</v>
      </c>
      <c r="F1390">
        <v>0</v>
      </c>
      <c r="G1390">
        <v>0.55000000000000004</v>
      </c>
      <c r="H1390">
        <v>58.510640000000002</v>
      </c>
      <c r="I1390">
        <v>15.23</v>
      </c>
      <c r="J1390">
        <v>84.84</v>
      </c>
      <c r="K1390">
        <v>53</v>
      </c>
      <c r="L1390">
        <v>16.432383999999999</v>
      </c>
      <c r="M1390">
        <v>0.7</v>
      </c>
      <c r="O1390">
        <v>560000</v>
      </c>
      <c r="P1390">
        <v>3.6583464710000002</v>
      </c>
      <c r="Q1390">
        <v>336.15402069999999</v>
      </c>
      <c r="R1390">
        <v>8.9</v>
      </c>
      <c r="S1390">
        <v>245857</v>
      </c>
      <c r="T1390">
        <v>9.9455869999999997</v>
      </c>
      <c r="U1390">
        <v>-9.6966450000000002</v>
      </c>
    </row>
    <row r="1391" spans="1:21">
      <c r="A1391" t="s">
        <v>88</v>
      </c>
      <c r="B1391">
        <v>2002</v>
      </c>
      <c r="C1391">
        <v>1035.3723</v>
      </c>
      <c r="D1391">
        <v>1629.9999949999999</v>
      </c>
      <c r="E1391">
        <v>0.4</v>
      </c>
      <c r="F1391">
        <v>0</v>
      </c>
      <c r="G1391">
        <v>0.59</v>
      </c>
      <c r="H1391">
        <v>59.595954999999996</v>
      </c>
      <c r="I1391">
        <v>14.93</v>
      </c>
      <c r="J1391">
        <v>84.27</v>
      </c>
      <c r="K1391">
        <v>53</v>
      </c>
      <c r="L1391">
        <v>17.710926000000001</v>
      </c>
      <c r="M1391">
        <v>0.7</v>
      </c>
      <c r="O1391">
        <v>4910000</v>
      </c>
      <c r="P1391">
        <v>5.1646094659999999</v>
      </c>
      <c r="Q1391">
        <v>343.60263120000002</v>
      </c>
      <c r="R1391">
        <v>8.5500000000000007</v>
      </c>
      <c r="S1391">
        <v>245857</v>
      </c>
      <c r="T1391">
        <v>9.9455869999999997</v>
      </c>
      <c r="U1391">
        <v>-9.6966450000000002</v>
      </c>
    </row>
    <row r="1392" spans="1:21">
      <c r="A1392" t="s">
        <v>88</v>
      </c>
      <c r="B1392">
        <v>2003</v>
      </c>
      <c r="C1392">
        <v>983.64319999999998</v>
      </c>
      <c r="D1392">
        <v>1700.0000480000001</v>
      </c>
      <c r="E1392">
        <v>0.47</v>
      </c>
      <c r="F1392">
        <v>0</v>
      </c>
      <c r="G1392">
        <v>0.4</v>
      </c>
      <c r="H1392">
        <v>45.977012999999999</v>
      </c>
      <c r="I1392">
        <v>14.65</v>
      </c>
      <c r="J1392">
        <v>83.47</v>
      </c>
      <c r="K1392">
        <v>53</v>
      </c>
      <c r="L1392">
        <v>18.984231999999999</v>
      </c>
      <c r="M1392">
        <v>0.7</v>
      </c>
      <c r="P1392">
        <v>1.24860126</v>
      </c>
      <c r="Q1392">
        <v>393.73968989999997</v>
      </c>
      <c r="R1392">
        <v>8.5</v>
      </c>
      <c r="S1392">
        <v>245857</v>
      </c>
      <c r="T1392">
        <v>9.9455869999999997</v>
      </c>
      <c r="U1392">
        <v>-9.6966450000000002</v>
      </c>
    </row>
    <row r="1393" spans="1:21">
      <c r="A1393" t="s">
        <v>88</v>
      </c>
      <c r="B1393">
        <v>2004</v>
      </c>
      <c r="C1393">
        <v>1041.2670000000001</v>
      </c>
      <c r="D1393">
        <v>1769.9999809999999</v>
      </c>
      <c r="E1393">
        <v>0.39</v>
      </c>
      <c r="F1393">
        <v>0</v>
      </c>
      <c r="G1393">
        <v>0.55000000000000004</v>
      </c>
      <c r="H1393">
        <v>58.510640000000002</v>
      </c>
      <c r="I1393">
        <v>14.36</v>
      </c>
      <c r="J1393">
        <v>83.19</v>
      </c>
      <c r="K1393">
        <v>53</v>
      </c>
      <c r="L1393">
        <v>20.254652</v>
      </c>
      <c r="M1393">
        <v>0.7</v>
      </c>
      <c r="P1393">
        <v>2.3401173129999999</v>
      </c>
      <c r="Q1393">
        <v>407.30097590000003</v>
      </c>
      <c r="R1393">
        <v>8.43</v>
      </c>
      <c r="S1393">
        <v>245857</v>
      </c>
      <c r="T1393">
        <v>9.9455869999999997</v>
      </c>
      <c r="U1393">
        <v>-9.6966450000000002</v>
      </c>
    </row>
    <row r="1394" spans="1:21">
      <c r="A1394" t="s">
        <v>88</v>
      </c>
      <c r="B1394">
        <v>2005</v>
      </c>
      <c r="C1394">
        <v>1031.7405000000001</v>
      </c>
      <c r="D1394">
        <v>1830.000043</v>
      </c>
      <c r="E1394">
        <v>0.39</v>
      </c>
      <c r="F1394">
        <v>0</v>
      </c>
      <c r="G1394">
        <v>0.49</v>
      </c>
      <c r="H1394">
        <v>55.681820000000002</v>
      </c>
      <c r="I1394">
        <v>14.07</v>
      </c>
      <c r="J1394">
        <v>81.56</v>
      </c>
      <c r="K1394">
        <v>53</v>
      </c>
      <c r="L1394">
        <v>20.2</v>
      </c>
      <c r="M1394">
        <v>0.7</v>
      </c>
      <c r="P1394">
        <v>2.997272562</v>
      </c>
      <c r="Q1394">
        <v>322.41554000000002</v>
      </c>
      <c r="R1394">
        <v>8.25</v>
      </c>
      <c r="S1394">
        <v>245857</v>
      </c>
      <c r="T1394">
        <v>9.9455869999999997</v>
      </c>
      <c r="U1394">
        <v>-9.6966450000000002</v>
      </c>
    </row>
    <row r="1395" spans="1:21">
      <c r="A1395" t="s">
        <v>88</v>
      </c>
      <c r="B1395">
        <v>2006</v>
      </c>
      <c r="C1395">
        <v>1027.6909000000001</v>
      </c>
      <c r="D1395">
        <v>1899.9999760000001</v>
      </c>
      <c r="E1395">
        <v>0.39</v>
      </c>
      <c r="F1395">
        <v>0</v>
      </c>
      <c r="G1395">
        <v>0.46</v>
      </c>
      <c r="H1395">
        <v>54.117645000000003</v>
      </c>
      <c r="I1395">
        <v>13.78</v>
      </c>
      <c r="J1395">
        <v>81.06</v>
      </c>
      <c r="K1395">
        <v>53</v>
      </c>
      <c r="L1395">
        <v>22.796291</v>
      </c>
      <c r="M1395">
        <v>0.7</v>
      </c>
      <c r="O1395">
        <v>2490000</v>
      </c>
      <c r="P1395">
        <v>1.189613767</v>
      </c>
      <c r="Q1395">
        <v>453.40371329999999</v>
      </c>
      <c r="R1395">
        <v>8.23</v>
      </c>
      <c r="S1395">
        <v>245857</v>
      </c>
      <c r="T1395">
        <v>9.9455869999999997</v>
      </c>
      <c r="U1395">
        <v>-9.6966450000000002</v>
      </c>
    </row>
    <row r="1396" spans="1:21">
      <c r="A1396" t="s">
        <v>88</v>
      </c>
      <c r="B1396">
        <v>2007</v>
      </c>
      <c r="C1396">
        <v>1066.2617</v>
      </c>
      <c r="D1396">
        <v>1980.0000190000001</v>
      </c>
      <c r="E1396">
        <v>0.41</v>
      </c>
      <c r="F1396">
        <v>0</v>
      </c>
      <c r="G1396">
        <v>0.53</v>
      </c>
      <c r="H1396">
        <v>56.382976999999997</v>
      </c>
      <c r="I1396">
        <v>13.47</v>
      </c>
      <c r="J1396">
        <v>80.36</v>
      </c>
      <c r="K1396">
        <v>53</v>
      </c>
      <c r="L1396">
        <v>24.072569000000001</v>
      </c>
      <c r="M1396">
        <v>0.7</v>
      </c>
      <c r="O1396">
        <v>500000</v>
      </c>
      <c r="P1396">
        <v>6.8174732279999999</v>
      </c>
      <c r="Q1396">
        <v>659.992931</v>
      </c>
      <c r="R1396">
        <v>7.81</v>
      </c>
      <c r="S1396">
        <v>245857</v>
      </c>
      <c r="T1396">
        <v>9.9455869999999997</v>
      </c>
      <c r="U1396">
        <v>-9.6966450000000002</v>
      </c>
    </row>
    <row r="1397" spans="1:21">
      <c r="A1397" t="s">
        <v>88</v>
      </c>
      <c r="B1397">
        <v>2008</v>
      </c>
      <c r="C1397">
        <v>1051.0521000000001</v>
      </c>
      <c r="D1397">
        <v>2009.99999</v>
      </c>
      <c r="E1397">
        <v>0.44</v>
      </c>
      <c r="F1397">
        <v>0</v>
      </c>
      <c r="G1397">
        <v>0.52</v>
      </c>
      <c r="H1397">
        <v>54.166668000000001</v>
      </c>
      <c r="I1397">
        <v>13.17</v>
      </c>
      <c r="J1397">
        <v>80.150000000000006</v>
      </c>
      <c r="K1397">
        <v>53</v>
      </c>
      <c r="L1397">
        <v>25.356076999999999</v>
      </c>
      <c r="M1397">
        <v>0.7</v>
      </c>
      <c r="O1397">
        <v>10000</v>
      </c>
      <c r="P1397">
        <v>4.1330092729999999</v>
      </c>
      <c r="Q1397">
        <v>715.09652670000003</v>
      </c>
      <c r="R1397">
        <v>7.54</v>
      </c>
      <c r="S1397">
        <v>245857</v>
      </c>
      <c r="T1397">
        <v>9.9455869999999997</v>
      </c>
      <c r="U1397">
        <v>-9.6966450000000002</v>
      </c>
    </row>
    <row r="1398" spans="1:21">
      <c r="A1398" t="s">
        <v>88</v>
      </c>
      <c r="B1398">
        <v>2009</v>
      </c>
      <c r="C1398">
        <v>1076.7029</v>
      </c>
      <c r="D1398">
        <v>2119.9998860000001</v>
      </c>
      <c r="E1398">
        <v>0.44</v>
      </c>
      <c r="F1398">
        <v>0</v>
      </c>
      <c r="G1398">
        <v>0.52</v>
      </c>
      <c r="H1398">
        <v>54.166668000000001</v>
      </c>
      <c r="I1398">
        <v>12.93</v>
      </c>
      <c r="J1398">
        <v>79.25</v>
      </c>
      <c r="K1398">
        <v>53</v>
      </c>
      <c r="L1398">
        <v>26.649526999999999</v>
      </c>
      <c r="M1398">
        <v>0.7</v>
      </c>
      <c r="P1398">
        <v>-1.1226414849999999</v>
      </c>
      <c r="Q1398">
        <v>674.08548259999998</v>
      </c>
      <c r="R1398">
        <v>7.75</v>
      </c>
      <c r="S1398">
        <v>245857</v>
      </c>
      <c r="T1398">
        <v>9.9455869999999997</v>
      </c>
      <c r="U1398">
        <v>-9.6966450000000002</v>
      </c>
    </row>
    <row r="1399" spans="1:21">
      <c r="A1399" t="s">
        <v>88</v>
      </c>
      <c r="B1399">
        <v>2010</v>
      </c>
      <c r="C1399">
        <v>1202.3784000000001</v>
      </c>
      <c r="D1399">
        <v>2500</v>
      </c>
      <c r="E1399">
        <v>0.44</v>
      </c>
      <c r="F1399">
        <v>0</v>
      </c>
      <c r="G1399">
        <v>0.48</v>
      </c>
      <c r="H1399">
        <v>52.173912000000001</v>
      </c>
      <c r="I1399">
        <v>12.64</v>
      </c>
      <c r="J1399">
        <v>75.709999999999994</v>
      </c>
      <c r="K1399">
        <v>53</v>
      </c>
      <c r="L1399">
        <v>27.955624</v>
      </c>
      <c r="M1399">
        <v>0.7</v>
      </c>
      <c r="P1399">
        <v>4.8133628670000004</v>
      </c>
      <c r="Q1399">
        <v>672.42493039999999</v>
      </c>
      <c r="R1399">
        <v>7.71</v>
      </c>
      <c r="S1399">
        <v>245857</v>
      </c>
      <c r="T1399">
        <v>9.9455869999999997</v>
      </c>
      <c r="U1399">
        <v>-9.6966450000000002</v>
      </c>
    </row>
    <row r="1400" spans="1:21">
      <c r="A1400" t="s">
        <v>88</v>
      </c>
      <c r="B1400">
        <v>2011</v>
      </c>
      <c r="C1400">
        <v>1194.9142999999999</v>
      </c>
      <c r="D1400">
        <v>2619.9998860000001</v>
      </c>
      <c r="E1400">
        <v>0.44</v>
      </c>
      <c r="F1400">
        <v>0</v>
      </c>
      <c r="G1400">
        <v>0.41</v>
      </c>
      <c r="H1400">
        <v>48.235294000000003</v>
      </c>
      <c r="I1400">
        <v>12.36</v>
      </c>
      <c r="J1400">
        <v>74.75</v>
      </c>
      <c r="K1400">
        <v>53</v>
      </c>
      <c r="L1400">
        <v>29.277080000000002</v>
      </c>
      <c r="M1400">
        <v>0.8</v>
      </c>
      <c r="O1400">
        <v>366800000</v>
      </c>
      <c r="P1400">
        <v>5.6121081750000004</v>
      </c>
      <c r="Q1400">
        <v>651.1361134</v>
      </c>
      <c r="R1400">
        <v>7.39</v>
      </c>
      <c r="S1400">
        <v>245857</v>
      </c>
      <c r="T1400">
        <v>9.9455869999999997</v>
      </c>
      <c r="U1400">
        <v>-9.6966450000000002</v>
      </c>
    </row>
    <row r="1401" spans="1:21">
      <c r="A1401" t="s">
        <v>88</v>
      </c>
      <c r="B1401">
        <v>2012</v>
      </c>
      <c r="C1401">
        <v>1131.1559</v>
      </c>
      <c r="D1401">
        <v>2480.0000190000001</v>
      </c>
      <c r="E1401">
        <v>0.22</v>
      </c>
      <c r="F1401">
        <v>0</v>
      </c>
      <c r="G1401">
        <v>0.49</v>
      </c>
      <c r="H1401">
        <v>69.014083999999997</v>
      </c>
      <c r="I1401">
        <v>12.1</v>
      </c>
      <c r="J1401">
        <v>76.36</v>
      </c>
      <c r="K1401">
        <v>53</v>
      </c>
      <c r="L1401">
        <v>26.2</v>
      </c>
      <c r="M1401">
        <v>0.8</v>
      </c>
      <c r="O1401">
        <v>6000000</v>
      </c>
      <c r="P1401">
        <v>5.9152888839999997</v>
      </c>
      <c r="Q1401">
        <v>717.0505359</v>
      </c>
      <c r="R1401">
        <v>6.93</v>
      </c>
      <c r="S1401">
        <v>245857</v>
      </c>
      <c r="T1401">
        <v>9.9455869999999997</v>
      </c>
      <c r="U1401">
        <v>-9.6966450000000002</v>
      </c>
    </row>
    <row r="1402" spans="1:21">
      <c r="A1402" t="s">
        <v>88</v>
      </c>
      <c r="B1402">
        <v>2013</v>
      </c>
      <c r="C1402">
        <v>982.06682999999998</v>
      </c>
      <c r="D1402">
        <v>2180.0000669999999</v>
      </c>
      <c r="E1402">
        <v>0.16</v>
      </c>
      <c r="F1402">
        <v>0</v>
      </c>
      <c r="G1402">
        <v>0.48</v>
      </c>
      <c r="H1402">
        <v>75</v>
      </c>
      <c r="I1402">
        <v>12.08</v>
      </c>
      <c r="J1402">
        <v>78.53</v>
      </c>
      <c r="K1402">
        <v>53</v>
      </c>
      <c r="L1402">
        <v>31.975957999999999</v>
      </c>
      <c r="M1402">
        <v>0.8</v>
      </c>
      <c r="P1402">
        <v>3.9456838049999998</v>
      </c>
      <c r="Q1402">
        <v>769.00316669999995</v>
      </c>
      <c r="R1402">
        <v>6.49</v>
      </c>
      <c r="S1402">
        <v>245857</v>
      </c>
      <c r="T1402">
        <v>9.9455869999999997</v>
      </c>
      <c r="U1402">
        <v>-9.6966450000000002</v>
      </c>
    </row>
    <row r="1403" spans="1:21">
      <c r="A1403" t="s">
        <v>88</v>
      </c>
      <c r="B1403">
        <v>2014</v>
      </c>
      <c r="C1403">
        <v>990.09142999999995</v>
      </c>
      <c r="D1403">
        <v>2240.0000100000002</v>
      </c>
      <c r="E1403">
        <v>0.27</v>
      </c>
      <c r="F1403">
        <v>0</v>
      </c>
      <c r="G1403">
        <v>0.42</v>
      </c>
      <c r="H1403">
        <v>60.869563999999997</v>
      </c>
      <c r="I1403">
        <v>11.8</v>
      </c>
      <c r="J1403">
        <v>78.569999999999993</v>
      </c>
      <c r="K1403">
        <v>53</v>
      </c>
      <c r="L1403">
        <v>33.353119999999997</v>
      </c>
      <c r="M1403">
        <v>0.9</v>
      </c>
      <c r="O1403">
        <v>60000</v>
      </c>
      <c r="P1403">
        <v>3.6965418429999999</v>
      </c>
      <c r="Q1403">
        <v>787.23856439999997</v>
      </c>
      <c r="R1403">
        <v>6.35</v>
      </c>
      <c r="S1403">
        <v>245857</v>
      </c>
      <c r="T1403">
        <v>9.9455869999999997</v>
      </c>
      <c r="U1403">
        <v>-9.6966450000000002</v>
      </c>
    </row>
    <row r="1404" spans="1:21">
      <c r="A1404" t="s">
        <v>88</v>
      </c>
      <c r="B1404">
        <v>2015</v>
      </c>
      <c r="C1404">
        <v>1171.2322999999999</v>
      </c>
      <c r="D1404">
        <v>2539.9999619999999</v>
      </c>
      <c r="E1404">
        <v>0.24</v>
      </c>
      <c r="F1404">
        <v>0</v>
      </c>
      <c r="G1404">
        <v>0.9</v>
      </c>
      <c r="H1404">
        <v>78.947370000000006</v>
      </c>
      <c r="I1404">
        <v>33.369999999999997</v>
      </c>
      <c r="J1404">
        <v>76.23</v>
      </c>
      <c r="K1404">
        <v>53</v>
      </c>
      <c r="L1404">
        <v>34.74512</v>
      </c>
      <c r="M1404">
        <v>1</v>
      </c>
      <c r="O1404">
        <v>1190000</v>
      </c>
      <c r="P1404">
        <v>3.8259216669999998</v>
      </c>
      <c r="Q1404">
        <v>769.25547540000002</v>
      </c>
      <c r="R1404">
        <v>6.37</v>
      </c>
      <c r="S1404">
        <v>245857</v>
      </c>
      <c r="T1404">
        <v>9.9455869999999997</v>
      </c>
      <c r="U1404">
        <v>-9.6966450000000002</v>
      </c>
    </row>
    <row r="1405" spans="1:21">
      <c r="A1405" t="s">
        <v>88</v>
      </c>
      <c r="B1405">
        <v>2016</v>
      </c>
      <c r="C1405">
        <v>1285.7498000000001</v>
      </c>
      <c r="D1405">
        <v>2819.9999330000001</v>
      </c>
      <c r="E1405">
        <v>0.51</v>
      </c>
      <c r="F1405">
        <v>0</v>
      </c>
      <c r="G1405">
        <v>1.1000000000000001</v>
      </c>
      <c r="H1405">
        <v>68.322980000000001</v>
      </c>
      <c r="I1405">
        <v>32.5</v>
      </c>
      <c r="J1405">
        <v>75.290000000000006</v>
      </c>
      <c r="K1405">
        <v>53</v>
      </c>
      <c r="L1405">
        <v>33.5</v>
      </c>
      <c r="M1405">
        <v>1.1000000000000001</v>
      </c>
      <c r="O1405">
        <v>140760000</v>
      </c>
      <c r="P1405">
        <v>10.82062144</v>
      </c>
      <c r="Q1405">
        <v>732.29151190000005</v>
      </c>
      <c r="R1405">
        <v>5.91</v>
      </c>
      <c r="S1405">
        <v>245857</v>
      </c>
      <c r="T1405">
        <v>9.9455869999999997</v>
      </c>
      <c r="U1405">
        <v>-9.6966450000000002</v>
      </c>
    </row>
    <row r="1406" spans="1:21">
      <c r="A1406" t="s">
        <v>88</v>
      </c>
      <c r="B1406">
        <v>2017</v>
      </c>
      <c r="C1406">
        <v>1261.2085</v>
      </c>
      <c r="D1406">
        <v>3339.999914</v>
      </c>
      <c r="E1406">
        <v>0.54</v>
      </c>
      <c r="F1406">
        <v>0</v>
      </c>
      <c r="G1406">
        <v>1.23</v>
      </c>
      <c r="H1406">
        <v>69.491519999999994</v>
      </c>
      <c r="I1406">
        <v>31.62</v>
      </c>
      <c r="J1406">
        <v>71.959999999999994</v>
      </c>
      <c r="K1406">
        <v>53</v>
      </c>
      <c r="L1406">
        <v>35.4</v>
      </c>
      <c r="M1406">
        <v>1.2</v>
      </c>
      <c r="O1406">
        <v>130000</v>
      </c>
      <c r="P1406">
        <v>10.30000049</v>
      </c>
      <c r="Q1406">
        <v>855.57527059999995</v>
      </c>
      <c r="R1406">
        <v>5.66</v>
      </c>
      <c r="S1406">
        <v>245857</v>
      </c>
      <c r="T1406">
        <v>9.9455869999999997</v>
      </c>
      <c r="U1406">
        <v>-9.6966450000000002</v>
      </c>
    </row>
    <row r="1407" spans="1:21">
      <c r="A1407" t="s">
        <v>88</v>
      </c>
      <c r="B1407">
        <v>2018</v>
      </c>
      <c r="C1407">
        <v>1122.0997</v>
      </c>
      <c r="D1407">
        <v>3750</v>
      </c>
      <c r="E1407">
        <v>0.73</v>
      </c>
      <c r="F1407">
        <v>0</v>
      </c>
      <c r="G1407">
        <v>0.76</v>
      </c>
      <c r="H1407">
        <v>51.006709999999998</v>
      </c>
      <c r="I1407">
        <v>30.74</v>
      </c>
      <c r="J1407">
        <v>69.88</v>
      </c>
      <c r="K1407">
        <v>53</v>
      </c>
      <c r="L1407">
        <v>45</v>
      </c>
      <c r="M1407">
        <v>1.4</v>
      </c>
      <c r="O1407">
        <v>1139600000</v>
      </c>
      <c r="P1407">
        <v>6.3584919270000002</v>
      </c>
      <c r="Q1407">
        <v>955.11128110000004</v>
      </c>
      <c r="R1407">
        <v>5.51</v>
      </c>
      <c r="S1407">
        <v>245857</v>
      </c>
      <c r="T1407">
        <v>9.9455869999999997</v>
      </c>
      <c r="U1407">
        <v>-9.6966450000000002</v>
      </c>
    </row>
    <row r="1408" spans="1:21">
      <c r="A1408" t="s">
        <v>88</v>
      </c>
      <c r="B1408">
        <v>2019</v>
      </c>
      <c r="C1408">
        <v>1201.7898</v>
      </c>
      <c r="D1408">
        <v>3950.0000479999999</v>
      </c>
      <c r="E1408">
        <v>0.75</v>
      </c>
      <c r="F1408">
        <v>0</v>
      </c>
      <c r="G1408">
        <v>1.31</v>
      </c>
      <c r="H1408">
        <v>63.592236</v>
      </c>
      <c r="I1408">
        <v>29.88</v>
      </c>
      <c r="J1408">
        <v>65.44</v>
      </c>
      <c r="K1408">
        <v>53</v>
      </c>
      <c r="L1408">
        <v>42.2</v>
      </c>
      <c r="M1408">
        <v>1.6</v>
      </c>
      <c r="O1408">
        <v>819800000</v>
      </c>
      <c r="P1408">
        <v>5.6461755680000003</v>
      </c>
      <c r="Q1408">
        <v>1058.143368</v>
      </c>
      <c r="R1408">
        <v>5.57</v>
      </c>
      <c r="S1408">
        <v>245857</v>
      </c>
      <c r="T1408">
        <v>9.9455869999999997</v>
      </c>
      <c r="U1408">
        <v>-9.6966450000000002</v>
      </c>
    </row>
    <row r="1409" spans="1:21">
      <c r="A1409" t="s">
        <v>88</v>
      </c>
      <c r="B1409">
        <v>2020</v>
      </c>
      <c r="C1409">
        <v>1356.6587999999999</v>
      </c>
      <c r="E1409">
        <v>0.71</v>
      </c>
      <c r="F1409">
        <v>0</v>
      </c>
      <c r="G1409">
        <v>2.4900000000000002</v>
      </c>
      <c r="H1409">
        <v>77.8125</v>
      </c>
      <c r="I1409">
        <v>29.06</v>
      </c>
      <c r="K1409">
        <v>53</v>
      </c>
      <c r="L1409">
        <v>44.668680000000002</v>
      </c>
      <c r="M1409">
        <v>1.9</v>
      </c>
      <c r="P1409">
        <v>6.9885599709999999</v>
      </c>
      <c r="Q1409">
        <v>1194.037865</v>
      </c>
      <c r="S1409">
        <v>245857</v>
      </c>
      <c r="T1409">
        <v>9.9455869999999997</v>
      </c>
      <c r="U1409">
        <v>-9.6966450000000002</v>
      </c>
    </row>
    <row r="1410" spans="1:21">
      <c r="A1410" t="s">
        <v>89</v>
      </c>
      <c r="B1410">
        <v>2000</v>
      </c>
      <c r="C1410">
        <v>809.85490000000004</v>
      </c>
      <c r="D1410">
        <v>150</v>
      </c>
      <c r="E1410">
        <v>0.03</v>
      </c>
      <c r="F1410">
        <v>0</v>
      </c>
      <c r="G1410">
        <v>0</v>
      </c>
      <c r="H1410">
        <v>0</v>
      </c>
      <c r="I1410">
        <v>0</v>
      </c>
      <c r="J1410">
        <v>91.24</v>
      </c>
      <c r="K1410">
        <v>70</v>
      </c>
      <c r="M1410">
        <v>1.4</v>
      </c>
      <c r="P1410">
        <v>5.4269873669999997</v>
      </c>
      <c r="Q1410">
        <v>308.91031839999999</v>
      </c>
      <c r="R1410">
        <v>11.19</v>
      </c>
      <c r="S1410">
        <v>36125</v>
      </c>
      <c r="T1410">
        <v>11.803749</v>
      </c>
      <c r="U1410">
        <v>-15.180413</v>
      </c>
    </row>
    <row r="1411" spans="1:21">
      <c r="A1411" t="s">
        <v>89</v>
      </c>
      <c r="B1411">
        <v>2001</v>
      </c>
      <c r="C1411">
        <v>807.33745999999996</v>
      </c>
      <c r="D1411">
        <v>150</v>
      </c>
      <c r="E1411">
        <v>0.03</v>
      </c>
      <c r="F1411">
        <v>0</v>
      </c>
      <c r="G1411">
        <v>0</v>
      </c>
      <c r="H1411">
        <v>0</v>
      </c>
      <c r="I1411">
        <v>0</v>
      </c>
      <c r="J1411">
        <v>91.21</v>
      </c>
      <c r="K1411">
        <v>70</v>
      </c>
      <c r="M1411">
        <v>1.3</v>
      </c>
      <c r="O1411">
        <v>3340000</v>
      </c>
      <c r="P1411">
        <v>2.1889068150000002</v>
      </c>
      <c r="Q1411">
        <v>319.95744939999997</v>
      </c>
      <c r="R1411">
        <v>11.13</v>
      </c>
      <c r="S1411">
        <v>36125</v>
      </c>
      <c r="T1411">
        <v>11.803749</v>
      </c>
      <c r="U1411">
        <v>-15.180413</v>
      </c>
    </row>
    <row r="1412" spans="1:21">
      <c r="A1412" t="s">
        <v>89</v>
      </c>
      <c r="B1412">
        <v>2002</v>
      </c>
      <c r="C1412">
        <v>806.62469999999996</v>
      </c>
      <c r="D1412">
        <v>150.00000600000001</v>
      </c>
      <c r="E1412">
        <v>0.02</v>
      </c>
      <c r="F1412">
        <v>0</v>
      </c>
      <c r="G1412">
        <v>0</v>
      </c>
      <c r="H1412">
        <v>0</v>
      </c>
      <c r="I1412">
        <v>0</v>
      </c>
      <c r="J1412">
        <v>91.04</v>
      </c>
      <c r="K1412">
        <v>70</v>
      </c>
      <c r="L1412">
        <v>1.2537057</v>
      </c>
      <c r="M1412">
        <v>1.3</v>
      </c>
      <c r="O1412">
        <v>4560000</v>
      </c>
      <c r="P1412">
        <v>-0.985177525</v>
      </c>
      <c r="Q1412">
        <v>333.05857930000002</v>
      </c>
      <c r="R1412">
        <v>11.43</v>
      </c>
      <c r="S1412">
        <v>36125</v>
      </c>
      <c r="T1412">
        <v>11.803749</v>
      </c>
      <c r="U1412">
        <v>-15.180413</v>
      </c>
    </row>
    <row r="1413" spans="1:21">
      <c r="A1413" t="s">
        <v>89</v>
      </c>
      <c r="B1413">
        <v>2003</v>
      </c>
      <c r="C1413">
        <v>916.40905999999995</v>
      </c>
      <c r="D1413">
        <v>189.9999976</v>
      </c>
      <c r="E1413">
        <v>0.02</v>
      </c>
      <c r="F1413">
        <v>0</v>
      </c>
      <c r="G1413">
        <v>0</v>
      </c>
      <c r="H1413">
        <v>0</v>
      </c>
      <c r="I1413">
        <v>0</v>
      </c>
      <c r="J1413">
        <v>89.05</v>
      </c>
      <c r="K1413">
        <v>70</v>
      </c>
      <c r="L1413">
        <v>2.5914624000000002</v>
      </c>
      <c r="M1413">
        <v>1.2</v>
      </c>
      <c r="P1413">
        <v>0.56851017599999998</v>
      </c>
      <c r="Q1413">
        <v>372.05619489999998</v>
      </c>
      <c r="R1413">
        <v>11.79</v>
      </c>
      <c r="S1413">
        <v>36125</v>
      </c>
      <c r="T1413">
        <v>11.803749</v>
      </c>
      <c r="U1413">
        <v>-15.180413</v>
      </c>
    </row>
    <row r="1414" spans="1:21">
      <c r="A1414" t="s">
        <v>89</v>
      </c>
      <c r="B1414">
        <v>2004</v>
      </c>
      <c r="C1414">
        <v>926.11926000000005</v>
      </c>
      <c r="D1414">
        <v>200.00000299999999</v>
      </c>
      <c r="E1414">
        <v>0.03</v>
      </c>
      <c r="F1414">
        <v>0</v>
      </c>
      <c r="G1414">
        <v>0</v>
      </c>
      <c r="H1414">
        <v>0</v>
      </c>
      <c r="I1414">
        <v>0</v>
      </c>
      <c r="J1414">
        <v>88.55</v>
      </c>
      <c r="K1414">
        <v>70</v>
      </c>
      <c r="L1414">
        <v>3.9263327000000001</v>
      </c>
      <c r="M1414">
        <v>1.2</v>
      </c>
      <c r="O1414">
        <v>160000</v>
      </c>
      <c r="P1414">
        <v>2.76140199</v>
      </c>
      <c r="Q1414">
        <v>405.07511840000001</v>
      </c>
      <c r="R1414">
        <v>11.7</v>
      </c>
      <c r="S1414">
        <v>36125</v>
      </c>
      <c r="T1414">
        <v>11.803749</v>
      </c>
      <c r="U1414">
        <v>-15.180413</v>
      </c>
    </row>
    <row r="1415" spans="1:21">
      <c r="A1415" t="s">
        <v>89</v>
      </c>
      <c r="B1415">
        <v>2005</v>
      </c>
      <c r="C1415">
        <v>915.81470000000002</v>
      </c>
      <c r="D1415">
        <v>209.99999339999999</v>
      </c>
      <c r="E1415">
        <v>0.03</v>
      </c>
      <c r="F1415">
        <v>0</v>
      </c>
      <c r="G1415">
        <v>0</v>
      </c>
      <c r="H1415">
        <v>0</v>
      </c>
      <c r="I1415">
        <v>0</v>
      </c>
      <c r="J1415">
        <v>88.53</v>
      </c>
      <c r="K1415">
        <v>70</v>
      </c>
      <c r="L1415">
        <v>5.2606663999999999</v>
      </c>
      <c r="M1415">
        <v>1.2</v>
      </c>
      <c r="P1415">
        <v>4.2660989310000001</v>
      </c>
      <c r="Q1415">
        <v>436.47522020000002</v>
      </c>
      <c r="R1415">
        <v>11.39</v>
      </c>
      <c r="S1415">
        <v>36125</v>
      </c>
      <c r="T1415">
        <v>11.803749</v>
      </c>
      <c r="U1415">
        <v>-15.180413</v>
      </c>
    </row>
    <row r="1416" spans="1:21">
      <c r="A1416" t="s">
        <v>89</v>
      </c>
      <c r="B1416">
        <v>2006</v>
      </c>
      <c r="C1416">
        <v>913.91819999999996</v>
      </c>
      <c r="D1416">
        <v>219.99999879999999</v>
      </c>
      <c r="E1416">
        <v>0.03</v>
      </c>
      <c r="F1416">
        <v>0</v>
      </c>
      <c r="G1416">
        <v>0</v>
      </c>
      <c r="H1416">
        <v>0</v>
      </c>
      <c r="I1416">
        <v>0</v>
      </c>
      <c r="J1416">
        <v>88.29</v>
      </c>
      <c r="K1416">
        <v>70</v>
      </c>
      <c r="L1416">
        <v>14.536199999999999</v>
      </c>
      <c r="M1416">
        <v>1.2</v>
      </c>
      <c r="P1416">
        <v>2.3093579979999999</v>
      </c>
      <c r="Q1416">
        <v>430.00394030000001</v>
      </c>
      <c r="R1416">
        <v>11.32</v>
      </c>
      <c r="S1416">
        <v>36125</v>
      </c>
      <c r="T1416">
        <v>11.803749</v>
      </c>
      <c r="U1416">
        <v>-15.180413</v>
      </c>
    </row>
    <row r="1417" spans="1:21">
      <c r="A1417" t="s">
        <v>89</v>
      </c>
      <c r="B1417">
        <v>2007</v>
      </c>
      <c r="C1417">
        <v>946.61170000000004</v>
      </c>
      <c r="D1417">
        <v>230.00000420000001</v>
      </c>
      <c r="E1417">
        <v>0.03</v>
      </c>
      <c r="F1417">
        <v>0</v>
      </c>
      <c r="G1417">
        <v>0</v>
      </c>
      <c r="H1417">
        <v>0</v>
      </c>
      <c r="I1417">
        <v>0</v>
      </c>
      <c r="J1417">
        <v>87.9</v>
      </c>
      <c r="K1417">
        <v>70</v>
      </c>
      <c r="L1417">
        <v>7.9376005999999997</v>
      </c>
      <c r="M1417">
        <v>1.1000000000000001</v>
      </c>
      <c r="P1417">
        <v>3.2629554559999998</v>
      </c>
      <c r="Q1417">
        <v>493.72199319999999</v>
      </c>
      <c r="R1417">
        <v>11.2</v>
      </c>
      <c r="S1417">
        <v>36125</v>
      </c>
      <c r="T1417">
        <v>11.803749</v>
      </c>
      <c r="U1417">
        <v>-15.180413</v>
      </c>
    </row>
    <row r="1418" spans="1:21">
      <c r="A1418" t="s">
        <v>89</v>
      </c>
      <c r="B1418">
        <v>2008</v>
      </c>
      <c r="C1418">
        <v>898.46825999999999</v>
      </c>
      <c r="D1418">
        <v>219.99999879999999</v>
      </c>
      <c r="E1418">
        <v>0.03</v>
      </c>
      <c r="F1418">
        <v>0</v>
      </c>
      <c r="G1418">
        <v>0</v>
      </c>
      <c r="H1418">
        <v>0</v>
      </c>
      <c r="I1418">
        <v>0</v>
      </c>
      <c r="J1418">
        <v>88.42</v>
      </c>
      <c r="K1418">
        <v>70</v>
      </c>
      <c r="L1418">
        <v>9.2855600000000003</v>
      </c>
      <c r="M1418">
        <v>1.1000000000000001</v>
      </c>
      <c r="P1418">
        <v>3.2035673070000001</v>
      </c>
      <c r="Q1418">
        <v>599.99523720000002</v>
      </c>
      <c r="R1418">
        <v>10.95</v>
      </c>
      <c r="S1418">
        <v>36125</v>
      </c>
      <c r="T1418">
        <v>11.803749</v>
      </c>
      <c r="U1418">
        <v>-15.180413</v>
      </c>
    </row>
    <row r="1419" spans="1:21">
      <c r="A1419" t="s">
        <v>89</v>
      </c>
      <c r="B1419">
        <v>2009</v>
      </c>
      <c r="C1419">
        <v>907.22979999999995</v>
      </c>
      <c r="D1419">
        <v>230.00000420000001</v>
      </c>
      <c r="E1419">
        <v>0.03</v>
      </c>
      <c r="F1419">
        <v>0</v>
      </c>
      <c r="G1419">
        <v>0</v>
      </c>
      <c r="H1419">
        <v>0</v>
      </c>
      <c r="I1419">
        <v>0</v>
      </c>
      <c r="J1419">
        <v>87.89</v>
      </c>
      <c r="K1419">
        <v>70</v>
      </c>
      <c r="L1419">
        <v>4.7</v>
      </c>
      <c r="M1419">
        <v>1.1000000000000001</v>
      </c>
      <c r="O1419">
        <v>30000</v>
      </c>
      <c r="P1419">
        <v>3.3689749579999999</v>
      </c>
      <c r="Q1419">
        <v>559.41457089999994</v>
      </c>
      <c r="R1419">
        <v>10.8</v>
      </c>
      <c r="S1419">
        <v>36125</v>
      </c>
      <c r="T1419">
        <v>11.803749</v>
      </c>
      <c r="U1419">
        <v>-15.180413</v>
      </c>
    </row>
    <row r="1420" spans="1:21">
      <c r="A1420" t="s">
        <v>89</v>
      </c>
      <c r="B1420">
        <v>2010</v>
      </c>
      <c r="C1420">
        <v>907.23599999999999</v>
      </c>
      <c r="D1420">
        <v>239.99999460000001</v>
      </c>
      <c r="E1420">
        <v>0.03</v>
      </c>
      <c r="F1420">
        <v>0</v>
      </c>
      <c r="G1420">
        <v>0</v>
      </c>
      <c r="H1420">
        <v>0</v>
      </c>
      <c r="I1420">
        <v>0</v>
      </c>
      <c r="J1420">
        <v>87.81</v>
      </c>
      <c r="K1420">
        <v>70</v>
      </c>
      <c r="L1420">
        <v>6</v>
      </c>
      <c r="M1420">
        <v>1.1000000000000001</v>
      </c>
      <c r="O1420">
        <v>20000</v>
      </c>
      <c r="P1420">
        <v>4.6109708999999999</v>
      </c>
      <c r="Q1420">
        <v>558.17466809999996</v>
      </c>
      <c r="R1420">
        <v>10.49</v>
      </c>
      <c r="S1420">
        <v>36125</v>
      </c>
      <c r="T1420">
        <v>11.803749</v>
      </c>
      <c r="U1420">
        <v>-15.180413</v>
      </c>
    </row>
    <row r="1421" spans="1:21">
      <c r="A1421" t="s">
        <v>89</v>
      </c>
      <c r="B1421">
        <v>2011</v>
      </c>
      <c r="C1421">
        <v>896.62316999999996</v>
      </c>
      <c r="D1421">
        <v>239.99999460000001</v>
      </c>
      <c r="E1421">
        <v>0.03</v>
      </c>
      <c r="F1421">
        <v>0</v>
      </c>
      <c r="G1421">
        <v>0</v>
      </c>
      <c r="H1421">
        <v>0</v>
      </c>
      <c r="I1421">
        <v>0</v>
      </c>
      <c r="J1421">
        <v>87.87</v>
      </c>
      <c r="K1421">
        <v>70</v>
      </c>
      <c r="L1421">
        <v>13.399912</v>
      </c>
      <c r="M1421">
        <v>1.1000000000000001</v>
      </c>
      <c r="O1421">
        <v>220000</v>
      </c>
      <c r="P1421">
        <v>8.0847797339999996</v>
      </c>
      <c r="Q1421">
        <v>703.66056730000003</v>
      </c>
      <c r="R1421">
        <v>9.84</v>
      </c>
      <c r="S1421">
        <v>36125</v>
      </c>
      <c r="T1421">
        <v>11.803749</v>
      </c>
      <c r="U1421">
        <v>-15.180413</v>
      </c>
    </row>
    <row r="1422" spans="1:21">
      <c r="A1422" t="s">
        <v>89</v>
      </c>
      <c r="B1422">
        <v>2012</v>
      </c>
      <c r="C1422">
        <v>890.10126000000002</v>
      </c>
      <c r="D1422">
        <v>250</v>
      </c>
      <c r="E1422">
        <v>0.03</v>
      </c>
      <c r="F1422">
        <v>0</v>
      </c>
      <c r="G1422">
        <v>0</v>
      </c>
      <c r="H1422">
        <v>0</v>
      </c>
      <c r="I1422">
        <v>0</v>
      </c>
      <c r="J1422">
        <v>87.81</v>
      </c>
      <c r="K1422">
        <v>70</v>
      </c>
      <c r="L1422">
        <v>14.803884999999999</v>
      </c>
      <c r="M1422">
        <v>1.1000000000000001</v>
      </c>
      <c r="O1422">
        <v>100000</v>
      </c>
      <c r="P1422">
        <v>-1.7126830120000001</v>
      </c>
      <c r="Q1422">
        <v>616.37566400000003</v>
      </c>
      <c r="R1422">
        <v>10.14</v>
      </c>
      <c r="S1422">
        <v>36125</v>
      </c>
      <c r="T1422">
        <v>11.803749</v>
      </c>
      <c r="U1422">
        <v>-15.180413</v>
      </c>
    </row>
    <row r="1423" spans="1:21">
      <c r="A1423" t="s">
        <v>89</v>
      </c>
      <c r="B1423">
        <v>2013</v>
      </c>
      <c r="C1423">
        <v>886.97313999999994</v>
      </c>
      <c r="D1423">
        <v>250</v>
      </c>
      <c r="E1423">
        <v>0.03</v>
      </c>
      <c r="F1423">
        <v>0</v>
      </c>
      <c r="G1423">
        <v>0</v>
      </c>
      <c r="H1423">
        <v>0</v>
      </c>
      <c r="I1423">
        <v>0</v>
      </c>
      <c r="J1423">
        <v>87.71</v>
      </c>
      <c r="K1423">
        <v>70</v>
      </c>
      <c r="L1423">
        <v>16.227689999999999</v>
      </c>
      <c r="M1423">
        <v>1.1000000000000001</v>
      </c>
      <c r="O1423">
        <v>190000</v>
      </c>
      <c r="P1423">
        <v>3.2559042649999999</v>
      </c>
      <c r="Q1423">
        <v>634.66203910000002</v>
      </c>
      <c r="R1423">
        <v>9.9499999999999993</v>
      </c>
      <c r="S1423">
        <v>36125</v>
      </c>
      <c r="T1423">
        <v>11.803749</v>
      </c>
      <c r="U1423">
        <v>-15.180413</v>
      </c>
    </row>
    <row r="1424" spans="1:21">
      <c r="A1424" t="s">
        <v>89</v>
      </c>
      <c r="B1424">
        <v>2014</v>
      </c>
      <c r="C1424">
        <v>907.57749999999999</v>
      </c>
      <c r="D1424">
        <v>270.00001070000002</v>
      </c>
      <c r="E1424">
        <v>0.03</v>
      </c>
      <c r="F1424">
        <v>0</v>
      </c>
      <c r="G1424">
        <v>0</v>
      </c>
      <c r="H1424">
        <v>0</v>
      </c>
      <c r="I1424">
        <v>0</v>
      </c>
      <c r="J1424">
        <v>87.28</v>
      </c>
      <c r="K1424">
        <v>70</v>
      </c>
      <c r="L1424">
        <v>17.2</v>
      </c>
      <c r="M1424">
        <v>1.1000000000000001</v>
      </c>
      <c r="O1424">
        <v>200000</v>
      </c>
      <c r="P1424">
        <v>0.96456075100000005</v>
      </c>
      <c r="Q1424">
        <v>623.31309139999996</v>
      </c>
      <c r="R1424">
        <v>10.07</v>
      </c>
      <c r="S1424">
        <v>36125</v>
      </c>
      <c r="T1424">
        <v>11.803749</v>
      </c>
      <c r="U1424">
        <v>-15.180413</v>
      </c>
    </row>
    <row r="1425" spans="1:21">
      <c r="A1425" t="s">
        <v>89</v>
      </c>
      <c r="B1425">
        <v>2015</v>
      </c>
      <c r="C1425">
        <v>914.87689999999998</v>
      </c>
      <c r="D1425">
        <v>280.00000119999999</v>
      </c>
      <c r="E1425">
        <v>0.06</v>
      </c>
      <c r="F1425">
        <v>0</v>
      </c>
      <c r="G1425">
        <v>0</v>
      </c>
      <c r="H1425">
        <v>0</v>
      </c>
      <c r="I1425">
        <v>0.18</v>
      </c>
      <c r="J1425">
        <v>87.15</v>
      </c>
      <c r="K1425">
        <v>70</v>
      </c>
      <c r="L1425">
        <v>20.053153999999999</v>
      </c>
      <c r="M1425">
        <v>1.1000000000000001</v>
      </c>
      <c r="P1425">
        <v>6.134082941</v>
      </c>
      <c r="Q1425">
        <v>603.3993815</v>
      </c>
      <c r="R1425">
        <v>9.69</v>
      </c>
      <c r="S1425">
        <v>36125</v>
      </c>
      <c r="T1425">
        <v>11.803749</v>
      </c>
      <c r="U1425">
        <v>-15.180413</v>
      </c>
    </row>
    <row r="1426" spans="1:21">
      <c r="A1426" t="s">
        <v>89</v>
      </c>
      <c r="B1426">
        <v>2016</v>
      </c>
      <c r="C1426">
        <v>928.79552999999999</v>
      </c>
      <c r="D1426">
        <v>310.00000240000003</v>
      </c>
      <c r="E1426">
        <v>0.08</v>
      </c>
      <c r="F1426">
        <v>0</v>
      </c>
      <c r="G1426">
        <v>0</v>
      </c>
      <c r="H1426">
        <v>0</v>
      </c>
      <c r="I1426">
        <v>0.17</v>
      </c>
      <c r="J1426">
        <v>86.73</v>
      </c>
      <c r="K1426">
        <v>70</v>
      </c>
      <c r="L1426">
        <v>22.968792000000001</v>
      </c>
      <c r="M1426">
        <v>1.1000000000000001</v>
      </c>
      <c r="O1426">
        <v>410000</v>
      </c>
      <c r="P1426">
        <v>6.2628056379999997</v>
      </c>
      <c r="Q1426">
        <v>661.45783870000002</v>
      </c>
      <c r="R1426">
        <v>9.33</v>
      </c>
      <c r="S1426">
        <v>36125</v>
      </c>
      <c r="T1426">
        <v>11.803749</v>
      </c>
      <c r="U1426">
        <v>-15.180413</v>
      </c>
    </row>
    <row r="1427" spans="1:21">
      <c r="A1427" t="s">
        <v>89</v>
      </c>
      <c r="B1427">
        <v>2017</v>
      </c>
      <c r="C1427">
        <v>733.63170000000002</v>
      </c>
      <c r="D1427">
        <v>310.00000240000003</v>
      </c>
      <c r="E1427">
        <v>0.08</v>
      </c>
      <c r="F1427">
        <v>0</v>
      </c>
      <c r="G1427">
        <v>0</v>
      </c>
      <c r="H1427">
        <v>0</v>
      </c>
      <c r="I1427">
        <v>0.17</v>
      </c>
      <c r="J1427">
        <v>86.8</v>
      </c>
      <c r="K1427">
        <v>70</v>
      </c>
      <c r="L1427">
        <v>26</v>
      </c>
      <c r="M1427">
        <v>1.1000000000000001</v>
      </c>
      <c r="O1427">
        <v>3370000</v>
      </c>
      <c r="P1427">
        <v>5.9191766259999996</v>
      </c>
      <c r="Q1427">
        <v>738.54994490000001</v>
      </c>
      <c r="R1427">
        <v>8.91</v>
      </c>
      <c r="S1427">
        <v>36125</v>
      </c>
      <c r="T1427">
        <v>11.803749</v>
      </c>
      <c r="U1427">
        <v>-15.180413</v>
      </c>
    </row>
    <row r="1428" spans="1:21">
      <c r="A1428" t="s">
        <v>89</v>
      </c>
      <c r="B1428">
        <v>2018</v>
      </c>
      <c r="C1428">
        <v>719.80989999999997</v>
      </c>
      <c r="D1428">
        <v>319.99999279999997</v>
      </c>
      <c r="E1428">
        <v>0.08</v>
      </c>
      <c r="F1428">
        <v>0</v>
      </c>
      <c r="G1428">
        <v>0</v>
      </c>
      <c r="H1428">
        <v>0</v>
      </c>
      <c r="I1428">
        <v>0.62</v>
      </c>
      <c r="J1428">
        <v>86.59</v>
      </c>
      <c r="K1428">
        <v>70</v>
      </c>
      <c r="L1428">
        <v>28.495056000000002</v>
      </c>
      <c r="M1428">
        <v>1.2</v>
      </c>
      <c r="O1428">
        <v>4510000</v>
      </c>
      <c r="P1428">
        <v>1.283736703</v>
      </c>
      <c r="Q1428">
        <v>802.76738509999996</v>
      </c>
      <c r="R1428">
        <v>8.93</v>
      </c>
      <c r="S1428">
        <v>36125</v>
      </c>
      <c r="T1428">
        <v>11.803749</v>
      </c>
      <c r="U1428">
        <v>-15.180413</v>
      </c>
    </row>
    <row r="1429" spans="1:21">
      <c r="A1429" t="s">
        <v>89</v>
      </c>
      <c r="B1429">
        <v>2019</v>
      </c>
      <c r="C1429">
        <v>703.12729999999999</v>
      </c>
      <c r="D1429">
        <v>330.00001309999999</v>
      </c>
      <c r="E1429">
        <v>0.08</v>
      </c>
      <c r="F1429">
        <v>0</v>
      </c>
      <c r="G1429">
        <v>0</v>
      </c>
      <c r="H1429">
        <v>0</v>
      </c>
      <c r="I1429">
        <v>0.61</v>
      </c>
      <c r="J1429">
        <v>86.24</v>
      </c>
      <c r="K1429">
        <v>70</v>
      </c>
      <c r="L1429">
        <v>30.961556999999999</v>
      </c>
      <c r="M1429">
        <v>1</v>
      </c>
      <c r="O1429">
        <v>230000</v>
      </c>
      <c r="P1429">
        <v>4.4999999920000002</v>
      </c>
      <c r="Q1429">
        <v>749.45374700000002</v>
      </c>
      <c r="R1429">
        <v>8.59</v>
      </c>
      <c r="S1429">
        <v>36125</v>
      </c>
      <c r="T1429">
        <v>11.803749</v>
      </c>
      <c r="U1429">
        <v>-15.180413</v>
      </c>
    </row>
    <row r="1430" spans="1:21">
      <c r="A1430" t="s">
        <v>89</v>
      </c>
      <c r="B1430">
        <v>2020</v>
      </c>
      <c r="C1430">
        <v>656.34249999999997</v>
      </c>
      <c r="E1430">
        <v>0.08</v>
      </c>
      <c r="F1430">
        <v>0</v>
      </c>
      <c r="G1430">
        <v>0</v>
      </c>
      <c r="H1430">
        <v>0</v>
      </c>
      <c r="I1430">
        <v>0.59</v>
      </c>
      <c r="K1430">
        <v>70</v>
      </c>
      <c r="L1430">
        <v>33.335470000000001</v>
      </c>
      <c r="M1430">
        <v>1.1000000000000001</v>
      </c>
      <c r="P1430">
        <v>-2.3999999989999998</v>
      </c>
      <c r="Q1430">
        <v>727.52017169999999</v>
      </c>
      <c r="S1430">
        <v>36125</v>
      </c>
      <c r="T1430">
        <v>11.803749</v>
      </c>
      <c r="U1430">
        <v>-15.180413</v>
      </c>
    </row>
    <row r="1431" spans="1:21">
      <c r="A1431" t="s">
        <v>90</v>
      </c>
      <c r="B1431">
        <v>2000</v>
      </c>
      <c r="C1431">
        <v>9131.1779999999999</v>
      </c>
      <c r="D1431">
        <v>1660</v>
      </c>
      <c r="E1431">
        <v>0.82</v>
      </c>
      <c r="F1431">
        <v>0</v>
      </c>
      <c r="G1431">
        <v>0.06</v>
      </c>
      <c r="H1431">
        <v>6.8181820000000002</v>
      </c>
      <c r="I1431">
        <v>29.4</v>
      </c>
      <c r="J1431">
        <v>29.75</v>
      </c>
      <c r="K1431">
        <v>4</v>
      </c>
      <c r="L1431">
        <v>74.51728</v>
      </c>
      <c r="M1431">
        <v>35.6</v>
      </c>
      <c r="P1431">
        <v>-1.363803903</v>
      </c>
      <c r="Q1431">
        <v>954.40031810000005</v>
      </c>
      <c r="R1431">
        <v>5.78</v>
      </c>
      <c r="S1431">
        <v>214969</v>
      </c>
      <c r="T1431">
        <v>4.8604159999999998</v>
      </c>
      <c r="U1431">
        <v>-58.93018</v>
      </c>
    </row>
    <row r="1432" spans="1:21">
      <c r="A1432" t="s">
        <v>90</v>
      </c>
      <c r="B1432">
        <v>2001</v>
      </c>
      <c r="C1432">
        <v>8915.7360000000008</v>
      </c>
      <c r="D1432">
        <v>1640</v>
      </c>
      <c r="E1432">
        <v>0.85</v>
      </c>
      <c r="F1432">
        <v>0</v>
      </c>
      <c r="G1432">
        <v>0.06</v>
      </c>
      <c r="H1432">
        <v>6.5934059999999999</v>
      </c>
      <c r="I1432">
        <v>29.67</v>
      </c>
      <c r="J1432">
        <v>30.41</v>
      </c>
      <c r="K1432">
        <v>4</v>
      </c>
      <c r="L1432">
        <v>75.100740000000002</v>
      </c>
      <c r="M1432">
        <v>37.700000000000003</v>
      </c>
      <c r="O1432">
        <v>5030000</v>
      </c>
      <c r="P1432">
        <v>2.2795216589999998</v>
      </c>
      <c r="Q1432">
        <v>955.66538060000005</v>
      </c>
      <c r="R1432">
        <v>5.69</v>
      </c>
      <c r="S1432">
        <v>214969</v>
      </c>
      <c r="T1432">
        <v>4.8604159999999998</v>
      </c>
      <c r="U1432">
        <v>-58.93018</v>
      </c>
    </row>
    <row r="1433" spans="1:21">
      <c r="A1433" t="s">
        <v>90</v>
      </c>
      <c r="B1433">
        <v>2002</v>
      </c>
      <c r="C1433">
        <v>9012.3649999999998</v>
      </c>
      <c r="D1433">
        <v>1620.0000050000001</v>
      </c>
      <c r="E1433">
        <v>0.85</v>
      </c>
      <c r="F1433">
        <v>0</v>
      </c>
      <c r="G1433">
        <v>0.06</v>
      </c>
      <c r="H1433">
        <v>6.5934059999999999</v>
      </c>
      <c r="I1433">
        <v>29.89</v>
      </c>
      <c r="J1433">
        <v>33.729999999999997</v>
      </c>
      <c r="K1433">
        <v>4</v>
      </c>
      <c r="L1433">
        <v>75.676609999999997</v>
      </c>
      <c r="M1433">
        <v>39.9</v>
      </c>
      <c r="P1433">
        <v>1.132626962</v>
      </c>
      <c r="Q1433">
        <v>974.94919330000005</v>
      </c>
      <c r="R1433">
        <v>5.78</v>
      </c>
      <c r="S1433">
        <v>214969</v>
      </c>
      <c r="T1433">
        <v>4.8604159999999998</v>
      </c>
      <c r="U1433">
        <v>-58.93018</v>
      </c>
    </row>
    <row r="1434" spans="1:21">
      <c r="A1434" t="s">
        <v>90</v>
      </c>
      <c r="B1434">
        <v>2003</v>
      </c>
      <c r="C1434">
        <v>9282.5439999999999</v>
      </c>
      <c r="D1434">
        <v>1620.0000050000001</v>
      </c>
      <c r="E1434">
        <v>0.77</v>
      </c>
      <c r="F1434">
        <v>0</v>
      </c>
      <c r="G1434">
        <v>0.05</v>
      </c>
      <c r="H1434">
        <v>6.0975609999999998</v>
      </c>
      <c r="I1434">
        <v>30.09</v>
      </c>
      <c r="J1434">
        <v>34.1</v>
      </c>
      <c r="K1434">
        <v>4</v>
      </c>
      <c r="L1434">
        <v>76.247249999999994</v>
      </c>
      <c r="M1434">
        <v>42.4</v>
      </c>
      <c r="P1434">
        <v>-0.63222538800000005</v>
      </c>
      <c r="Q1434">
        <v>997.21137290000001</v>
      </c>
      <c r="R1434">
        <v>6.06</v>
      </c>
      <c r="S1434">
        <v>214969</v>
      </c>
      <c r="T1434">
        <v>4.8604159999999998</v>
      </c>
      <c r="U1434">
        <v>-58.93018</v>
      </c>
    </row>
    <row r="1435" spans="1:21">
      <c r="A1435" t="s">
        <v>90</v>
      </c>
      <c r="B1435">
        <v>2004</v>
      </c>
      <c r="C1435">
        <v>9064.2880000000005</v>
      </c>
      <c r="D1435">
        <v>1669.999957</v>
      </c>
      <c r="E1435">
        <v>0.8</v>
      </c>
      <c r="F1435">
        <v>0</v>
      </c>
      <c r="G1435">
        <v>0.06</v>
      </c>
      <c r="H1435">
        <v>6.9767440000000001</v>
      </c>
      <c r="I1435">
        <v>29.61</v>
      </c>
      <c r="J1435">
        <v>35.049999999999997</v>
      </c>
      <c r="K1435">
        <v>4</v>
      </c>
      <c r="L1435">
        <v>76.815010000000001</v>
      </c>
      <c r="M1435">
        <v>45</v>
      </c>
      <c r="P1435">
        <v>1.5633521100000001</v>
      </c>
      <c r="Q1435">
        <v>1056.423886</v>
      </c>
      <c r="R1435">
        <v>6.25</v>
      </c>
      <c r="S1435">
        <v>214969</v>
      </c>
      <c r="T1435">
        <v>4.8604159999999998</v>
      </c>
      <c r="U1435">
        <v>-58.93018</v>
      </c>
    </row>
    <row r="1436" spans="1:21">
      <c r="A1436" t="s">
        <v>90</v>
      </c>
      <c r="B1436">
        <v>2005</v>
      </c>
      <c r="C1436">
        <v>8189.165</v>
      </c>
      <c r="D1436">
        <v>1480.0000190000001</v>
      </c>
      <c r="E1436">
        <v>0.6</v>
      </c>
      <c r="F1436">
        <v>0</v>
      </c>
      <c r="G1436">
        <v>0.05</v>
      </c>
      <c r="H1436">
        <v>7.6923079999999997</v>
      </c>
      <c r="I1436">
        <v>29.8</v>
      </c>
      <c r="J1436">
        <v>34.130000000000003</v>
      </c>
      <c r="K1436">
        <v>4</v>
      </c>
      <c r="L1436">
        <v>77.5</v>
      </c>
      <c r="M1436">
        <v>47.6</v>
      </c>
      <c r="O1436">
        <v>30000</v>
      </c>
      <c r="P1436">
        <v>-1.950957595</v>
      </c>
      <c r="Q1436">
        <v>1105.5068249999999</v>
      </c>
      <c r="R1436">
        <v>5.36</v>
      </c>
      <c r="S1436">
        <v>214969</v>
      </c>
      <c r="T1436">
        <v>4.8604159999999998</v>
      </c>
      <c r="U1436">
        <v>-58.93018</v>
      </c>
    </row>
    <row r="1437" spans="1:21">
      <c r="A1437" t="s">
        <v>90</v>
      </c>
      <c r="B1437">
        <v>2006</v>
      </c>
      <c r="C1437">
        <v>7341.6763000000001</v>
      </c>
      <c r="D1437">
        <v>1330.000043</v>
      </c>
      <c r="E1437">
        <v>0.62</v>
      </c>
      <c r="F1437">
        <v>0</v>
      </c>
      <c r="G1437">
        <v>0.05</v>
      </c>
      <c r="H1437">
        <v>7.4626865000000002</v>
      </c>
      <c r="I1437">
        <v>30.01</v>
      </c>
      <c r="J1437">
        <v>36.28</v>
      </c>
      <c r="K1437">
        <v>4</v>
      </c>
      <c r="L1437">
        <v>73.382589999999993</v>
      </c>
      <c r="M1437">
        <v>50.3</v>
      </c>
      <c r="P1437">
        <v>5.1296093479999998</v>
      </c>
      <c r="Q1437">
        <v>3188.6731599999998</v>
      </c>
      <c r="R1437">
        <v>4.88</v>
      </c>
      <c r="S1437">
        <v>214969</v>
      </c>
      <c r="T1437">
        <v>4.8604159999999998</v>
      </c>
      <c r="U1437">
        <v>-58.93018</v>
      </c>
    </row>
    <row r="1438" spans="1:21">
      <c r="A1438" t="s">
        <v>90</v>
      </c>
      <c r="B1438">
        <v>2007</v>
      </c>
      <c r="C1438">
        <v>9106.5130000000008</v>
      </c>
      <c r="D1438">
        <v>1610.000014</v>
      </c>
      <c r="E1438">
        <v>0.65</v>
      </c>
      <c r="F1438">
        <v>0</v>
      </c>
      <c r="G1438">
        <v>0.05</v>
      </c>
      <c r="H1438">
        <v>7.1428570000000002</v>
      </c>
      <c r="I1438">
        <v>30.21</v>
      </c>
      <c r="J1438">
        <v>32.630000000000003</v>
      </c>
      <c r="K1438">
        <v>4</v>
      </c>
      <c r="L1438">
        <v>78.524924999999996</v>
      </c>
      <c r="M1438">
        <v>53</v>
      </c>
      <c r="P1438">
        <v>7.1912362410000004</v>
      </c>
      <c r="Q1438">
        <v>3658.4799670000002</v>
      </c>
      <c r="R1438">
        <v>5.0999999999999996</v>
      </c>
      <c r="S1438">
        <v>214969</v>
      </c>
      <c r="T1438">
        <v>4.8604159999999998</v>
      </c>
      <c r="U1438">
        <v>-58.93018</v>
      </c>
    </row>
    <row r="1439" spans="1:21">
      <c r="A1439" t="s">
        <v>90</v>
      </c>
      <c r="B1439">
        <v>2008</v>
      </c>
      <c r="C1439">
        <v>8685.3009999999995</v>
      </c>
      <c r="D1439">
        <v>1600.0000239999999</v>
      </c>
      <c r="E1439">
        <v>0.66</v>
      </c>
      <c r="F1439">
        <v>0</v>
      </c>
      <c r="G1439">
        <v>0.05</v>
      </c>
      <c r="H1439">
        <v>7.0422539999999998</v>
      </c>
      <c r="I1439">
        <v>30.46</v>
      </c>
      <c r="J1439">
        <v>32.03</v>
      </c>
      <c r="K1439">
        <v>4</v>
      </c>
      <c r="L1439">
        <v>79.105770000000007</v>
      </c>
      <c r="M1439">
        <v>55.8</v>
      </c>
      <c r="P1439">
        <v>1.6060016749999999</v>
      </c>
      <c r="Q1439">
        <v>4050.7862369999998</v>
      </c>
      <c r="R1439">
        <v>4.78</v>
      </c>
      <c r="S1439">
        <v>214969</v>
      </c>
      <c r="T1439">
        <v>4.8604159999999998</v>
      </c>
      <c r="U1439">
        <v>-58.93018</v>
      </c>
    </row>
    <row r="1440" spans="1:21">
      <c r="A1440" t="s">
        <v>90</v>
      </c>
      <c r="B1440">
        <v>2009</v>
      </c>
      <c r="C1440">
        <v>8978.9375</v>
      </c>
      <c r="D1440">
        <v>1629.9999949999999</v>
      </c>
      <c r="E1440">
        <v>0.61</v>
      </c>
      <c r="F1440">
        <v>0</v>
      </c>
      <c r="G1440">
        <v>0.11</v>
      </c>
      <c r="H1440">
        <v>15.277777</v>
      </c>
      <c r="I1440">
        <v>70.790000000000006</v>
      </c>
      <c r="J1440">
        <v>31.09</v>
      </c>
      <c r="K1440">
        <v>4</v>
      </c>
      <c r="L1440">
        <v>77.599999999999994</v>
      </c>
      <c r="M1440">
        <v>58.5</v>
      </c>
      <c r="P1440">
        <v>3.876525381</v>
      </c>
      <c r="Q1440">
        <v>4233.7661429999998</v>
      </c>
      <c r="R1440">
        <v>4.97</v>
      </c>
      <c r="S1440">
        <v>214969</v>
      </c>
      <c r="T1440">
        <v>4.8604159999999998</v>
      </c>
      <c r="U1440">
        <v>-58.93018</v>
      </c>
    </row>
    <row r="1441" spans="1:21">
      <c r="A1441" t="s">
        <v>90</v>
      </c>
      <c r="B1441">
        <v>2010</v>
      </c>
      <c r="C1441">
        <v>9713.2294999999995</v>
      </c>
      <c r="D1441">
        <v>1759.99999</v>
      </c>
      <c r="E1441">
        <v>0.73</v>
      </c>
      <c r="F1441">
        <v>0</v>
      </c>
      <c r="G1441">
        <v>0.13</v>
      </c>
      <c r="H1441">
        <v>15.116279</v>
      </c>
      <c r="I1441">
        <v>70.94</v>
      </c>
      <c r="J1441">
        <v>30.29</v>
      </c>
      <c r="K1441">
        <v>4</v>
      </c>
      <c r="L1441">
        <v>83.091629999999995</v>
      </c>
      <c r="M1441">
        <v>61</v>
      </c>
      <c r="O1441">
        <v>1190000</v>
      </c>
      <c r="P1441">
        <v>3.778200183</v>
      </c>
      <c r="Q1441">
        <v>4580.698762</v>
      </c>
      <c r="R1441">
        <v>4.6900000000000004</v>
      </c>
      <c r="S1441">
        <v>214969</v>
      </c>
      <c r="T1441">
        <v>4.8604159999999998</v>
      </c>
      <c r="U1441">
        <v>-58.93018</v>
      </c>
    </row>
    <row r="1442" spans="1:21">
      <c r="A1442" t="s">
        <v>90</v>
      </c>
      <c r="B1442">
        <v>2011</v>
      </c>
      <c r="C1442">
        <v>10153.406999999999</v>
      </c>
      <c r="D1442">
        <v>1830.000043</v>
      </c>
      <c r="E1442">
        <v>0.77</v>
      </c>
      <c r="F1442">
        <v>0</v>
      </c>
      <c r="G1442">
        <v>0.14000000000000001</v>
      </c>
      <c r="H1442">
        <v>15.384615</v>
      </c>
      <c r="I1442">
        <v>71.91</v>
      </c>
      <c r="J1442">
        <v>32.57</v>
      </c>
      <c r="K1442">
        <v>4</v>
      </c>
      <c r="L1442">
        <v>84.084540000000004</v>
      </c>
      <c r="M1442">
        <v>63.7</v>
      </c>
      <c r="P1442">
        <v>5.3393781310000001</v>
      </c>
      <c r="Q1442">
        <v>4908.5664479999996</v>
      </c>
      <c r="R1442">
        <v>4.8</v>
      </c>
      <c r="S1442">
        <v>214969</v>
      </c>
      <c r="T1442">
        <v>4.8604159999999998</v>
      </c>
      <c r="U1442">
        <v>-58.93018</v>
      </c>
    </row>
    <row r="1443" spans="1:21">
      <c r="A1443" t="s">
        <v>90</v>
      </c>
      <c r="B1443">
        <v>2012</v>
      </c>
      <c r="C1443">
        <v>11516.412</v>
      </c>
      <c r="D1443">
        <v>2000</v>
      </c>
      <c r="E1443">
        <v>0.81</v>
      </c>
      <c r="F1443">
        <v>0</v>
      </c>
      <c r="G1443">
        <v>0.14000000000000001</v>
      </c>
      <c r="H1443">
        <v>14.736841999999999</v>
      </c>
      <c r="I1443">
        <v>71.87</v>
      </c>
      <c r="J1443">
        <v>28.41</v>
      </c>
      <c r="K1443">
        <v>4</v>
      </c>
      <c r="L1443">
        <v>85.066479999999999</v>
      </c>
      <c r="M1443">
        <v>66.2</v>
      </c>
      <c r="O1443">
        <v>90000</v>
      </c>
      <c r="P1443">
        <v>5.3836234689999998</v>
      </c>
      <c r="Q1443">
        <v>5378.8108780000002</v>
      </c>
      <c r="R1443">
        <v>4.3600000000000003</v>
      </c>
      <c r="S1443">
        <v>214969</v>
      </c>
      <c r="T1443">
        <v>4.8604159999999998</v>
      </c>
      <c r="U1443">
        <v>-58.93018</v>
      </c>
    </row>
    <row r="1444" spans="1:21">
      <c r="A1444" t="s">
        <v>90</v>
      </c>
      <c r="B1444">
        <v>2013</v>
      </c>
      <c r="C1444">
        <v>11227.718000000001</v>
      </c>
      <c r="D1444">
        <v>1980.0000190000001</v>
      </c>
      <c r="E1444">
        <v>0.85</v>
      </c>
      <c r="F1444">
        <v>0</v>
      </c>
      <c r="G1444">
        <v>0.14000000000000001</v>
      </c>
      <c r="H1444">
        <v>14.141413999999999</v>
      </c>
      <c r="I1444">
        <v>71.81</v>
      </c>
      <c r="J1444">
        <v>26.27</v>
      </c>
      <c r="K1444">
        <v>4</v>
      </c>
      <c r="L1444">
        <v>86.026489999999995</v>
      </c>
      <c r="M1444">
        <v>68.599999999999994</v>
      </c>
      <c r="O1444">
        <v>20000</v>
      </c>
      <c r="P1444">
        <v>3.6535047679999999</v>
      </c>
      <c r="Q1444">
        <v>5489.1407259999996</v>
      </c>
      <c r="R1444">
        <v>3.99</v>
      </c>
      <c r="S1444">
        <v>214969</v>
      </c>
      <c r="T1444">
        <v>4.8604159999999998</v>
      </c>
      <c r="U1444">
        <v>-58.93018</v>
      </c>
    </row>
    <row r="1445" spans="1:21">
      <c r="A1445" t="s">
        <v>90</v>
      </c>
      <c r="B1445">
        <v>2014</v>
      </c>
      <c r="C1445">
        <v>11144.22</v>
      </c>
      <c r="D1445">
        <v>2059.9999429999998</v>
      </c>
      <c r="E1445">
        <v>0.85</v>
      </c>
      <c r="F1445">
        <v>0</v>
      </c>
      <c r="G1445">
        <v>0.15</v>
      </c>
      <c r="H1445">
        <v>15.000000999999999</v>
      </c>
      <c r="I1445">
        <v>71.69</v>
      </c>
      <c r="J1445">
        <v>24.02</v>
      </c>
      <c r="K1445">
        <v>4</v>
      </c>
      <c r="L1445">
        <v>86.9</v>
      </c>
      <c r="M1445">
        <v>70.900000000000006</v>
      </c>
      <c r="O1445">
        <v>20000</v>
      </c>
      <c r="P1445">
        <v>1.6860277319999999</v>
      </c>
      <c r="Q1445">
        <v>5407.1473660000001</v>
      </c>
      <c r="R1445">
        <v>4.01</v>
      </c>
      <c r="S1445">
        <v>214969</v>
      </c>
      <c r="T1445">
        <v>4.8604159999999998</v>
      </c>
      <c r="U1445">
        <v>-58.93018</v>
      </c>
    </row>
    <row r="1446" spans="1:21">
      <c r="A1446" t="s">
        <v>90</v>
      </c>
      <c r="B1446">
        <v>2015</v>
      </c>
      <c r="C1446">
        <v>11248.948</v>
      </c>
      <c r="D1446">
        <v>2079.9999240000002</v>
      </c>
      <c r="E1446">
        <v>0.88</v>
      </c>
      <c r="F1446">
        <v>0</v>
      </c>
      <c r="G1446">
        <v>0.16</v>
      </c>
      <c r="H1446">
        <v>15.384615999999999</v>
      </c>
      <c r="I1446">
        <v>71.97</v>
      </c>
      <c r="J1446">
        <v>24.95</v>
      </c>
      <c r="K1446">
        <v>4</v>
      </c>
      <c r="L1446">
        <v>88.003839999999997</v>
      </c>
      <c r="M1446">
        <v>72.8</v>
      </c>
      <c r="O1446">
        <v>2850000</v>
      </c>
      <c r="P1446">
        <v>0.68752120999999999</v>
      </c>
      <c r="Q1446">
        <v>5576.8258519999999</v>
      </c>
      <c r="R1446">
        <v>4</v>
      </c>
      <c r="S1446">
        <v>214969</v>
      </c>
      <c r="T1446">
        <v>4.8604159999999998</v>
      </c>
      <c r="U1446">
        <v>-58.93018</v>
      </c>
    </row>
    <row r="1447" spans="1:21">
      <c r="A1447" t="s">
        <v>90</v>
      </c>
      <c r="B1447">
        <v>2016</v>
      </c>
      <c r="C1447">
        <v>12634.438</v>
      </c>
      <c r="D1447">
        <v>2480.0000190000001</v>
      </c>
      <c r="E1447">
        <v>0.95</v>
      </c>
      <c r="F1447">
        <v>0</v>
      </c>
      <c r="G1447">
        <v>0.15</v>
      </c>
      <c r="H1447">
        <v>13.636364</v>
      </c>
      <c r="I1447">
        <v>59.81</v>
      </c>
      <c r="J1447">
        <v>21.41</v>
      </c>
      <c r="K1447">
        <v>4</v>
      </c>
      <c r="L1447">
        <v>89.170360000000002</v>
      </c>
      <c r="M1447">
        <v>74.7</v>
      </c>
      <c r="P1447">
        <v>3.8079188369999999</v>
      </c>
      <c r="Q1447">
        <v>5811.3979239999999</v>
      </c>
      <c r="R1447">
        <v>4.1399999999999997</v>
      </c>
      <c r="S1447">
        <v>214969</v>
      </c>
      <c r="T1447">
        <v>4.8604159999999998</v>
      </c>
      <c r="U1447">
        <v>-58.93018</v>
      </c>
    </row>
    <row r="1448" spans="1:21">
      <c r="A1448" t="s">
        <v>90</v>
      </c>
      <c r="B1448">
        <v>2017</v>
      </c>
      <c r="C1448">
        <v>12459.088</v>
      </c>
      <c r="D1448">
        <v>2470.0000289999998</v>
      </c>
      <c r="E1448">
        <v>0.99</v>
      </c>
      <c r="F1448">
        <v>0</v>
      </c>
      <c r="G1448">
        <v>0.15</v>
      </c>
      <c r="H1448">
        <v>13.157895999999999</v>
      </c>
      <c r="I1448">
        <v>61.44</v>
      </c>
      <c r="J1448">
        <v>22.18</v>
      </c>
      <c r="K1448">
        <v>4</v>
      </c>
      <c r="L1448">
        <v>90.295815000000005</v>
      </c>
      <c r="M1448">
        <v>76.2</v>
      </c>
      <c r="P1448">
        <v>3.734374061</v>
      </c>
      <c r="Q1448">
        <v>6124.9536699999999</v>
      </c>
      <c r="R1448">
        <v>3.95</v>
      </c>
      <c r="S1448">
        <v>214969</v>
      </c>
      <c r="T1448">
        <v>4.8604159999999998</v>
      </c>
      <c r="U1448">
        <v>-58.93018</v>
      </c>
    </row>
    <row r="1449" spans="1:21">
      <c r="A1449" t="s">
        <v>90</v>
      </c>
      <c r="B1449">
        <v>2018</v>
      </c>
      <c r="C1449">
        <v>12371.177</v>
      </c>
      <c r="D1449">
        <v>2589.999914</v>
      </c>
      <c r="E1449">
        <v>1</v>
      </c>
      <c r="F1449">
        <v>0</v>
      </c>
      <c r="G1449">
        <v>0.16</v>
      </c>
      <c r="H1449">
        <v>13.793104</v>
      </c>
      <c r="I1449">
        <v>65.61</v>
      </c>
      <c r="J1449">
        <v>16.809999999999999</v>
      </c>
      <c r="K1449">
        <v>4</v>
      </c>
      <c r="L1449">
        <v>91.19838</v>
      </c>
      <c r="M1449">
        <v>77.900000000000006</v>
      </c>
      <c r="O1449">
        <v>30810000</v>
      </c>
      <c r="P1449">
        <v>4.4410135889999998</v>
      </c>
      <c r="Q1449">
        <v>6145.8192769999996</v>
      </c>
      <c r="R1449">
        <v>3.86</v>
      </c>
      <c r="S1449">
        <v>214969</v>
      </c>
      <c r="T1449">
        <v>4.8604159999999998</v>
      </c>
      <c r="U1449">
        <v>-58.93018</v>
      </c>
    </row>
    <row r="1450" spans="1:21">
      <c r="A1450" t="s">
        <v>90</v>
      </c>
      <c r="B1450">
        <v>2019</v>
      </c>
      <c r="C1450">
        <v>14184.611999999999</v>
      </c>
      <c r="D1450">
        <v>2849.9999050000001</v>
      </c>
      <c r="E1450">
        <v>1.06</v>
      </c>
      <c r="F1450">
        <v>0</v>
      </c>
      <c r="G1450">
        <v>0.16</v>
      </c>
      <c r="H1450">
        <v>13.114754</v>
      </c>
      <c r="I1450">
        <v>67.930000000000007</v>
      </c>
      <c r="J1450">
        <v>11.35</v>
      </c>
      <c r="K1450">
        <v>4</v>
      </c>
      <c r="L1450">
        <v>91.915760000000006</v>
      </c>
      <c r="M1450">
        <v>79.5</v>
      </c>
      <c r="O1450">
        <v>14630000</v>
      </c>
      <c r="P1450">
        <v>5.3526274259999997</v>
      </c>
      <c r="Q1450">
        <v>6609.5112799999997</v>
      </c>
      <c r="R1450">
        <v>3.98</v>
      </c>
      <c r="S1450">
        <v>214969</v>
      </c>
      <c r="T1450">
        <v>4.8604159999999998</v>
      </c>
      <c r="U1450">
        <v>-58.93018</v>
      </c>
    </row>
    <row r="1451" spans="1:21">
      <c r="A1451" t="s">
        <v>90</v>
      </c>
      <c r="B1451">
        <v>2020</v>
      </c>
      <c r="C1451">
        <v>13816.492</v>
      </c>
      <c r="E1451">
        <v>1.01</v>
      </c>
      <c r="F1451">
        <v>0</v>
      </c>
      <c r="G1451">
        <v>0.15</v>
      </c>
      <c r="H1451">
        <v>12.931036000000001</v>
      </c>
      <c r="I1451">
        <v>67.599999999999994</v>
      </c>
      <c r="K1451">
        <v>4</v>
      </c>
      <c r="L1451">
        <v>92.540539999999993</v>
      </c>
      <c r="M1451">
        <v>80.599999999999994</v>
      </c>
      <c r="P1451">
        <v>43.479555939999997</v>
      </c>
      <c r="Q1451">
        <v>6955.9392170000001</v>
      </c>
      <c r="S1451">
        <v>214969</v>
      </c>
      <c r="T1451">
        <v>4.8604159999999998</v>
      </c>
      <c r="U1451">
        <v>-58.93018</v>
      </c>
    </row>
    <row r="1452" spans="1:21">
      <c r="A1452" t="s">
        <v>91</v>
      </c>
      <c r="B1452">
        <v>2000</v>
      </c>
      <c r="C1452">
        <v>836.08040000000005</v>
      </c>
      <c r="D1452">
        <v>1470</v>
      </c>
      <c r="E1452">
        <v>0.25</v>
      </c>
      <c r="F1452">
        <v>0</v>
      </c>
      <c r="G1452">
        <v>0.28000000000000003</v>
      </c>
      <c r="H1452">
        <v>52.830193000000001</v>
      </c>
      <c r="I1452">
        <v>6.65</v>
      </c>
      <c r="J1452">
        <v>80.849999999999994</v>
      </c>
      <c r="K1452">
        <v>414</v>
      </c>
      <c r="L1452">
        <v>33.700000000000003</v>
      </c>
      <c r="M1452">
        <v>2.6</v>
      </c>
      <c r="O1452">
        <v>840000</v>
      </c>
      <c r="P1452">
        <v>0.87005925299999998</v>
      </c>
      <c r="Q1452">
        <v>805.02563250000003</v>
      </c>
      <c r="R1452">
        <v>5.63</v>
      </c>
      <c r="S1452">
        <v>27750</v>
      </c>
      <c r="T1452">
        <v>18.971187</v>
      </c>
      <c r="U1452">
        <v>-72.285214999999994</v>
      </c>
    </row>
    <row r="1453" spans="1:21">
      <c r="A1453" t="s">
        <v>91</v>
      </c>
      <c r="B1453">
        <v>2001</v>
      </c>
      <c r="C1453">
        <v>893.39099999999996</v>
      </c>
      <c r="D1453">
        <v>1600</v>
      </c>
      <c r="E1453">
        <v>0.28999999999999998</v>
      </c>
      <c r="F1453">
        <v>0</v>
      </c>
      <c r="G1453">
        <v>0.28000000000000003</v>
      </c>
      <c r="H1453">
        <v>49.122807000000002</v>
      </c>
      <c r="I1453">
        <v>6.54</v>
      </c>
      <c r="J1453">
        <v>80.88</v>
      </c>
      <c r="K1453">
        <v>414</v>
      </c>
      <c r="L1453">
        <v>31.542380999999999</v>
      </c>
      <c r="M1453">
        <v>2.7</v>
      </c>
      <c r="P1453">
        <v>-0.34274788299999998</v>
      </c>
      <c r="Q1453">
        <v>735.52111790000004</v>
      </c>
      <c r="R1453">
        <v>5.55</v>
      </c>
      <c r="S1453">
        <v>27750</v>
      </c>
      <c r="T1453">
        <v>18.971187</v>
      </c>
      <c r="U1453">
        <v>-72.285214999999994</v>
      </c>
    </row>
    <row r="1454" spans="1:21">
      <c r="A1454" t="s">
        <v>91</v>
      </c>
      <c r="B1454">
        <v>2002</v>
      </c>
      <c r="C1454">
        <v>961.6241</v>
      </c>
      <c r="D1454">
        <v>1830.000043</v>
      </c>
      <c r="E1454">
        <v>0.27</v>
      </c>
      <c r="F1454">
        <v>0</v>
      </c>
      <c r="G1454">
        <v>0.26</v>
      </c>
      <c r="H1454">
        <v>49.056606000000002</v>
      </c>
      <c r="I1454">
        <v>6.43</v>
      </c>
      <c r="J1454">
        <v>79.08</v>
      </c>
      <c r="K1454">
        <v>414</v>
      </c>
      <c r="L1454">
        <v>33.152473000000001</v>
      </c>
      <c r="M1454">
        <v>2.9</v>
      </c>
      <c r="P1454">
        <v>1.051820135</v>
      </c>
      <c r="Q1454">
        <v>692.03016290000005</v>
      </c>
      <c r="R1454">
        <v>5.7</v>
      </c>
      <c r="S1454">
        <v>27750</v>
      </c>
      <c r="T1454">
        <v>18.971187</v>
      </c>
      <c r="U1454">
        <v>-72.285214999999994</v>
      </c>
    </row>
    <row r="1455" spans="1:21">
      <c r="A1455" t="s">
        <v>91</v>
      </c>
      <c r="B1455">
        <v>2003</v>
      </c>
      <c r="C1455">
        <v>874.44619999999998</v>
      </c>
      <c r="D1455">
        <v>1809.999943</v>
      </c>
      <c r="E1455">
        <v>0.26</v>
      </c>
      <c r="F1455">
        <v>0</v>
      </c>
      <c r="G1455">
        <v>0.25</v>
      </c>
      <c r="H1455">
        <v>49.019607999999998</v>
      </c>
      <c r="I1455">
        <v>6.32</v>
      </c>
      <c r="J1455">
        <v>79.02</v>
      </c>
      <c r="K1455">
        <v>414</v>
      </c>
      <c r="L1455">
        <v>31.6</v>
      </c>
      <c r="M1455">
        <v>3</v>
      </c>
      <c r="P1455">
        <v>3.4807797319999998</v>
      </c>
      <c r="Q1455">
        <v>542.33359610000002</v>
      </c>
      <c r="R1455">
        <v>5.54</v>
      </c>
      <c r="S1455">
        <v>27750</v>
      </c>
      <c r="T1455">
        <v>18.971187</v>
      </c>
      <c r="U1455">
        <v>-72.285214999999994</v>
      </c>
    </row>
    <row r="1456" spans="1:21">
      <c r="A1456" t="s">
        <v>91</v>
      </c>
      <c r="B1456">
        <v>2004</v>
      </c>
      <c r="C1456">
        <v>990.22144000000003</v>
      </c>
      <c r="D1456">
        <v>1669.999957</v>
      </c>
      <c r="E1456">
        <v>0.27</v>
      </c>
      <c r="F1456">
        <v>0</v>
      </c>
      <c r="G1456">
        <v>0.26</v>
      </c>
      <c r="H1456">
        <v>49.056606000000002</v>
      </c>
      <c r="I1456">
        <v>6.22</v>
      </c>
      <c r="J1456">
        <v>81.11</v>
      </c>
      <c r="K1456">
        <v>414</v>
      </c>
      <c r="L1456">
        <v>34.110813</v>
      </c>
      <c r="M1456">
        <v>3.05</v>
      </c>
      <c r="P1456">
        <v>-1.31785676</v>
      </c>
      <c r="Q1456">
        <v>667.2825464</v>
      </c>
      <c r="R1456">
        <v>5.72</v>
      </c>
      <c r="S1456">
        <v>27750</v>
      </c>
      <c r="T1456">
        <v>18.971187</v>
      </c>
      <c r="U1456">
        <v>-72.285214999999994</v>
      </c>
    </row>
    <row r="1457" spans="1:21">
      <c r="A1457" t="s">
        <v>91</v>
      </c>
      <c r="B1457">
        <v>2005</v>
      </c>
      <c r="C1457">
        <v>1015.81964</v>
      </c>
      <c r="D1457">
        <v>1700.0000480000001</v>
      </c>
      <c r="E1457">
        <v>0.27</v>
      </c>
      <c r="F1457">
        <v>0</v>
      </c>
      <c r="G1457">
        <v>0.26</v>
      </c>
      <c r="H1457">
        <v>49.056606000000002</v>
      </c>
      <c r="I1457">
        <v>6.12</v>
      </c>
      <c r="J1457">
        <v>81.11</v>
      </c>
      <c r="K1457">
        <v>414</v>
      </c>
      <c r="L1457">
        <v>34.588005000000003</v>
      </c>
      <c r="M1457">
        <v>3.1</v>
      </c>
      <c r="O1457">
        <v>320000</v>
      </c>
      <c r="P1457">
        <v>3.0721733769999999</v>
      </c>
      <c r="Q1457">
        <v>781.27665779999995</v>
      </c>
      <c r="R1457">
        <v>5.7</v>
      </c>
      <c r="S1457">
        <v>27750</v>
      </c>
      <c r="T1457">
        <v>18.971187</v>
      </c>
      <c r="U1457">
        <v>-72.285214999999994</v>
      </c>
    </row>
    <row r="1458" spans="1:21">
      <c r="A1458" t="s">
        <v>91</v>
      </c>
      <c r="B1458">
        <v>2006</v>
      </c>
      <c r="C1458">
        <v>1022.4895</v>
      </c>
      <c r="D1458">
        <v>1720.000029</v>
      </c>
      <c r="E1458">
        <v>0.28000000000000003</v>
      </c>
      <c r="F1458">
        <v>0</v>
      </c>
      <c r="G1458">
        <v>0.27</v>
      </c>
      <c r="H1458">
        <v>49.090910000000001</v>
      </c>
      <c r="I1458">
        <v>6.02</v>
      </c>
      <c r="J1458">
        <v>81.37</v>
      </c>
      <c r="K1458">
        <v>414</v>
      </c>
      <c r="L1458">
        <v>33.9</v>
      </c>
      <c r="M1458">
        <v>3.3</v>
      </c>
      <c r="P1458">
        <v>1.768750603</v>
      </c>
      <c r="Q1458">
        <v>804.52451189999999</v>
      </c>
      <c r="R1458">
        <v>5.77</v>
      </c>
      <c r="S1458">
        <v>27750</v>
      </c>
      <c r="T1458">
        <v>18.971187</v>
      </c>
      <c r="U1458">
        <v>-72.285214999999994</v>
      </c>
    </row>
    <row r="1459" spans="1:21">
      <c r="A1459" t="s">
        <v>91</v>
      </c>
      <c r="B1459">
        <v>2007</v>
      </c>
      <c r="C1459">
        <v>1084.6621</v>
      </c>
      <c r="D1459">
        <v>2049.9999520000001</v>
      </c>
      <c r="E1459">
        <v>0.3</v>
      </c>
      <c r="F1459">
        <v>0</v>
      </c>
      <c r="G1459">
        <v>0.15</v>
      </c>
      <c r="H1459">
        <v>33.333336000000003</v>
      </c>
      <c r="I1459">
        <v>5.93</v>
      </c>
      <c r="J1459">
        <v>79.260000000000005</v>
      </c>
      <c r="K1459">
        <v>414</v>
      </c>
      <c r="L1459">
        <v>35.550649999999997</v>
      </c>
      <c r="M1459">
        <v>3.4</v>
      </c>
      <c r="P1459">
        <v>4.7065299400000002</v>
      </c>
      <c r="Q1459">
        <v>1002.8884870000001</v>
      </c>
      <c r="R1459">
        <v>5.59</v>
      </c>
      <c r="S1459">
        <v>27750</v>
      </c>
      <c r="T1459">
        <v>18.971187</v>
      </c>
      <c r="U1459">
        <v>-72.285214999999994</v>
      </c>
    </row>
    <row r="1460" spans="1:21">
      <c r="A1460" t="s">
        <v>91</v>
      </c>
      <c r="B1460">
        <v>2008</v>
      </c>
      <c r="C1460">
        <v>1075.1736000000001</v>
      </c>
      <c r="D1460">
        <v>2029.999971</v>
      </c>
      <c r="E1460">
        <v>0.28999999999999998</v>
      </c>
      <c r="F1460">
        <v>0</v>
      </c>
      <c r="G1460">
        <v>0.18</v>
      </c>
      <c r="H1460">
        <v>38.297870000000003</v>
      </c>
      <c r="I1460">
        <v>5.84</v>
      </c>
      <c r="J1460">
        <v>79.64</v>
      </c>
      <c r="K1460">
        <v>414</v>
      </c>
      <c r="L1460">
        <v>36.041466</v>
      </c>
      <c r="M1460">
        <v>3.4</v>
      </c>
      <c r="O1460">
        <v>0</v>
      </c>
      <c r="P1460">
        <v>2.6580323080000001</v>
      </c>
      <c r="Q1460">
        <v>1086.9381920000001</v>
      </c>
      <c r="R1460">
        <v>5.53</v>
      </c>
      <c r="S1460">
        <v>27750</v>
      </c>
      <c r="T1460">
        <v>18.971187</v>
      </c>
      <c r="U1460">
        <v>-72.285214999999994</v>
      </c>
    </row>
    <row r="1461" spans="1:21">
      <c r="A1461" t="s">
        <v>91</v>
      </c>
      <c r="B1461">
        <v>2009</v>
      </c>
      <c r="C1461">
        <v>1005.77826</v>
      </c>
      <c r="D1461">
        <v>1990.00001</v>
      </c>
      <c r="E1461">
        <v>0.48</v>
      </c>
      <c r="F1461">
        <v>0</v>
      </c>
      <c r="G1461">
        <v>0.2</v>
      </c>
      <c r="H1461">
        <v>29.411764000000002</v>
      </c>
      <c r="I1461">
        <v>5.74</v>
      </c>
      <c r="J1461">
        <v>80.33</v>
      </c>
      <c r="K1461">
        <v>414</v>
      </c>
      <c r="L1461">
        <v>36.54222</v>
      </c>
      <c r="M1461">
        <v>3.6</v>
      </c>
      <c r="O1461">
        <v>14870000</v>
      </c>
      <c r="P1461">
        <v>5.8903789480000004</v>
      </c>
      <c r="Q1461">
        <v>1183.6048539999999</v>
      </c>
      <c r="R1461">
        <v>5.41</v>
      </c>
      <c r="S1461">
        <v>27750</v>
      </c>
      <c r="T1461">
        <v>18.971187</v>
      </c>
      <c r="U1461">
        <v>-72.285214999999994</v>
      </c>
    </row>
    <row r="1462" spans="1:21">
      <c r="A1462" t="s">
        <v>91</v>
      </c>
      <c r="B1462">
        <v>2010</v>
      </c>
      <c r="C1462">
        <v>922.15204000000006</v>
      </c>
      <c r="D1462">
        <v>2460.0000380000001</v>
      </c>
      <c r="E1462">
        <v>0.39</v>
      </c>
      <c r="F1462">
        <v>0</v>
      </c>
      <c r="G1462">
        <v>0.17</v>
      </c>
      <c r="H1462">
        <v>30.357143000000001</v>
      </c>
      <c r="I1462">
        <v>5.71</v>
      </c>
      <c r="J1462">
        <v>78.989999999999995</v>
      </c>
      <c r="K1462">
        <v>414</v>
      </c>
      <c r="L1462">
        <v>37.055622</v>
      </c>
      <c r="M1462">
        <v>3.6</v>
      </c>
      <c r="O1462">
        <v>2330000</v>
      </c>
      <c r="P1462">
        <v>-5.6515115339999999</v>
      </c>
      <c r="Q1462">
        <v>1191.9726639999999</v>
      </c>
      <c r="R1462">
        <v>5.87</v>
      </c>
      <c r="S1462">
        <v>27750</v>
      </c>
      <c r="T1462">
        <v>18.971187</v>
      </c>
      <c r="U1462">
        <v>-72.285214999999994</v>
      </c>
    </row>
    <row r="1463" spans="1:21">
      <c r="A1463" t="s">
        <v>91</v>
      </c>
      <c r="B1463">
        <v>2011</v>
      </c>
      <c r="C1463">
        <v>958.59839999999997</v>
      </c>
      <c r="D1463">
        <v>2700.0000479999999</v>
      </c>
      <c r="E1463">
        <v>0.53</v>
      </c>
      <c r="F1463">
        <v>0</v>
      </c>
      <c r="G1463">
        <v>0.12</v>
      </c>
      <c r="H1463">
        <v>18.461538000000001</v>
      </c>
      <c r="I1463">
        <v>5.63</v>
      </c>
      <c r="J1463">
        <v>79.010000000000005</v>
      </c>
      <c r="K1463">
        <v>414</v>
      </c>
      <c r="L1463">
        <v>37.584384999999997</v>
      </c>
      <c r="M1463">
        <v>3.7</v>
      </c>
      <c r="O1463">
        <v>31320000</v>
      </c>
      <c r="P1463">
        <v>5.098213544</v>
      </c>
      <c r="Q1463">
        <v>1287.9546499999999</v>
      </c>
      <c r="R1463">
        <v>5.78</v>
      </c>
      <c r="S1463">
        <v>27750</v>
      </c>
      <c r="T1463">
        <v>18.971187</v>
      </c>
      <c r="U1463">
        <v>-72.285214999999994</v>
      </c>
    </row>
    <row r="1464" spans="1:21">
      <c r="A1464" t="s">
        <v>91</v>
      </c>
      <c r="B1464">
        <v>2012</v>
      </c>
      <c r="C1464">
        <v>1037.8396</v>
      </c>
      <c r="D1464">
        <v>2420.0000759999998</v>
      </c>
      <c r="E1464">
        <v>0.83</v>
      </c>
      <c r="F1464">
        <v>0</v>
      </c>
      <c r="G1464">
        <v>0.22</v>
      </c>
      <c r="H1464">
        <v>20.952380999999999</v>
      </c>
      <c r="I1464">
        <v>5.6</v>
      </c>
      <c r="J1464">
        <v>82.19</v>
      </c>
      <c r="K1464">
        <v>414</v>
      </c>
      <c r="L1464">
        <v>37.9</v>
      </c>
      <c r="M1464">
        <v>3.7</v>
      </c>
      <c r="O1464">
        <v>12110000</v>
      </c>
      <c r="P1464">
        <v>0.50242440399999999</v>
      </c>
      <c r="Q1464">
        <v>1337.3359459999999</v>
      </c>
      <c r="R1464">
        <v>5.93</v>
      </c>
      <c r="S1464">
        <v>27750</v>
      </c>
      <c r="T1464">
        <v>18.971187</v>
      </c>
      <c r="U1464">
        <v>-72.285214999999994</v>
      </c>
    </row>
    <row r="1465" spans="1:21">
      <c r="A1465" t="s">
        <v>91</v>
      </c>
      <c r="B1465">
        <v>2013</v>
      </c>
      <c r="C1465">
        <v>1075.7772</v>
      </c>
      <c r="D1465">
        <v>2650.0000949999999</v>
      </c>
      <c r="E1465">
        <v>0.86</v>
      </c>
      <c r="F1465">
        <v>0</v>
      </c>
      <c r="G1465">
        <v>0.14000000000000001</v>
      </c>
      <c r="H1465">
        <v>14</v>
      </c>
      <c r="I1465">
        <v>5.55</v>
      </c>
      <c r="J1465">
        <v>80.39</v>
      </c>
      <c r="K1465">
        <v>414</v>
      </c>
      <c r="L1465">
        <v>38.697876000000001</v>
      </c>
      <c r="M1465">
        <v>3.7</v>
      </c>
      <c r="O1465">
        <v>13910000</v>
      </c>
      <c r="P1465">
        <v>4.3247841149999999</v>
      </c>
      <c r="Q1465">
        <v>1432.837618</v>
      </c>
      <c r="R1465">
        <v>5.93</v>
      </c>
      <c r="S1465">
        <v>27750</v>
      </c>
      <c r="T1465">
        <v>18.971187</v>
      </c>
      <c r="U1465">
        <v>-72.285214999999994</v>
      </c>
    </row>
    <row r="1466" spans="1:21">
      <c r="A1466" t="s">
        <v>91</v>
      </c>
      <c r="B1466">
        <v>2014</v>
      </c>
      <c r="C1466">
        <v>1142.4454000000001</v>
      </c>
      <c r="D1466">
        <v>3019.9999809999999</v>
      </c>
      <c r="E1466">
        <v>0.89</v>
      </c>
      <c r="F1466">
        <v>0</v>
      </c>
      <c r="G1466">
        <v>0.09</v>
      </c>
      <c r="H1466">
        <v>9.1836730000000006</v>
      </c>
      <c r="I1466">
        <v>5.48</v>
      </c>
      <c r="J1466">
        <v>77.77</v>
      </c>
      <c r="K1466">
        <v>414</v>
      </c>
      <c r="L1466">
        <v>39.496409999999997</v>
      </c>
      <c r="M1466">
        <v>3.8</v>
      </c>
      <c r="O1466">
        <v>810000</v>
      </c>
      <c r="P1466">
        <v>1.722565602</v>
      </c>
      <c r="Q1466">
        <v>1435.1364699999999</v>
      </c>
      <c r="R1466">
        <v>5.62</v>
      </c>
      <c r="S1466">
        <v>27750</v>
      </c>
      <c r="T1466">
        <v>18.971187</v>
      </c>
      <c r="U1466">
        <v>-72.285214999999994</v>
      </c>
    </row>
    <row r="1467" spans="1:21">
      <c r="A1467" t="s">
        <v>91</v>
      </c>
      <c r="B1467">
        <v>2015</v>
      </c>
      <c r="C1467">
        <v>1284.6120000000001</v>
      </c>
      <c r="D1467">
        <v>3279.9999710000002</v>
      </c>
      <c r="E1467">
        <v>0.9</v>
      </c>
      <c r="F1467">
        <v>0</v>
      </c>
      <c r="G1467">
        <v>0.08</v>
      </c>
      <c r="H1467">
        <v>8.1632650000000009</v>
      </c>
      <c r="I1467">
        <v>5.44</v>
      </c>
      <c r="J1467">
        <v>76.12</v>
      </c>
      <c r="K1467">
        <v>414</v>
      </c>
      <c r="L1467">
        <v>40.836284999999997</v>
      </c>
      <c r="M1467">
        <v>4</v>
      </c>
      <c r="O1467">
        <v>49590000</v>
      </c>
      <c r="P1467">
        <v>2.562508835</v>
      </c>
      <c r="Q1467">
        <v>1386.8541909999999</v>
      </c>
      <c r="R1467">
        <v>5.6</v>
      </c>
      <c r="S1467">
        <v>27750</v>
      </c>
      <c r="T1467">
        <v>18.971187</v>
      </c>
      <c r="U1467">
        <v>-72.285214999999994</v>
      </c>
    </row>
    <row r="1468" spans="1:21">
      <c r="A1468" t="s">
        <v>91</v>
      </c>
      <c r="B1468">
        <v>2016</v>
      </c>
      <c r="C1468">
        <v>1314.9376</v>
      </c>
      <c r="D1468">
        <v>3359.9998949999999</v>
      </c>
      <c r="E1468">
        <v>0.95</v>
      </c>
      <c r="F1468">
        <v>0</v>
      </c>
      <c r="G1468">
        <v>7.0000000000000007E-2</v>
      </c>
      <c r="H1468">
        <v>6.8627453000000003</v>
      </c>
      <c r="I1468">
        <v>5.37</v>
      </c>
      <c r="J1468">
        <v>76.13</v>
      </c>
      <c r="K1468">
        <v>414</v>
      </c>
      <c r="L1468">
        <v>40.4</v>
      </c>
      <c r="M1468">
        <v>4</v>
      </c>
      <c r="O1468">
        <v>8670000</v>
      </c>
      <c r="P1468">
        <v>1.812468078</v>
      </c>
      <c r="Q1468">
        <v>1290.380508</v>
      </c>
      <c r="R1468">
        <v>5.7</v>
      </c>
      <c r="S1468">
        <v>27750</v>
      </c>
      <c r="T1468">
        <v>18.971187</v>
      </c>
      <c r="U1468">
        <v>-72.285214999999994</v>
      </c>
    </row>
    <row r="1469" spans="1:21">
      <c r="A1469" t="s">
        <v>91</v>
      </c>
      <c r="B1469">
        <v>2017</v>
      </c>
      <c r="C1469">
        <v>1287.2642000000001</v>
      </c>
      <c r="D1469">
        <v>3329.9999240000002</v>
      </c>
      <c r="E1469">
        <v>0.87</v>
      </c>
      <c r="F1469">
        <v>0</v>
      </c>
      <c r="G1469">
        <v>0.13</v>
      </c>
      <c r="H1469">
        <v>13</v>
      </c>
      <c r="I1469">
        <v>5.35</v>
      </c>
      <c r="J1469">
        <v>76.17</v>
      </c>
      <c r="K1469">
        <v>414</v>
      </c>
      <c r="L1469">
        <v>43.749270000000003</v>
      </c>
      <c r="M1469">
        <v>4.0999999999999996</v>
      </c>
      <c r="O1469">
        <v>26180000</v>
      </c>
      <c r="P1469">
        <v>2.510271345</v>
      </c>
      <c r="Q1469">
        <v>1369.0637340000001</v>
      </c>
      <c r="R1469">
        <v>5.68</v>
      </c>
      <c r="S1469">
        <v>27750</v>
      </c>
      <c r="T1469">
        <v>18.971187</v>
      </c>
      <c r="U1469">
        <v>-72.285214999999994</v>
      </c>
    </row>
    <row r="1470" spans="1:21">
      <c r="A1470" t="s">
        <v>91</v>
      </c>
      <c r="B1470">
        <v>2018</v>
      </c>
      <c r="C1470">
        <v>1325.5319</v>
      </c>
      <c r="D1470">
        <v>3289.9999619999999</v>
      </c>
      <c r="E1470">
        <v>0.8</v>
      </c>
      <c r="F1470">
        <v>0</v>
      </c>
      <c r="G1470">
        <v>0.2</v>
      </c>
      <c r="H1470">
        <v>20</v>
      </c>
      <c r="I1470">
        <v>7.24</v>
      </c>
      <c r="J1470">
        <v>76.25</v>
      </c>
      <c r="K1470">
        <v>414</v>
      </c>
      <c r="L1470">
        <v>44.962344999999999</v>
      </c>
      <c r="M1470">
        <v>4.3</v>
      </c>
      <c r="O1470">
        <v>750000</v>
      </c>
      <c r="P1470">
        <v>1.667810955</v>
      </c>
      <c r="Q1470">
        <v>1479.3458270000001</v>
      </c>
      <c r="R1470">
        <v>5.78</v>
      </c>
      <c r="S1470">
        <v>27750</v>
      </c>
      <c r="T1470">
        <v>18.971187</v>
      </c>
      <c r="U1470">
        <v>-72.285214999999994</v>
      </c>
    </row>
    <row r="1471" spans="1:21">
      <c r="A1471" t="s">
        <v>91</v>
      </c>
      <c r="B1471">
        <v>2019</v>
      </c>
      <c r="C1471">
        <v>1184.3462</v>
      </c>
      <c r="D1471">
        <v>3319.9999330000001</v>
      </c>
      <c r="E1471">
        <v>0.85</v>
      </c>
      <c r="F1471">
        <v>0</v>
      </c>
      <c r="G1471">
        <v>0.17</v>
      </c>
      <c r="H1471">
        <v>16.666665999999999</v>
      </c>
      <c r="I1471">
        <v>7.15</v>
      </c>
      <c r="J1471">
        <v>76.400000000000006</v>
      </c>
      <c r="K1471">
        <v>414</v>
      </c>
      <c r="L1471">
        <v>45.990234000000001</v>
      </c>
      <c r="M1471">
        <v>4.4000000000000004</v>
      </c>
      <c r="O1471">
        <v>39510000</v>
      </c>
      <c r="P1471">
        <v>-1.6845950810000001</v>
      </c>
      <c r="Q1471">
        <v>1312.770636</v>
      </c>
      <c r="R1471">
        <v>5.8</v>
      </c>
      <c r="S1471">
        <v>27750</v>
      </c>
      <c r="T1471">
        <v>18.971187</v>
      </c>
      <c r="U1471">
        <v>-72.285214999999994</v>
      </c>
    </row>
    <row r="1472" spans="1:21">
      <c r="A1472" t="s">
        <v>91</v>
      </c>
      <c r="B1472">
        <v>2020</v>
      </c>
      <c r="C1472">
        <v>977.08136000000002</v>
      </c>
      <c r="E1472">
        <v>0.81</v>
      </c>
      <c r="F1472">
        <v>0</v>
      </c>
      <c r="G1472">
        <v>0.11</v>
      </c>
      <c r="H1472">
        <v>11.956522</v>
      </c>
      <c r="I1472">
        <v>7.06</v>
      </c>
      <c r="K1472">
        <v>414</v>
      </c>
      <c r="L1472">
        <v>46.925533000000001</v>
      </c>
      <c r="M1472">
        <v>4.5</v>
      </c>
      <c r="P1472">
        <v>-3.343372612</v>
      </c>
      <c r="Q1472">
        <v>1272.367992</v>
      </c>
      <c r="S1472">
        <v>27750</v>
      </c>
      <c r="T1472">
        <v>18.971187</v>
      </c>
      <c r="U1472">
        <v>-72.285214999999994</v>
      </c>
    </row>
    <row r="1473" spans="1:21">
      <c r="A1473" t="s">
        <v>92</v>
      </c>
      <c r="B1473">
        <v>2000</v>
      </c>
      <c r="C1473">
        <v>3657.3854999999999</v>
      </c>
      <c r="D1473">
        <v>4990</v>
      </c>
      <c r="E1473">
        <v>1.3</v>
      </c>
      <c r="F1473">
        <v>0</v>
      </c>
      <c r="G1473">
        <v>2.2400000000000002</v>
      </c>
      <c r="H1473">
        <v>63.276836000000003</v>
      </c>
      <c r="I1473">
        <v>66.67</v>
      </c>
      <c r="J1473">
        <v>55.24</v>
      </c>
      <c r="K1473">
        <v>89</v>
      </c>
      <c r="L1473">
        <v>67.383353999999997</v>
      </c>
      <c r="M1473">
        <v>30.7</v>
      </c>
      <c r="O1473">
        <v>32740000</v>
      </c>
      <c r="P1473">
        <v>7.2912881589999996</v>
      </c>
      <c r="Q1473">
        <v>1080.5104719999999</v>
      </c>
      <c r="R1473">
        <v>4.6500000000000004</v>
      </c>
      <c r="S1473">
        <v>112090</v>
      </c>
      <c r="T1473">
        <v>15.199999</v>
      </c>
      <c r="U1473">
        <v>-86.241905000000003</v>
      </c>
    </row>
    <row r="1474" spans="1:21">
      <c r="A1474" t="s">
        <v>92</v>
      </c>
      <c r="B1474">
        <v>2001</v>
      </c>
      <c r="C1474">
        <v>3886.6244999999999</v>
      </c>
      <c r="D1474">
        <v>5800</v>
      </c>
      <c r="E1474">
        <v>1.86</v>
      </c>
      <c r="F1474">
        <v>0</v>
      </c>
      <c r="G1474">
        <v>1.89</v>
      </c>
      <c r="H1474">
        <v>50.4</v>
      </c>
      <c r="I1474">
        <v>64.94</v>
      </c>
      <c r="J1474">
        <v>50.4</v>
      </c>
      <c r="K1474">
        <v>89</v>
      </c>
      <c r="L1474">
        <v>64.2</v>
      </c>
      <c r="M1474">
        <v>32.200000000000003</v>
      </c>
      <c r="P1474">
        <v>2.7231932730000001</v>
      </c>
      <c r="Q1474">
        <v>1120.5499600000001</v>
      </c>
      <c r="R1474">
        <v>4.88</v>
      </c>
      <c r="S1474">
        <v>112090</v>
      </c>
      <c r="T1474">
        <v>15.199999</v>
      </c>
      <c r="U1474">
        <v>-86.241905000000003</v>
      </c>
    </row>
    <row r="1475" spans="1:21">
      <c r="A1475" t="s">
        <v>92</v>
      </c>
      <c r="B1475">
        <v>2002</v>
      </c>
      <c r="C1475">
        <v>3824.1345000000001</v>
      </c>
      <c r="D1475">
        <v>6090.000153</v>
      </c>
      <c r="E1475">
        <v>2.2999999999999998</v>
      </c>
      <c r="F1475">
        <v>0</v>
      </c>
      <c r="G1475">
        <v>1.63</v>
      </c>
      <c r="H1475">
        <v>41.475825999999998</v>
      </c>
      <c r="I1475">
        <v>68.400000000000006</v>
      </c>
      <c r="J1475">
        <v>49.76</v>
      </c>
      <c r="K1475">
        <v>89</v>
      </c>
      <c r="L1475">
        <v>63.141136000000003</v>
      </c>
      <c r="M1475">
        <v>33.799999999999997</v>
      </c>
      <c r="P1475">
        <v>3.7543378610000002</v>
      </c>
      <c r="Q1475">
        <v>1122.0886</v>
      </c>
      <c r="R1475">
        <v>4.93</v>
      </c>
      <c r="S1475">
        <v>112090</v>
      </c>
      <c r="T1475">
        <v>15.199999</v>
      </c>
      <c r="U1475">
        <v>-86.241905000000003</v>
      </c>
    </row>
    <row r="1476" spans="1:21">
      <c r="A1476" t="s">
        <v>92</v>
      </c>
      <c r="B1476">
        <v>2003</v>
      </c>
      <c r="C1476">
        <v>4087.4094</v>
      </c>
      <c r="D1476">
        <v>6730.0000190000001</v>
      </c>
      <c r="E1476">
        <v>2.54</v>
      </c>
      <c r="F1476">
        <v>0</v>
      </c>
      <c r="G1476">
        <v>1.81</v>
      </c>
      <c r="H1476">
        <v>41.609195999999997</v>
      </c>
      <c r="I1476">
        <v>68.25</v>
      </c>
      <c r="J1476">
        <v>47.94</v>
      </c>
      <c r="K1476">
        <v>89</v>
      </c>
      <c r="L1476">
        <v>65.090459999999993</v>
      </c>
      <c r="M1476">
        <v>35</v>
      </c>
      <c r="O1476">
        <v>210000</v>
      </c>
      <c r="P1476">
        <v>4.5470380520000004</v>
      </c>
      <c r="Q1476">
        <v>1145.497946</v>
      </c>
      <c r="R1476">
        <v>5.12</v>
      </c>
      <c r="S1476">
        <v>112090</v>
      </c>
      <c r="T1476">
        <v>15.199999</v>
      </c>
      <c r="U1476">
        <v>-86.241905000000003</v>
      </c>
    </row>
    <row r="1477" spans="1:21">
      <c r="A1477" t="s">
        <v>92</v>
      </c>
      <c r="B1477">
        <v>2004</v>
      </c>
      <c r="C1477">
        <v>4235.9309999999996</v>
      </c>
      <c r="D1477">
        <v>7559.9999429999998</v>
      </c>
      <c r="E1477">
        <v>3.12</v>
      </c>
      <c r="F1477">
        <v>0</v>
      </c>
      <c r="G1477">
        <v>1.54</v>
      </c>
      <c r="H1477">
        <v>33.04721</v>
      </c>
      <c r="I1477">
        <v>70.08</v>
      </c>
      <c r="J1477">
        <v>46.7</v>
      </c>
      <c r="K1477">
        <v>89</v>
      </c>
      <c r="L1477">
        <v>67.113524999999996</v>
      </c>
      <c r="M1477">
        <v>36.299999999999997</v>
      </c>
      <c r="P1477">
        <v>6.2323029610000003</v>
      </c>
      <c r="Q1477">
        <v>1204.479826</v>
      </c>
      <c r="R1477">
        <v>5.23</v>
      </c>
      <c r="S1477">
        <v>112090</v>
      </c>
      <c r="T1477">
        <v>15.199999</v>
      </c>
      <c r="U1477">
        <v>-86.241905000000003</v>
      </c>
    </row>
    <row r="1478" spans="1:21">
      <c r="A1478" t="s">
        <v>92</v>
      </c>
      <c r="B1478">
        <v>2005</v>
      </c>
      <c r="C1478">
        <v>4243.7075000000004</v>
      </c>
      <c r="D1478">
        <v>6969.9997899999998</v>
      </c>
      <c r="E1478">
        <v>3.48</v>
      </c>
      <c r="F1478">
        <v>0</v>
      </c>
      <c r="G1478">
        <v>1.92</v>
      </c>
      <c r="H1478">
        <v>35.555553000000003</v>
      </c>
      <c r="I1478">
        <v>72.349999999999994</v>
      </c>
      <c r="J1478">
        <v>51.62</v>
      </c>
      <c r="K1478">
        <v>89</v>
      </c>
      <c r="L1478">
        <v>68.903310000000005</v>
      </c>
      <c r="M1478">
        <v>37.4</v>
      </c>
      <c r="O1478">
        <v>5860000</v>
      </c>
      <c r="P1478">
        <v>6.0505992219999998</v>
      </c>
      <c r="Q1478">
        <v>1296.694784</v>
      </c>
      <c r="R1478">
        <v>4.8899999999999997</v>
      </c>
      <c r="S1478">
        <v>112090</v>
      </c>
      <c r="T1478">
        <v>15.199999</v>
      </c>
      <c r="U1478">
        <v>-86.241905000000003</v>
      </c>
    </row>
    <row r="1479" spans="1:21">
      <c r="A1479" t="s">
        <v>92</v>
      </c>
      <c r="B1479">
        <v>2006</v>
      </c>
      <c r="C1479">
        <v>3989.0889000000002</v>
      </c>
      <c r="D1479">
        <v>7969.9997899999998</v>
      </c>
      <c r="E1479">
        <v>3.48</v>
      </c>
      <c r="F1479">
        <v>0</v>
      </c>
      <c r="G1479">
        <v>2.2599999999999998</v>
      </c>
      <c r="H1479">
        <v>39.372826000000003</v>
      </c>
      <c r="I1479">
        <v>73.83</v>
      </c>
      <c r="J1479">
        <v>52.49</v>
      </c>
      <c r="K1479">
        <v>89</v>
      </c>
      <c r="L1479">
        <v>71.266450000000006</v>
      </c>
      <c r="M1479">
        <v>38.700000000000003</v>
      </c>
      <c r="P1479">
        <v>6.5672435519999999</v>
      </c>
      <c r="Q1479">
        <v>1420.1343959999999</v>
      </c>
      <c r="R1479">
        <v>5</v>
      </c>
      <c r="S1479">
        <v>112090</v>
      </c>
      <c r="T1479">
        <v>15.199999</v>
      </c>
      <c r="U1479">
        <v>-86.241905000000003</v>
      </c>
    </row>
    <row r="1480" spans="1:21">
      <c r="A1480" t="s">
        <v>92</v>
      </c>
      <c r="B1480">
        <v>2007</v>
      </c>
      <c r="C1480">
        <v>4827.8486000000003</v>
      </c>
      <c r="D1480">
        <v>8539.9999619999999</v>
      </c>
      <c r="E1480">
        <v>3.61</v>
      </c>
      <c r="F1480">
        <v>0</v>
      </c>
      <c r="G1480">
        <v>2.44</v>
      </c>
      <c r="H1480">
        <v>40.330578000000003</v>
      </c>
      <c r="I1480">
        <v>77.19</v>
      </c>
      <c r="J1480">
        <v>50.87</v>
      </c>
      <c r="K1480">
        <v>89</v>
      </c>
      <c r="L1480">
        <v>73.548190000000005</v>
      </c>
      <c r="M1480">
        <v>39.799999999999997</v>
      </c>
      <c r="O1480">
        <v>20000</v>
      </c>
      <c r="P1480">
        <v>6.1883271669999997</v>
      </c>
      <c r="Q1480">
        <v>1572.0648880000001</v>
      </c>
      <c r="R1480">
        <v>5.04</v>
      </c>
      <c r="S1480">
        <v>112090</v>
      </c>
      <c r="T1480">
        <v>15.199999</v>
      </c>
      <c r="U1480">
        <v>-86.241905000000003</v>
      </c>
    </row>
    <row r="1481" spans="1:21">
      <c r="A1481" t="s">
        <v>92</v>
      </c>
      <c r="B1481">
        <v>2008</v>
      </c>
      <c r="C1481">
        <v>4677.777</v>
      </c>
      <c r="D1481">
        <v>8590.0001530000009</v>
      </c>
      <c r="E1481">
        <v>3.71</v>
      </c>
      <c r="F1481">
        <v>0</v>
      </c>
      <c r="G1481">
        <v>2.57</v>
      </c>
      <c r="H1481">
        <v>40.923565000000004</v>
      </c>
      <c r="I1481">
        <v>77.89</v>
      </c>
      <c r="J1481">
        <v>50.32</v>
      </c>
      <c r="K1481">
        <v>89</v>
      </c>
      <c r="L1481">
        <v>76.396900000000002</v>
      </c>
      <c r="M1481">
        <v>40.799999999999997</v>
      </c>
      <c r="O1481">
        <v>20000</v>
      </c>
      <c r="P1481">
        <v>4.2316001099999996</v>
      </c>
      <c r="Q1481">
        <v>1727.793682</v>
      </c>
      <c r="R1481">
        <v>4.91</v>
      </c>
      <c r="S1481">
        <v>112090</v>
      </c>
      <c r="T1481">
        <v>15.199999</v>
      </c>
      <c r="U1481">
        <v>-86.241905000000003</v>
      </c>
    </row>
    <row r="1482" spans="1:21">
      <c r="A1482" t="s">
        <v>92</v>
      </c>
      <c r="B1482">
        <v>2009</v>
      </c>
      <c r="C1482">
        <v>4338.6670000000004</v>
      </c>
      <c r="D1482">
        <v>8069.9996950000004</v>
      </c>
      <c r="E1482">
        <v>3.31</v>
      </c>
      <c r="F1482">
        <v>0</v>
      </c>
      <c r="G1482">
        <v>3.07</v>
      </c>
      <c r="H1482">
        <v>48.119120000000002</v>
      </c>
      <c r="I1482">
        <v>77.319999999999993</v>
      </c>
      <c r="J1482">
        <v>51.33</v>
      </c>
      <c r="K1482">
        <v>89</v>
      </c>
      <c r="L1482">
        <v>78.269683999999998</v>
      </c>
      <c r="M1482">
        <v>41.5</v>
      </c>
      <c r="O1482">
        <v>130000</v>
      </c>
      <c r="P1482">
        <v>-2.4316278800000002</v>
      </c>
      <c r="Q1482">
        <v>1777.272802</v>
      </c>
      <c r="R1482">
        <v>4.97</v>
      </c>
      <c r="S1482">
        <v>112090</v>
      </c>
      <c r="T1482">
        <v>15.199999</v>
      </c>
      <c r="U1482">
        <v>-86.241905000000003</v>
      </c>
    </row>
    <row r="1483" spans="1:21">
      <c r="A1483" t="s">
        <v>92</v>
      </c>
      <c r="B1483">
        <v>2010</v>
      </c>
      <c r="C1483">
        <v>4439.4920000000002</v>
      </c>
      <c r="D1483">
        <v>8180.0003049999996</v>
      </c>
      <c r="E1483">
        <v>3.18</v>
      </c>
      <c r="F1483">
        <v>0</v>
      </c>
      <c r="G1483">
        <v>3.34</v>
      </c>
      <c r="H1483">
        <v>51.226993999999998</v>
      </c>
      <c r="I1483">
        <v>76.05</v>
      </c>
      <c r="J1483">
        <v>52.16</v>
      </c>
      <c r="K1483">
        <v>89</v>
      </c>
      <c r="L1483">
        <v>80.984665000000007</v>
      </c>
      <c r="M1483">
        <v>42.5</v>
      </c>
      <c r="O1483">
        <v>20520000</v>
      </c>
      <c r="P1483">
        <v>3.7311403439999999</v>
      </c>
      <c r="Q1483">
        <v>1891.1585889999999</v>
      </c>
      <c r="R1483">
        <v>4.9000000000000004</v>
      </c>
      <c r="S1483">
        <v>112090</v>
      </c>
      <c r="T1483">
        <v>15.199999</v>
      </c>
      <c r="U1483">
        <v>-86.241905000000003</v>
      </c>
    </row>
    <row r="1484" spans="1:21">
      <c r="A1484" t="s">
        <v>92</v>
      </c>
      <c r="B1484">
        <v>2011</v>
      </c>
      <c r="C1484">
        <v>4406.6815999999999</v>
      </c>
      <c r="D1484">
        <v>8810.0004200000003</v>
      </c>
      <c r="E1484">
        <v>3.6</v>
      </c>
      <c r="F1484">
        <v>0</v>
      </c>
      <c r="G1484">
        <v>3.4</v>
      </c>
      <c r="H1484">
        <v>48.571429999999999</v>
      </c>
      <c r="I1484">
        <v>87.22</v>
      </c>
      <c r="J1484">
        <v>51.92</v>
      </c>
      <c r="K1484">
        <v>89</v>
      </c>
      <c r="L1484">
        <v>82.195300000000003</v>
      </c>
      <c r="M1484">
        <v>43.2</v>
      </c>
      <c r="O1484">
        <v>13080000</v>
      </c>
      <c r="P1484">
        <v>3.8356906620000002</v>
      </c>
      <c r="Q1484">
        <v>2073.9043700000002</v>
      </c>
      <c r="R1484">
        <v>5</v>
      </c>
      <c r="S1484">
        <v>112090</v>
      </c>
      <c r="T1484">
        <v>15.199999</v>
      </c>
      <c r="U1484">
        <v>-86.241905000000003</v>
      </c>
    </row>
    <row r="1485" spans="1:21">
      <c r="A1485" t="s">
        <v>92</v>
      </c>
      <c r="B1485">
        <v>2012</v>
      </c>
      <c r="C1485">
        <v>4707.2719999999999</v>
      </c>
      <c r="D1485">
        <v>9239.9997710000007</v>
      </c>
      <c r="E1485">
        <v>3.94</v>
      </c>
      <c r="F1485">
        <v>0</v>
      </c>
      <c r="G1485">
        <v>3.55</v>
      </c>
      <c r="H1485">
        <v>47.396529999999998</v>
      </c>
      <c r="I1485">
        <v>86.63</v>
      </c>
      <c r="J1485">
        <v>52.27</v>
      </c>
      <c r="K1485">
        <v>89</v>
      </c>
      <c r="L1485">
        <v>83.607730000000004</v>
      </c>
      <c r="M1485">
        <v>43.8</v>
      </c>
      <c r="O1485">
        <v>270000</v>
      </c>
      <c r="P1485">
        <v>4.128687749</v>
      </c>
      <c r="Q1485">
        <v>2129.5214390000001</v>
      </c>
      <c r="R1485">
        <v>5.05</v>
      </c>
      <c r="S1485">
        <v>112090</v>
      </c>
      <c r="T1485">
        <v>15.199999</v>
      </c>
      <c r="U1485">
        <v>-86.241905000000003</v>
      </c>
    </row>
    <row r="1486" spans="1:21">
      <c r="A1486" t="s">
        <v>92</v>
      </c>
      <c r="B1486">
        <v>2013</v>
      </c>
      <c r="C1486">
        <v>4629.1469999999999</v>
      </c>
      <c r="D1486">
        <v>9369.9998859999996</v>
      </c>
      <c r="E1486">
        <v>4.1500000000000004</v>
      </c>
      <c r="F1486">
        <v>0</v>
      </c>
      <c r="G1486">
        <v>3.57</v>
      </c>
      <c r="H1486">
        <v>46.243526000000003</v>
      </c>
      <c r="I1486">
        <v>87.36</v>
      </c>
      <c r="J1486">
        <v>51.07</v>
      </c>
      <c r="K1486">
        <v>89</v>
      </c>
      <c r="L1486">
        <v>87.184880000000007</v>
      </c>
      <c r="M1486">
        <v>44.5</v>
      </c>
      <c r="O1486">
        <v>322440000</v>
      </c>
      <c r="P1486">
        <v>2.7915597569999999</v>
      </c>
      <c r="Q1486">
        <v>2088.0972059999999</v>
      </c>
      <c r="R1486">
        <v>4.9000000000000004</v>
      </c>
      <c r="S1486">
        <v>112090</v>
      </c>
      <c r="T1486">
        <v>15.199999</v>
      </c>
      <c r="U1486">
        <v>-86.241905000000003</v>
      </c>
    </row>
    <row r="1487" spans="1:21">
      <c r="A1487" t="s">
        <v>92</v>
      </c>
      <c r="B1487">
        <v>2014</v>
      </c>
      <c r="C1487">
        <v>4979.0079999999998</v>
      </c>
      <c r="D1487">
        <v>9460.0000380000001</v>
      </c>
      <c r="E1487">
        <v>4.76</v>
      </c>
      <c r="F1487">
        <v>0</v>
      </c>
      <c r="G1487">
        <v>3.61</v>
      </c>
      <c r="H1487">
        <v>43.130226</v>
      </c>
      <c r="I1487">
        <v>104.51</v>
      </c>
      <c r="J1487">
        <v>53.63</v>
      </c>
      <c r="K1487">
        <v>89</v>
      </c>
      <c r="L1487">
        <v>88.653769999999994</v>
      </c>
      <c r="M1487">
        <v>45.1</v>
      </c>
      <c r="O1487">
        <v>134590000</v>
      </c>
      <c r="P1487">
        <v>3.0580805619999998</v>
      </c>
      <c r="Q1487">
        <v>2190.653139</v>
      </c>
      <c r="R1487">
        <v>4.83</v>
      </c>
      <c r="S1487">
        <v>112090</v>
      </c>
      <c r="T1487">
        <v>15.199999</v>
      </c>
      <c r="U1487">
        <v>-86.241905000000003</v>
      </c>
    </row>
    <row r="1488" spans="1:21">
      <c r="A1488" t="s">
        <v>92</v>
      </c>
      <c r="B1488">
        <v>2015</v>
      </c>
      <c r="C1488">
        <v>5439.8050000000003</v>
      </c>
      <c r="D1488">
        <v>9930.0003049999996</v>
      </c>
      <c r="E1488">
        <v>5.1100000000000003</v>
      </c>
      <c r="F1488">
        <v>0</v>
      </c>
      <c r="G1488">
        <v>4.28</v>
      </c>
      <c r="H1488">
        <v>45.580406000000004</v>
      </c>
      <c r="I1488">
        <v>149.97999999999999</v>
      </c>
      <c r="J1488">
        <v>52.68</v>
      </c>
      <c r="K1488">
        <v>89</v>
      </c>
      <c r="L1488">
        <v>89.981710000000007</v>
      </c>
      <c r="M1488">
        <v>45.9</v>
      </c>
      <c r="O1488">
        <v>391110000</v>
      </c>
      <c r="P1488">
        <v>3.8400799710000002</v>
      </c>
      <c r="Q1488">
        <v>2286.2030370000002</v>
      </c>
      <c r="R1488">
        <v>5.0199999999999996</v>
      </c>
      <c r="S1488">
        <v>112090</v>
      </c>
      <c r="T1488">
        <v>15.199999</v>
      </c>
      <c r="U1488">
        <v>-86.241905000000003</v>
      </c>
    </row>
    <row r="1489" spans="1:21">
      <c r="A1489" t="s">
        <v>92</v>
      </c>
      <c r="B1489">
        <v>2016</v>
      </c>
      <c r="C1489">
        <v>5242.2690000000002</v>
      </c>
      <c r="D1489">
        <v>9470.0002669999994</v>
      </c>
      <c r="E1489">
        <v>4.7699999999999996</v>
      </c>
      <c r="F1489">
        <v>0</v>
      </c>
      <c r="G1489">
        <v>4.79</v>
      </c>
      <c r="H1489">
        <v>50.104599999999998</v>
      </c>
      <c r="I1489">
        <v>157.72999999999999</v>
      </c>
      <c r="J1489">
        <v>52.77</v>
      </c>
      <c r="K1489">
        <v>89</v>
      </c>
      <c r="L1489">
        <v>91.6</v>
      </c>
      <c r="M1489">
        <v>46.5</v>
      </c>
      <c r="O1489">
        <v>176000000</v>
      </c>
      <c r="P1489">
        <v>3.8929721970000002</v>
      </c>
      <c r="Q1489">
        <v>2326.297278</v>
      </c>
      <c r="R1489">
        <v>4.8099999999999996</v>
      </c>
      <c r="S1489">
        <v>112090</v>
      </c>
      <c r="T1489">
        <v>15.199999</v>
      </c>
      <c r="U1489">
        <v>-86.241905000000003</v>
      </c>
    </row>
    <row r="1490" spans="1:21">
      <c r="A1490" t="s">
        <v>92</v>
      </c>
      <c r="B1490">
        <v>2017</v>
      </c>
      <c r="C1490">
        <v>5456.1885000000002</v>
      </c>
      <c r="D1490">
        <v>9260.0002289999993</v>
      </c>
      <c r="E1490">
        <v>4.1900000000000004</v>
      </c>
      <c r="F1490">
        <v>0</v>
      </c>
      <c r="G1490">
        <v>5.41</v>
      </c>
      <c r="H1490">
        <v>56.354163999999997</v>
      </c>
      <c r="I1490">
        <v>170.62</v>
      </c>
      <c r="J1490">
        <v>45.92</v>
      </c>
      <c r="K1490">
        <v>89</v>
      </c>
      <c r="L1490">
        <v>86.5</v>
      </c>
      <c r="M1490">
        <v>47.1</v>
      </c>
      <c r="O1490">
        <v>86060000</v>
      </c>
      <c r="P1490">
        <v>4.8429139110000001</v>
      </c>
      <c r="Q1490">
        <v>2436.671636</v>
      </c>
      <c r="R1490">
        <v>4.05</v>
      </c>
      <c r="S1490">
        <v>112090</v>
      </c>
      <c r="T1490">
        <v>15.199999</v>
      </c>
      <c r="U1490">
        <v>-86.241905000000003</v>
      </c>
    </row>
    <row r="1491" spans="1:21">
      <c r="A1491" t="s">
        <v>92</v>
      </c>
      <c r="B1491">
        <v>2018</v>
      </c>
      <c r="C1491">
        <v>5896.7533999999996</v>
      </c>
      <c r="D1491">
        <v>10050.000190000001</v>
      </c>
      <c r="E1491">
        <v>3.8</v>
      </c>
      <c r="F1491">
        <v>0</v>
      </c>
      <c r="G1491">
        <v>6.11</v>
      </c>
      <c r="H1491">
        <v>61.654896000000001</v>
      </c>
      <c r="I1491">
        <v>177.18</v>
      </c>
      <c r="J1491">
        <v>49.76</v>
      </c>
      <c r="K1491">
        <v>89</v>
      </c>
      <c r="L1491">
        <v>91.6</v>
      </c>
      <c r="M1491">
        <v>47.2</v>
      </c>
      <c r="O1491">
        <v>99040000</v>
      </c>
      <c r="P1491">
        <v>3.84499477</v>
      </c>
      <c r="Q1491">
        <v>2492.8689680000002</v>
      </c>
      <c r="R1491">
        <v>4.58</v>
      </c>
      <c r="S1491">
        <v>112090</v>
      </c>
      <c r="T1491">
        <v>15.199999</v>
      </c>
      <c r="U1491">
        <v>-86.241905000000003</v>
      </c>
    </row>
    <row r="1492" spans="1:21">
      <c r="A1492" t="s">
        <v>92</v>
      </c>
      <c r="B1492">
        <v>2019</v>
      </c>
      <c r="C1492">
        <v>5640.5680000000002</v>
      </c>
      <c r="D1492">
        <v>10220.00027</v>
      </c>
      <c r="E1492">
        <v>5.39</v>
      </c>
      <c r="F1492">
        <v>0</v>
      </c>
      <c r="G1492">
        <v>5.73</v>
      </c>
      <c r="H1492">
        <v>51.528778000000003</v>
      </c>
      <c r="I1492">
        <v>178.88</v>
      </c>
      <c r="J1492">
        <v>45.96</v>
      </c>
      <c r="K1492">
        <v>89</v>
      </c>
      <c r="L1492">
        <v>91.1</v>
      </c>
      <c r="M1492">
        <v>48.1</v>
      </c>
      <c r="O1492">
        <v>960000</v>
      </c>
      <c r="P1492">
        <v>2.6530662550000002</v>
      </c>
      <c r="Q1492">
        <v>2556.4568909999998</v>
      </c>
      <c r="R1492">
        <v>4.3</v>
      </c>
      <c r="S1492">
        <v>112090</v>
      </c>
      <c r="T1492">
        <v>15.199999</v>
      </c>
      <c r="U1492">
        <v>-86.241905000000003</v>
      </c>
    </row>
    <row r="1493" spans="1:21">
      <c r="A1493" t="s">
        <v>92</v>
      </c>
      <c r="B1493">
        <v>2020</v>
      </c>
      <c r="C1493">
        <v>5048.4497000000001</v>
      </c>
      <c r="E1493">
        <v>5.46</v>
      </c>
      <c r="F1493">
        <v>0</v>
      </c>
      <c r="G1493">
        <v>5.85</v>
      </c>
      <c r="H1493">
        <v>51.724136000000001</v>
      </c>
      <c r="I1493">
        <v>187.32</v>
      </c>
      <c r="K1493">
        <v>89</v>
      </c>
      <c r="L1493">
        <v>93.206710000000001</v>
      </c>
      <c r="M1493">
        <v>48.3</v>
      </c>
      <c r="P1493">
        <v>-8.9647601839999993</v>
      </c>
      <c r="Q1493">
        <v>2389.0124310000001</v>
      </c>
      <c r="S1493">
        <v>112090</v>
      </c>
      <c r="T1493">
        <v>15.199999</v>
      </c>
      <c r="U1493">
        <v>-86.241905000000003</v>
      </c>
    </row>
    <row r="1494" spans="1:21">
      <c r="A1494" t="s">
        <v>93</v>
      </c>
      <c r="B1494">
        <v>2000</v>
      </c>
      <c r="C1494">
        <v>27524.092000000001</v>
      </c>
      <c r="D1494">
        <v>54630</v>
      </c>
      <c r="E1494">
        <v>20.77</v>
      </c>
      <c r="F1494">
        <v>14.18</v>
      </c>
      <c r="G1494">
        <v>0.24</v>
      </c>
      <c r="H1494">
        <v>40.977550000000001</v>
      </c>
      <c r="J1494">
        <v>5.17</v>
      </c>
      <c r="K1494">
        <v>107</v>
      </c>
      <c r="L1494">
        <v>100</v>
      </c>
      <c r="M1494">
        <v>100</v>
      </c>
      <c r="N1494">
        <v>0.26188784999999998</v>
      </c>
      <c r="P1494">
        <v>4.4791938089999999</v>
      </c>
      <c r="Q1494">
        <v>4624.2816570000005</v>
      </c>
      <c r="R1494">
        <v>5.28</v>
      </c>
      <c r="S1494">
        <v>93028</v>
      </c>
      <c r="T1494">
        <v>47.162494000000002</v>
      </c>
      <c r="U1494">
        <v>19.503304</v>
      </c>
    </row>
    <row r="1495" spans="1:21">
      <c r="A1495" t="s">
        <v>93</v>
      </c>
      <c r="B1495">
        <v>2001</v>
      </c>
      <c r="C1495">
        <v>28261.502</v>
      </c>
      <c r="D1495">
        <v>56280</v>
      </c>
      <c r="E1495">
        <v>22.03</v>
      </c>
      <c r="F1495">
        <v>14.13</v>
      </c>
      <c r="G1495">
        <v>0.26</v>
      </c>
      <c r="H1495">
        <v>39.51126</v>
      </c>
      <c r="J1495">
        <v>5.12</v>
      </c>
      <c r="K1495">
        <v>107</v>
      </c>
      <c r="L1495">
        <v>100</v>
      </c>
      <c r="M1495">
        <v>100</v>
      </c>
      <c r="N1495">
        <v>0.26927035999999999</v>
      </c>
      <c r="P1495">
        <v>4.0740915170000003</v>
      </c>
      <c r="Q1495">
        <v>5276.0331889999998</v>
      </c>
      <c r="R1495">
        <v>5.2</v>
      </c>
      <c r="S1495">
        <v>93028</v>
      </c>
      <c r="T1495">
        <v>47.162494000000002</v>
      </c>
      <c r="U1495">
        <v>19.503304</v>
      </c>
    </row>
    <row r="1496" spans="1:21">
      <c r="A1496" t="s">
        <v>93</v>
      </c>
      <c r="B1496">
        <v>2002</v>
      </c>
      <c r="C1496">
        <v>27680.425999999999</v>
      </c>
      <c r="D1496">
        <v>55599.998469999999</v>
      </c>
      <c r="E1496">
        <v>21.97</v>
      </c>
      <c r="F1496">
        <v>13.95</v>
      </c>
      <c r="G1496">
        <v>0.23</v>
      </c>
      <c r="H1496">
        <v>39.225450000000002</v>
      </c>
      <c r="J1496">
        <v>5.17</v>
      </c>
      <c r="K1496">
        <v>107</v>
      </c>
      <c r="L1496">
        <v>100</v>
      </c>
      <c r="M1496">
        <v>100</v>
      </c>
      <c r="N1496">
        <v>0.24771267</v>
      </c>
      <c r="P1496">
        <v>4.7412819300000004</v>
      </c>
      <c r="Q1496">
        <v>6655.3330089999999</v>
      </c>
      <c r="R1496">
        <v>4.96</v>
      </c>
      <c r="S1496">
        <v>93028</v>
      </c>
      <c r="T1496">
        <v>47.162494000000002</v>
      </c>
      <c r="U1496">
        <v>19.503304</v>
      </c>
    </row>
    <row r="1497" spans="1:21">
      <c r="A1497" t="s">
        <v>93</v>
      </c>
      <c r="B1497">
        <v>2003</v>
      </c>
      <c r="C1497">
        <v>28106.879000000001</v>
      </c>
      <c r="D1497">
        <v>58189.998630000002</v>
      </c>
      <c r="E1497">
        <v>22.79</v>
      </c>
      <c r="F1497">
        <v>11.01</v>
      </c>
      <c r="G1497">
        <v>0.33</v>
      </c>
      <c r="H1497">
        <v>33.225900000000003</v>
      </c>
      <c r="J1497">
        <v>5.01</v>
      </c>
      <c r="K1497">
        <v>107</v>
      </c>
      <c r="L1497">
        <v>100</v>
      </c>
      <c r="M1497">
        <v>100</v>
      </c>
      <c r="N1497">
        <v>0.35918549999999999</v>
      </c>
      <c r="P1497">
        <v>4.0845233380000003</v>
      </c>
      <c r="Q1497">
        <v>8421.1033129999996</v>
      </c>
      <c r="R1497">
        <v>4.87</v>
      </c>
      <c r="S1497">
        <v>93028</v>
      </c>
      <c r="T1497">
        <v>47.162494000000002</v>
      </c>
      <c r="U1497">
        <v>19.503304</v>
      </c>
    </row>
    <row r="1498" spans="1:21">
      <c r="A1498" t="s">
        <v>93</v>
      </c>
      <c r="B1498">
        <v>2004</v>
      </c>
      <c r="C1498">
        <v>28622.2</v>
      </c>
      <c r="D1498">
        <v>56349.998469999999</v>
      </c>
      <c r="E1498">
        <v>20.86</v>
      </c>
      <c r="F1498">
        <v>11.91</v>
      </c>
      <c r="G1498">
        <v>0.94</v>
      </c>
      <c r="H1498">
        <v>38.119255000000003</v>
      </c>
      <c r="J1498">
        <v>4.63</v>
      </c>
      <c r="K1498">
        <v>107</v>
      </c>
      <c r="L1498">
        <v>100</v>
      </c>
      <c r="M1498">
        <v>100</v>
      </c>
      <c r="N1498">
        <v>1.0114942</v>
      </c>
      <c r="P1498">
        <v>5.0004483239999997</v>
      </c>
      <c r="Q1498">
        <v>10303.70419</v>
      </c>
      <c r="R1498">
        <v>4.63</v>
      </c>
      <c r="S1498">
        <v>93028</v>
      </c>
      <c r="T1498">
        <v>47.162494000000002</v>
      </c>
      <c r="U1498">
        <v>19.503304</v>
      </c>
    </row>
    <row r="1499" spans="1:21">
      <c r="A1499" t="s">
        <v>93</v>
      </c>
      <c r="B1499">
        <v>2005</v>
      </c>
      <c r="C1499">
        <v>30582.84</v>
      </c>
      <c r="D1499">
        <v>55919.998169999999</v>
      </c>
      <c r="E1499">
        <v>20.05</v>
      </c>
      <c r="F1499">
        <v>13.83</v>
      </c>
      <c r="G1499">
        <v>1.87</v>
      </c>
      <c r="H1499">
        <v>43.916083999999998</v>
      </c>
      <c r="J1499">
        <v>7.29</v>
      </c>
      <c r="K1499">
        <v>107</v>
      </c>
      <c r="L1499">
        <v>100</v>
      </c>
      <c r="M1499">
        <v>100</v>
      </c>
      <c r="N1499">
        <v>1.9106504</v>
      </c>
      <c r="P1499">
        <v>4.2952784770000001</v>
      </c>
      <c r="Q1499">
        <v>11225.932580000001</v>
      </c>
      <c r="R1499">
        <v>4.78</v>
      </c>
      <c r="S1499">
        <v>93028</v>
      </c>
      <c r="T1499">
        <v>47.162494000000002</v>
      </c>
      <c r="U1499">
        <v>19.503304</v>
      </c>
    </row>
    <row r="1500" spans="1:21">
      <c r="A1500" t="s">
        <v>93</v>
      </c>
      <c r="B1500">
        <v>2006</v>
      </c>
      <c r="C1500">
        <v>30034.668000000001</v>
      </c>
      <c r="D1500">
        <v>55459.999080000001</v>
      </c>
      <c r="E1500">
        <v>20.9</v>
      </c>
      <c r="F1500">
        <v>13.46</v>
      </c>
      <c r="G1500">
        <v>1.49</v>
      </c>
      <c r="H1500">
        <v>41.701534000000002</v>
      </c>
      <c r="J1500">
        <v>7.86</v>
      </c>
      <c r="K1500">
        <v>107</v>
      </c>
      <c r="L1500">
        <v>100</v>
      </c>
      <c r="M1500">
        <v>100</v>
      </c>
      <c r="N1500">
        <v>1.5408134</v>
      </c>
      <c r="P1500">
        <v>3.947769723</v>
      </c>
      <c r="Q1500">
        <v>11493.100409999999</v>
      </c>
      <c r="R1500">
        <v>4.55</v>
      </c>
      <c r="S1500">
        <v>93028</v>
      </c>
      <c r="T1500">
        <v>47.162494000000002</v>
      </c>
      <c r="U1500">
        <v>19.503304</v>
      </c>
    </row>
    <row r="1501" spans="1:21">
      <c r="A1501" t="s">
        <v>93</v>
      </c>
      <c r="B1501">
        <v>2007</v>
      </c>
      <c r="C1501">
        <v>29686.33</v>
      </c>
      <c r="D1501">
        <v>53849.998469999999</v>
      </c>
      <c r="E1501">
        <v>23.4</v>
      </c>
      <c r="F1501">
        <v>14.68</v>
      </c>
      <c r="G1501">
        <v>1.88</v>
      </c>
      <c r="H1501">
        <v>41.44144</v>
      </c>
      <c r="J1501">
        <v>9</v>
      </c>
      <c r="K1501">
        <v>107</v>
      </c>
      <c r="L1501">
        <v>100</v>
      </c>
      <c r="M1501">
        <v>100</v>
      </c>
      <c r="N1501">
        <v>1.9637134999999999</v>
      </c>
      <c r="P1501">
        <v>0.27698075700000002</v>
      </c>
      <c r="Q1501">
        <v>13944.971009999999</v>
      </c>
      <c r="R1501">
        <v>4.45</v>
      </c>
      <c r="S1501">
        <v>93028</v>
      </c>
      <c r="T1501">
        <v>47.162494000000002</v>
      </c>
      <c r="U1501">
        <v>19.503304</v>
      </c>
    </row>
    <row r="1502" spans="1:21">
      <c r="A1502" t="s">
        <v>93</v>
      </c>
      <c r="B1502">
        <v>2008</v>
      </c>
      <c r="C1502">
        <v>29320.720000000001</v>
      </c>
      <c r="D1502">
        <v>53009.998319999999</v>
      </c>
      <c r="E1502">
        <v>22.85</v>
      </c>
      <c r="F1502">
        <v>14.82</v>
      </c>
      <c r="G1502">
        <v>2.35</v>
      </c>
      <c r="H1502">
        <v>42.903550000000003</v>
      </c>
      <c r="J1502">
        <v>8.9600000000000009</v>
      </c>
      <c r="K1502">
        <v>107</v>
      </c>
      <c r="L1502">
        <v>100</v>
      </c>
      <c r="M1502">
        <v>100</v>
      </c>
      <c r="N1502">
        <v>2.4881731999999999</v>
      </c>
      <c r="P1502">
        <v>1.0064647790000001</v>
      </c>
      <c r="Q1502">
        <v>15777.19202</v>
      </c>
      <c r="R1502">
        <v>4.3499999999999996</v>
      </c>
      <c r="S1502">
        <v>93028</v>
      </c>
      <c r="T1502">
        <v>47.162494000000002</v>
      </c>
      <c r="U1502">
        <v>19.503304</v>
      </c>
    </row>
    <row r="1503" spans="1:21">
      <c r="A1503" t="s">
        <v>93</v>
      </c>
      <c r="B1503">
        <v>2009</v>
      </c>
      <c r="C1503">
        <v>27245.458999999999</v>
      </c>
      <c r="D1503">
        <v>47840.00015</v>
      </c>
      <c r="E1503">
        <v>17.59</v>
      </c>
      <c r="F1503">
        <v>15.43</v>
      </c>
      <c r="G1503">
        <v>2.89</v>
      </c>
      <c r="H1503">
        <v>51.01643</v>
      </c>
      <c r="J1503">
        <v>12.29</v>
      </c>
      <c r="K1503">
        <v>107</v>
      </c>
      <c r="L1503">
        <v>100</v>
      </c>
      <c r="M1503">
        <v>100</v>
      </c>
      <c r="N1503">
        <v>3.3081076</v>
      </c>
      <c r="P1503">
        <v>-6.5954741290000003</v>
      </c>
      <c r="Q1503">
        <v>13081.79264</v>
      </c>
      <c r="R1503">
        <v>4.43</v>
      </c>
      <c r="S1503">
        <v>93028</v>
      </c>
      <c r="T1503">
        <v>47.162494000000002</v>
      </c>
      <c r="U1503">
        <v>19.503304</v>
      </c>
    </row>
    <row r="1504" spans="1:21">
      <c r="A1504" t="s">
        <v>93</v>
      </c>
      <c r="B1504">
        <v>2010</v>
      </c>
      <c r="C1504">
        <v>27819.338</v>
      </c>
      <c r="D1504">
        <v>47880.001069999998</v>
      </c>
      <c r="E1504">
        <v>18.59</v>
      </c>
      <c r="F1504">
        <v>15.76</v>
      </c>
      <c r="G1504">
        <v>3.02</v>
      </c>
      <c r="H1504">
        <v>50.254219999999997</v>
      </c>
      <c r="J1504">
        <v>13.46</v>
      </c>
      <c r="K1504">
        <v>107</v>
      </c>
      <c r="L1504">
        <v>100</v>
      </c>
      <c r="M1504">
        <v>100</v>
      </c>
      <c r="N1504">
        <v>3.3563130000000001</v>
      </c>
      <c r="P1504">
        <v>1.083118668</v>
      </c>
      <c r="Q1504">
        <v>13223.083000000001</v>
      </c>
      <c r="R1504">
        <v>4.54</v>
      </c>
      <c r="S1504">
        <v>93028</v>
      </c>
      <c r="T1504">
        <v>47.162494000000002</v>
      </c>
      <c r="U1504">
        <v>19.503304</v>
      </c>
    </row>
    <row r="1505" spans="1:21">
      <c r="A1505" t="s">
        <v>93</v>
      </c>
      <c r="B1505">
        <v>2011</v>
      </c>
      <c r="C1505">
        <v>27072.97</v>
      </c>
      <c r="D1505">
        <v>46909.99985</v>
      </c>
      <c r="E1505">
        <v>17.62</v>
      </c>
      <c r="F1505">
        <v>15.69</v>
      </c>
      <c r="G1505">
        <v>2.71</v>
      </c>
      <c r="H1505">
        <v>51.082729999999998</v>
      </c>
      <c r="J1505">
        <v>14.74</v>
      </c>
      <c r="K1505">
        <v>107</v>
      </c>
      <c r="L1505">
        <v>100</v>
      </c>
      <c r="M1505">
        <v>100</v>
      </c>
      <c r="N1505">
        <v>3.0736933</v>
      </c>
      <c r="P1505">
        <v>1.860155072</v>
      </c>
      <c r="Q1505">
        <v>14240.2575</v>
      </c>
      <c r="R1505">
        <v>4.3600000000000003</v>
      </c>
      <c r="S1505">
        <v>93028</v>
      </c>
      <c r="T1505">
        <v>47.162494000000002</v>
      </c>
      <c r="U1505">
        <v>19.503304</v>
      </c>
    </row>
    <row r="1506" spans="1:21">
      <c r="A1506" t="s">
        <v>93</v>
      </c>
      <c r="B1506">
        <v>2012</v>
      </c>
      <c r="C1506">
        <v>25308.668000000001</v>
      </c>
      <c r="D1506">
        <v>43430.000310000003</v>
      </c>
      <c r="E1506">
        <v>16.190000000000001</v>
      </c>
      <c r="F1506">
        <v>15.79</v>
      </c>
      <c r="G1506">
        <v>2.64</v>
      </c>
      <c r="H1506">
        <v>53.235126000000001</v>
      </c>
      <c r="J1506">
        <v>16.47</v>
      </c>
      <c r="K1506">
        <v>107</v>
      </c>
      <c r="L1506">
        <v>100</v>
      </c>
      <c r="M1506">
        <v>100</v>
      </c>
      <c r="N1506">
        <v>3.1865039999999998</v>
      </c>
      <c r="P1506">
        <v>-1.257749507</v>
      </c>
      <c r="Q1506">
        <v>12989.18028</v>
      </c>
      <c r="R1506">
        <v>4.21</v>
      </c>
      <c r="S1506">
        <v>93028</v>
      </c>
      <c r="T1506">
        <v>47.162494000000002</v>
      </c>
      <c r="U1506">
        <v>19.503304</v>
      </c>
    </row>
    <row r="1507" spans="1:21">
      <c r="A1507" t="s">
        <v>93</v>
      </c>
      <c r="B1507">
        <v>2013</v>
      </c>
      <c r="C1507">
        <v>24057.616999999998</v>
      </c>
      <c r="D1507">
        <v>40759.998319999999</v>
      </c>
      <c r="E1507">
        <v>12.1</v>
      </c>
      <c r="F1507">
        <v>15.37</v>
      </c>
      <c r="G1507">
        <v>2.78</v>
      </c>
      <c r="H1507">
        <v>60</v>
      </c>
      <c r="J1507">
        <v>17.18</v>
      </c>
      <c r="K1507">
        <v>107</v>
      </c>
      <c r="L1507">
        <v>100</v>
      </c>
      <c r="M1507">
        <v>100</v>
      </c>
      <c r="N1507">
        <v>3.5505789999999999</v>
      </c>
      <c r="P1507">
        <v>1.8063639279999999</v>
      </c>
      <c r="Q1507">
        <v>13719.95054</v>
      </c>
      <c r="R1507">
        <v>4</v>
      </c>
      <c r="S1507">
        <v>93028</v>
      </c>
      <c r="T1507">
        <v>47.162494000000002</v>
      </c>
      <c r="U1507">
        <v>19.503304</v>
      </c>
    </row>
    <row r="1508" spans="1:21">
      <c r="A1508" t="s">
        <v>93</v>
      </c>
      <c r="B1508">
        <v>2014</v>
      </c>
      <c r="C1508">
        <v>24145.828000000001</v>
      </c>
      <c r="D1508">
        <v>40630.001069999998</v>
      </c>
      <c r="E1508">
        <v>10.54</v>
      </c>
      <c r="F1508">
        <v>15.65</v>
      </c>
      <c r="G1508">
        <v>3.16</v>
      </c>
      <c r="H1508">
        <v>64.088584999999995</v>
      </c>
      <c r="J1508">
        <v>15.72</v>
      </c>
      <c r="K1508">
        <v>107</v>
      </c>
      <c r="L1508">
        <v>100</v>
      </c>
      <c r="M1508">
        <v>100</v>
      </c>
      <c r="N1508">
        <v>4.0122450000000001</v>
      </c>
      <c r="P1508">
        <v>4.2237255390000001</v>
      </c>
      <c r="Q1508">
        <v>14298.83367</v>
      </c>
      <c r="R1508">
        <v>3.83</v>
      </c>
      <c r="S1508">
        <v>93028</v>
      </c>
      <c r="T1508">
        <v>47.162494000000002</v>
      </c>
      <c r="U1508">
        <v>19.503304</v>
      </c>
    </row>
    <row r="1509" spans="1:21">
      <c r="A1509" t="s">
        <v>93</v>
      </c>
      <c r="B1509">
        <v>2015</v>
      </c>
      <c r="C1509">
        <v>25501.146000000001</v>
      </c>
      <c r="D1509">
        <v>43380.001069999998</v>
      </c>
      <c r="E1509">
        <v>11.24</v>
      </c>
      <c r="F1509">
        <v>15.83</v>
      </c>
      <c r="G1509">
        <v>3.22</v>
      </c>
      <c r="H1509">
        <v>62.892035999999997</v>
      </c>
      <c r="J1509">
        <v>15.6</v>
      </c>
      <c r="K1509">
        <v>107</v>
      </c>
      <c r="L1509">
        <v>100</v>
      </c>
      <c r="M1509">
        <v>100</v>
      </c>
      <c r="N1509">
        <v>3.8928455999999998</v>
      </c>
      <c r="P1509">
        <v>3.7032599359999998</v>
      </c>
      <c r="Q1509">
        <v>12720.712020000001</v>
      </c>
      <c r="R1509">
        <v>3.9</v>
      </c>
      <c r="S1509">
        <v>93028</v>
      </c>
      <c r="T1509">
        <v>47.162494000000002</v>
      </c>
      <c r="U1509">
        <v>19.503304</v>
      </c>
    </row>
    <row r="1510" spans="1:21">
      <c r="A1510" t="s">
        <v>93</v>
      </c>
      <c r="B1510">
        <v>2016</v>
      </c>
      <c r="C1510">
        <v>26030.773000000001</v>
      </c>
      <c r="D1510">
        <v>44250</v>
      </c>
      <c r="E1510">
        <v>12.51</v>
      </c>
      <c r="F1510">
        <v>16.05</v>
      </c>
      <c r="G1510">
        <v>3.25</v>
      </c>
      <c r="H1510">
        <v>60.672739999999997</v>
      </c>
      <c r="J1510">
        <v>15.34</v>
      </c>
      <c r="K1510">
        <v>107</v>
      </c>
      <c r="L1510">
        <v>100</v>
      </c>
      <c r="M1510">
        <v>100</v>
      </c>
      <c r="N1510">
        <v>3.8303541999999999</v>
      </c>
      <c r="P1510">
        <v>2.1919603689999998</v>
      </c>
      <c r="Q1510">
        <v>13107.377909999999</v>
      </c>
      <c r="R1510">
        <v>3.86</v>
      </c>
      <c r="S1510">
        <v>93028</v>
      </c>
      <c r="T1510">
        <v>47.162494000000002</v>
      </c>
      <c r="U1510">
        <v>19.503304</v>
      </c>
    </row>
    <row r="1511" spans="1:21">
      <c r="A1511" t="s">
        <v>93</v>
      </c>
      <c r="B1511">
        <v>2017</v>
      </c>
      <c r="C1511">
        <v>27509.97</v>
      </c>
      <c r="D1511">
        <v>46439.998630000002</v>
      </c>
      <c r="E1511">
        <v>13.25</v>
      </c>
      <c r="F1511">
        <v>16.100000000000001</v>
      </c>
      <c r="G1511">
        <v>3.48</v>
      </c>
      <c r="H1511">
        <v>59.640568000000002</v>
      </c>
      <c r="J1511">
        <v>14.54</v>
      </c>
      <c r="K1511">
        <v>107</v>
      </c>
      <c r="L1511">
        <v>100</v>
      </c>
      <c r="M1511">
        <v>100</v>
      </c>
      <c r="N1511">
        <v>3.8641884000000002</v>
      </c>
      <c r="P1511">
        <v>4.2685574190000004</v>
      </c>
      <c r="Q1511">
        <v>14623.69665</v>
      </c>
      <c r="R1511">
        <v>3.87</v>
      </c>
      <c r="S1511">
        <v>93028</v>
      </c>
      <c r="T1511">
        <v>47.162494000000002</v>
      </c>
      <c r="U1511">
        <v>19.503304</v>
      </c>
    </row>
    <row r="1512" spans="1:21">
      <c r="A1512" t="s">
        <v>93</v>
      </c>
      <c r="B1512">
        <v>2018</v>
      </c>
      <c r="C1512">
        <v>27740.646000000001</v>
      </c>
      <c r="D1512">
        <v>46400.001530000001</v>
      </c>
      <c r="E1512">
        <v>12.43</v>
      </c>
      <c r="F1512">
        <v>15.73</v>
      </c>
      <c r="G1512">
        <v>3.77</v>
      </c>
      <c r="H1512">
        <v>61.071089999999998</v>
      </c>
      <c r="J1512">
        <v>13.58</v>
      </c>
      <c r="K1512">
        <v>107</v>
      </c>
      <c r="L1512">
        <v>100</v>
      </c>
      <c r="M1512">
        <v>100</v>
      </c>
      <c r="N1512">
        <v>4.1346163999999996</v>
      </c>
      <c r="P1512">
        <v>5.3594964889999996</v>
      </c>
      <c r="Q1512">
        <v>16427.372759999998</v>
      </c>
      <c r="R1512">
        <v>3.66</v>
      </c>
      <c r="S1512">
        <v>93028</v>
      </c>
      <c r="T1512">
        <v>47.162494000000002</v>
      </c>
      <c r="U1512">
        <v>19.503304</v>
      </c>
    </row>
    <row r="1513" spans="1:21">
      <c r="A1513" t="s">
        <v>93</v>
      </c>
      <c r="B1513">
        <v>2019</v>
      </c>
      <c r="C1513">
        <v>28131.205000000002</v>
      </c>
      <c r="D1513">
        <v>46380.001069999998</v>
      </c>
      <c r="E1513">
        <v>13.2</v>
      </c>
      <c r="F1513">
        <v>16.29</v>
      </c>
      <c r="G1513">
        <v>4.7</v>
      </c>
      <c r="H1513">
        <v>61.392223000000001</v>
      </c>
      <c r="J1513">
        <v>13.64</v>
      </c>
      <c r="K1513">
        <v>107</v>
      </c>
      <c r="L1513">
        <v>100</v>
      </c>
      <c r="M1513">
        <v>100</v>
      </c>
      <c r="N1513">
        <v>4.9454612999999998</v>
      </c>
      <c r="P1513">
        <v>4.5540630719999999</v>
      </c>
      <c r="Q1513">
        <v>16735.659780000002</v>
      </c>
      <c r="R1513">
        <v>3.51</v>
      </c>
      <c r="S1513">
        <v>93028</v>
      </c>
      <c r="T1513">
        <v>47.162494000000002</v>
      </c>
      <c r="U1513">
        <v>19.503304</v>
      </c>
    </row>
    <row r="1514" spans="1:21">
      <c r="A1514" t="s">
        <v>93</v>
      </c>
      <c r="B1514">
        <v>2020</v>
      </c>
      <c r="C1514">
        <v>27724.254000000001</v>
      </c>
      <c r="E1514">
        <v>13.2</v>
      </c>
      <c r="F1514">
        <v>16.059999999999999</v>
      </c>
      <c r="G1514">
        <v>5.52</v>
      </c>
      <c r="H1514">
        <v>62.047156999999999</v>
      </c>
      <c r="K1514">
        <v>107</v>
      </c>
      <c r="L1514">
        <v>100</v>
      </c>
      <c r="M1514">
        <v>100</v>
      </c>
      <c r="N1514">
        <v>5.8162417</v>
      </c>
      <c r="P1514">
        <v>-4.6756869930000002</v>
      </c>
      <c r="Q1514">
        <v>15980.740889999999</v>
      </c>
      <c r="S1514">
        <v>93028</v>
      </c>
      <c r="T1514">
        <v>47.162494000000002</v>
      </c>
      <c r="U1514">
        <v>19.503304</v>
      </c>
    </row>
    <row r="1515" spans="1:21">
      <c r="A1515" t="s">
        <v>94</v>
      </c>
      <c r="B1515">
        <v>2000</v>
      </c>
      <c r="C1515">
        <v>118057.81</v>
      </c>
      <c r="D1515">
        <v>2230</v>
      </c>
      <c r="E1515">
        <v>0</v>
      </c>
      <c r="F1515">
        <v>0</v>
      </c>
      <c r="G1515">
        <v>7.61</v>
      </c>
      <c r="H1515">
        <v>100</v>
      </c>
      <c r="J1515">
        <v>60.66</v>
      </c>
      <c r="K1515">
        <v>3</v>
      </c>
      <c r="L1515">
        <v>100</v>
      </c>
      <c r="M1515">
        <v>100</v>
      </c>
      <c r="N1515">
        <v>67.805179999999993</v>
      </c>
      <c r="P1515">
        <v>4.9850427699999997</v>
      </c>
      <c r="Q1515">
        <v>32096.37226</v>
      </c>
      <c r="R1515">
        <v>11.18</v>
      </c>
      <c r="S1515">
        <v>103000</v>
      </c>
      <c r="T1515">
        <v>64.963050999999993</v>
      </c>
      <c r="U1515">
        <v>-19.020835000000002</v>
      </c>
    </row>
    <row r="1516" spans="1:21">
      <c r="A1516" t="s">
        <v>94</v>
      </c>
      <c r="B1516">
        <v>2001</v>
      </c>
      <c r="C1516">
        <v>117792.88</v>
      </c>
      <c r="D1516">
        <v>2160</v>
      </c>
      <c r="E1516">
        <v>0</v>
      </c>
      <c r="F1516">
        <v>0</v>
      </c>
      <c r="G1516">
        <v>7.96</v>
      </c>
      <c r="H1516">
        <v>100</v>
      </c>
      <c r="J1516">
        <v>62.12</v>
      </c>
      <c r="K1516">
        <v>3</v>
      </c>
      <c r="L1516">
        <v>100</v>
      </c>
      <c r="M1516">
        <v>100</v>
      </c>
      <c r="N1516">
        <v>69.640240000000006</v>
      </c>
      <c r="P1516">
        <v>4.0134975549999998</v>
      </c>
      <c r="Q1516">
        <v>28897.443940000001</v>
      </c>
      <c r="R1516">
        <v>10.4</v>
      </c>
      <c r="S1516">
        <v>103000</v>
      </c>
      <c r="T1516">
        <v>64.963050999999993</v>
      </c>
      <c r="U1516">
        <v>-19.020835000000002</v>
      </c>
    </row>
    <row r="1517" spans="1:21">
      <c r="A1517" t="s">
        <v>94</v>
      </c>
      <c r="B1517">
        <v>2002</v>
      </c>
      <c r="C1517">
        <v>121304.664</v>
      </c>
      <c r="D1517">
        <v>2240.0000100000002</v>
      </c>
      <c r="E1517">
        <v>0.01</v>
      </c>
      <c r="F1517">
        <v>0</v>
      </c>
      <c r="G1517">
        <v>8.34</v>
      </c>
      <c r="H1517">
        <v>99.880229999999997</v>
      </c>
      <c r="J1517">
        <v>61.84</v>
      </c>
      <c r="K1517">
        <v>3</v>
      </c>
      <c r="L1517">
        <v>100</v>
      </c>
      <c r="M1517">
        <v>100</v>
      </c>
      <c r="N1517">
        <v>69.755899999999997</v>
      </c>
      <c r="P1517">
        <v>0.559519082</v>
      </c>
      <c r="Q1517">
        <v>32409.21615</v>
      </c>
      <c r="R1517">
        <v>10.65</v>
      </c>
      <c r="S1517">
        <v>103000</v>
      </c>
      <c r="T1517">
        <v>64.963050999999993</v>
      </c>
      <c r="U1517">
        <v>-19.020835000000002</v>
      </c>
    </row>
    <row r="1518" spans="1:21">
      <c r="A1518" t="s">
        <v>94</v>
      </c>
      <c r="B1518">
        <v>2003</v>
      </c>
      <c r="C1518">
        <v>121068.53</v>
      </c>
      <c r="D1518">
        <v>2230.0000190000001</v>
      </c>
      <c r="E1518">
        <v>0.01</v>
      </c>
      <c r="F1518">
        <v>0</v>
      </c>
      <c r="G1518">
        <v>8.43</v>
      </c>
      <c r="H1518">
        <v>99.881519999999995</v>
      </c>
      <c r="J1518">
        <v>61.88</v>
      </c>
      <c r="K1518">
        <v>3</v>
      </c>
      <c r="L1518">
        <v>100</v>
      </c>
      <c r="M1518">
        <v>100</v>
      </c>
      <c r="N1518">
        <v>69.681640000000002</v>
      </c>
      <c r="P1518">
        <v>2.142688379</v>
      </c>
      <c r="Q1518">
        <v>39476.697849999997</v>
      </c>
      <c r="R1518">
        <v>10.43</v>
      </c>
      <c r="S1518">
        <v>103000</v>
      </c>
      <c r="T1518">
        <v>64.963050999999993</v>
      </c>
      <c r="U1518">
        <v>-19.020835000000002</v>
      </c>
    </row>
    <row r="1519" spans="1:21">
      <c r="A1519" t="s">
        <v>94</v>
      </c>
      <c r="B1519">
        <v>2004</v>
      </c>
      <c r="C1519">
        <v>122384.42</v>
      </c>
      <c r="D1519">
        <v>2319.9999330000001</v>
      </c>
      <c r="E1519">
        <v>0.01</v>
      </c>
      <c r="F1519">
        <v>0</v>
      </c>
      <c r="G1519">
        <v>8.5399999999999991</v>
      </c>
      <c r="H1519">
        <v>99.883039999999994</v>
      </c>
      <c r="J1519">
        <v>61.81</v>
      </c>
      <c r="K1519">
        <v>3</v>
      </c>
      <c r="L1519">
        <v>100</v>
      </c>
      <c r="M1519">
        <v>100</v>
      </c>
      <c r="N1519">
        <v>68.896180000000001</v>
      </c>
      <c r="P1519">
        <v>7.8023995079999997</v>
      </c>
      <c r="Q1519">
        <v>47334.930650000002</v>
      </c>
      <c r="R1519">
        <v>9.57</v>
      </c>
      <c r="S1519">
        <v>103000</v>
      </c>
      <c r="T1519">
        <v>64.963050999999993</v>
      </c>
      <c r="U1519">
        <v>-19.020835000000002</v>
      </c>
    </row>
    <row r="1520" spans="1:21">
      <c r="A1520" t="s">
        <v>94</v>
      </c>
      <c r="B1520">
        <v>2005</v>
      </c>
      <c r="C1520">
        <v>120874.47</v>
      </c>
      <c r="D1520">
        <v>2289.9999619999999</v>
      </c>
      <c r="E1520">
        <v>0.01</v>
      </c>
      <c r="F1520">
        <v>0</v>
      </c>
      <c r="G1520">
        <v>8.61</v>
      </c>
      <c r="H1520">
        <v>99.883989999999997</v>
      </c>
      <c r="J1520">
        <v>62.47</v>
      </c>
      <c r="K1520">
        <v>3</v>
      </c>
      <c r="L1520">
        <v>100</v>
      </c>
      <c r="M1520">
        <v>100</v>
      </c>
      <c r="N1520">
        <v>68.649344999999997</v>
      </c>
      <c r="P1520">
        <v>6.1244389650000004</v>
      </c>
      <c r="Q1520">
        <v>56794.850160000002</v>
      </c>
      <c r="R1520">
        <v>9.16</v>
      </c>
      <c r="S1520">
        <v>103000</v>
      </c>
      <c r="T1520">
        <v>64.963050999999993</v>
      </c>
      <c r="U1520">
        <v>-19.020835000000002</v>
      </c>
    </row>
    <row r="1521" spans="1:21">
      <c r="A1521" t="s">
        <v>94</v>
      </c>
      <c r="B1521">
        <v>2006</v>
      </c>
      <c r="C1521">
        <v>129510.24</v>
      </c>
      <c r="D1521">
        <v>2329.9999240000002</v>
      </c>
      <c r="E1521">
        <v>0.01</v>
      </c>
      <c r="F1521">
        <v>0</v>
      </c>
      <c r="G1521">
        <v>9.85</v>
      </c>
      <c r="H1521">
        <v>99.898589999999999</v>
      </c>
      <c r="J1521">
        <v>64.02</v>
      </c>
      <c r="K1521">
        <v>3</v>
      </c>
      <c r="L1521">
        <v>100</v>
      </c>
      <c r="M1521">
        <v>100</v>
      </c>
      <c r="N1521">
        <v>70.918279999999996</v>
      </c>
      <c r="P1521">
        <v>6.3169930860000001</v>
      </c>
      <c r="Q1521">
        <v>57492.934249999998</v>
      </c>
      <c r="R1521">
        <v>10.67</v>
      </c>
      <c r="S1521">
        <v>103000</v>
      </c>
      <c r="T1521">
        <v>64.963050999999993</v>
      </c>
      <c r="U1521">
        <v>-19.020835000000002</v>
      </c>
    </row>
    <row r="1522" spans="1:21">
      <c r="A1522" t="s">
        <v>94</v>
      </c>
      <c r="B1522">
        <v>2007</v>
      </c>
      <c r="C1522">
        <v>144361.56</v>
      </c>
      <c r="D1522">
        <v>2380.0001139999999</v>
      </c>
      <c r="E1522">
        <v>0</v>
      </c>
      <c r="F1522">
        <v>0</v>
      </c>
      <c r="G1522">
        <v>11.89</v>
      </c>
      <c r="H1522">
        <v>100</v>
      </c>
      <c r="J1522">
        <v>67.52</v>
      </c>
      <c r="K1522">
        <v>3</v>
      </c>
      <c r="L1522">
        <v>100</v>
      </c>
      <c r="M1522">
        <v>100</v>
      </c>
      <c r="N1522">
        <v>74.301689999999994</v>
      </c>
      <c r="P1522">
        <v>8.4548600960000009</v>
      </c>
      <c r="Q1522">
        <v>69495.726739999998</v>
      </c>
      <c r="R1522">
        <v>11.69</v>
      </c>
      <c r="S1522">
        <v>103000</v>
      </c>
      <c r="T1522">
        <v>64.963050999999993</v>
      </c>
      <c r="U1522">
        <v>-19.020835000000002</v>
      </c>
    </row>
    <row r="1523" spans="1:21">
      <c r="A1523" t="s">
        <v>94</v>
      </c>
      <c r="B1523">
        <v>2008</v>
      </c>
      <c r="C1523">
        <v>177673.47</v>
      </c>
      <c r="D1523">
        <v>2180.0000669999999</v>
      </c>
      <c r="E1523">
        <v>0</v>
      </c>
      <c r="F1523">
        <v>0</v>
      </c>
      <c r="G1523">
        <v>16.34</v>
      </c>
      <c r="H1523">
        <v>100</v>
      </c>
      <c r="J1523">
        <v>74</v>
      </c>
      <c r="K1523">
        <v>3</v>
      </c>
      <c r="L1523">
        <v>100</v>
      </c>
      <c r="M1523">
        <v>100</v>
      </c>
      <c r="N1523">
        <v>81.151619999999994</v>
      </c>
      <c r="P1523">
        <v>2.2094964190000002</v>
      </c>
      <c r="Q1523">
        <v>56943.370450000002</v>
      </c>
      <c r="R1523">
        <v>12.92</v>
      </c>
      <c r="S1523">
        <v>103000</v>
      </c>
      <c r="T1523">
        <v>64.963050999999993</v>
      </c>
      <c r="U1523">
        <v>-19.020835000000002</v>
      </c>
    </row>
    <row r="1524" spans="1:21">
      <c r="A1524" t="s">
        <v>94</v>
      </c>
      <c r="B1524">
        <v>2009</v>
      </c>
      <c r="C1524">
        <v>176767.39</v>
      </c>
      <c r="D1524">
        <v>2109.9998949999999</v>
      </c>
      <c r="E1524">
        <v>0</v>
      </c>
      <c r="F1524">
        <v>0</v>
      </c>
      <c r="G1524">
        <v>16.71</v>
      </c>
      <c r="H1524">
        <v>100</v>
      </c>
      <c r="J1524">
        <v>74.69</v>
      </c>
      <c r="K1524">
        <v>3</v>
      </c>
      <c r="L1524">
        <v>100</v>
      </c>
      <c r="M1524">
        <v>100</v>
      </c>
      <c r="N1524">
        <v>82.502600000000001</v>
      </c>
      <c r="P1524">
        <v>-7.6638095599999998</v>
      </c>
      <c r="Q1524">
        <v>41301.273220000003</v>
      </c>
      <c r="R1524">
        <v>14.52</v>
      </c>
      <c r="S1524">
        <v>103000</v>
      </c>
      <c r="T1524">
        <v>64.963050999999993</v>
      </c>
      <c r="U1524">
        <v>-19.020835000000002</v>
      </c>
    </row>
    <row r="1525" spans="1:21">
      <c r="A1525" t="s">
        <v>94</v>
      </c>
      <c r="B1525">
        <v>2010</v>
      </c>
      <c r="C1525">
        <v>177121.83</v>
      </c>
      <c r="D1525">
        <v>1960.0000379999999</v>
      </c>
      <c r="E1525">
        <v>0</v>
      </c>
      <c r="F1525">
        <v>0</v>
      </c>
      <c r="G1525">
        <v>16.739999999999998</v>
      </c>
      <c r="H1525">
        <v>100</v>
      </c>
      <c r="J1525">
        <v>75.959999999999994</v>
      </c>
      <c r="K1525">
        <v>3</v>
      </c>
      <c r="L1525">
        <v>100</v>
      </c>
      <c r="M1525">
        <v>100</v>
      </c>
      <c r="N1525">
        <v>83.076279999999997</v>
      </c>
      <c r="P1525">
        <v>-2.8327749149999999</v>
      </c>
      <c r="Q1525">
        <v>43237.072950000002</v>
      </c>
      <c r="R1525">
        <v>15.02</v>
      </c>
      <c r="S1525">
        <v>103000</v>
      </c>
      <c r="T1525">
        <v>64.963050999999993</v>
      </c>
      <c r="U1525">
        <v>-19.020835000000002</v>
      </c>
    </row>
    <row r="1526" spans="1:21">
      <c r="A1526" t="s">
        <v>94</v>
      </c>
      <c r="B1526">
        <v>2011</v>
      </c>
      <c r="C1526">
        <v>176561.36</v>
      </c>
      <c r="D1526">
        <v>1889.999986</v>
      </c>
      <c r="E1526">
        <v>0</v>
      </c>
      <c r="F1526">
        <v>0</v>
      </c>
      <c r="G1526">
        <v>16.850000000000001</v>
      </c>
      <c r="H1526">
        <v>100</v>
      </c>
      <c r="J1526">
        <v>77.19</v>
      </c>
      <c r="K1526">
        <v>3</v>
      </c>
      <c r="L1526">
        <v>100</v>
      </c>
      <c r="M1526">
        <v>100</v>
      </c>
      <c r="N1526">
        <v>83.273989999999998</v>
      </c>
      <c r="P1526">
        <v>1.8457791560000001</v>
      </c>
      <c r="Q1526">
        <v>47714.592230000002</v>
      </c>
      <c r="R1526">
        <v>15.78</v>
      </c>
      <c r="S1526">
        <v>103000</v>
      </c>
      <c r="T1526">
        <v>64.963050999999993</v>
      </c>
      <c r="U1526">
        <v>-19.020835000000002</v>
      </c>
    </row>
    <row r="1527" spans="1:21">
      <c r="A1527" t="s">
        <v>94</v>
      </c>
      <c r="B1527">
        <v>2012</v>
      </c>
      <c r="C1527">
        <v>177259.34</v>
      </c>
      <c r="D1527">
        <v>1860.000014</v>
      </c>
      <c r="E1527">
        <v>0</v>
      </c>
      <c r="F1527">
        <v>0</v>
      </c>
      <c r="G1527">
        <v>17.29</v>
      </c>
      <c r="H1527">
        <v>100</v>
      </c>
      <c r="J1527">
        <v>77.819999999999993</v>
      </c>
      <c r="K1527">
        <v>3</v>
      </c>
      <c r="L1527">
        <v>100</v>
      </c>
      <c r="M1527">
        <v>100</v>
      </c>
      <c r="N1527">
        <v>83.540469999999999</v>
      </c>
      <c r="P1527">
        <v>1.0636366070000001</v>
      </c>
      <c r="Q1527">
        <v>45995.547879999998</v>
      </c>
      <c r="R1527">
        <v>15.24</v>
      </c>
      <c r="S1527">
        <v>103000</v>
      </c>
      <c r="T1527">
        <v>64.963050999999993</v>
      </c>
      <c r="U1527">
        <v>-19.020835000000002</v>
      </c>
    </row>
    <row r="1528" spans="1:21">
      <c r="A1528" t="s">
        <v>94</v>
      </c>
      <c r="B1528">
        <v>2013</v>
      </c>
      <c r="C1528">
        <v>181204.22</v>
      </c>
      <c r="D1528">
        <v>2029.999971</v>
      </c>
      <c r="E1528">
        <v>0</v>
      </c>
      <c r="F1528">
        <v>0</v>
      </c>
      <c r="G1528">
        <v>17.989999999999998</v>
      </c>
      <c r="H1528">
        <v>100</v>
      </c>
      <c r="J1528">
        <v>76.73</v>
      </c>
      <c r="K1528">
        <v>3</v>
      </c>
      <c r="L1528">
        <v>100</v>
      </c>
      <c r="M1528">
        <v>100</v>
      </c>
      <c r="N1528">
        <v>83.091859999999997</v>
      </c>
      <c r="P1528">
        <v>4.5524603199999998</v>
      </c>
      <c r="Q1528">
        <v>49804.983</v>
      </c>
      <c r="R1528">
        <v>15.2</v>
      </c>
      <c r="S1528">
        <v>103000</v>
      </c>
      <c r="T1528">
        <v>64.963050999999993</v>
      </c>
      <c r="U1528">
        <v>-19.020835000000002</v>
      </c>
    </row>
    <row r="1529" spans="1:21">
      <c r="A1529" t="s">
        <v>94</v>
      </c>
      <c r="B1529">
        <v>2014</v>
      </c>
      <c r="C1529">
        <v>178940.12</v>
      </c>
      <c r="D1529">
        <v>2049.9999520000001</v>
      </c>
      <c r="E1529">
        <v>0</v>
      </c>
      <c r="F1529">
        <v>0</v>
      </c>
      <c r="G1529">
        <v>17.8</v>
      </c>
      <c r="H1529">
        <v>100</v>
      </c>
      <c r="J1529">
        <v>76.989999999999995</v>
      </c>
      <c r="K1529">
        <v>3</v>
      </c>
      <c r="L1529">
        <v>100</v>
      </c>
      <c r="M1529">
        <v>100</v>
      </c>
      <c r="N1529">
        <v>82.747855999999999</v>
      </c>
      <c r="P1529">
        <v>1.6872150180000001</v>
      </c>
      <c r="Q1529">
        <v>54576.744809999997</v>
      </c>
      <c r="R1529">
        <v>14.89</v>
      </c>
      <c r="S1529">
        <v>103000</v>
      </c>
      <c r="T1529">
        <v>64.963050999999993</v>
      </c>
      <c r="U1529">
        <v>-19.020835000000002</v>
      </c>
    </row>
    <row r="1530" spans="1:21">
      <c r="A1530" t="s">
        <v>94</v>
      </c>
      <c r="B1530">
        <v>2015</v>
      </c>
      <c r="C1530">
        <v>184878.39</v>
      </c>
      <c r="D1530">
        <v>2059.9999429999998</v>
      </c>
      <c r="E1530">
        <v>0</v>
      </c>
      <c r="F1530">
        <v>0</v>
      </c>
      <c r="G1530">
        <v>18.55</v>
      </c>
      <c r="H1530">
        <v>100</v>
      </c>
      <c r="J1530">
        <v>77.33</v>
      </c>
      <c r="K1530">
        <v>3</v>
      </c>
      <c r="L1530">
        <v>100</v>
      </c>
      <c r="M1530">
        <v>100</v>
      </c>
      <c r="N1530">
        <v>81.80247</v>
      </c>
      <c r="P1530">
        <v>4.4366637190000002</v>
      </c>
      <c r="Q1530">
        <v>52951.681510000002</v>
      </c>
      <c r="R1530">
        <v>13.58</v>
      </c>
      <c r="S1530">
        <v>103000</v>
      </c>
      <c r="T1530">
        <v>64.963050999999993</v>
      </c>
      <c r="U1530">
        <v>-19.020835000000002</v>
      </c>
    </row>
    <row r="1531" spans="1:21">
      <c r="A1531" t="s">
        <v>94</v>
      </c>
      <c r="B1531">
        <v>2016</v>
      </c>
      <c r="C1531">
        <v>183038.07999999999</v>
      </c>
      <c r="D1531">
        <v>1629.9999949999999</v>
      </c>
      <c r="E1531">
        <v>0</v>
      </c>
      <c r="F1531">
        <v>0</v>
      </c>
      <c r="G1531">
        <v>18.170000000000002</v>
      </c>
      <c r="H1531">
        <v>100</v>
      </c>
      <c r="J1531">
        <v>80.25</v>
      </c>
      <c r="K1531">
        <v>3</v>
      </c>
      <c r="L1531">
        <v>100</v>
      </c>
      <c r="M1531">
        <v>100</v>
      </c>
      <c r="N1531">
        <v>79.913979999999995</v>
      </c>
      <c r="P1531">
        <v>6.303687107</v>
      </c>
      <c r="Q1531">
        <v>61987.926359999998</v>
      </c>
      <c r="R1531">
        <v>12.07</v>
      </c>
      <c r="S1531">
        <v>103000</v>
      </c>
      <c r="T1531">
        <v>64.963050999999993</v>
      </c>
      <c r="U1531">
        <v>-19.020835000000002</v>
      </c>
    </row>
    <row r="1532" spans="1:21">
      <c r="A1532" t="s">
        <v>94</v>
      </c>
      <c r="B1532">
        <v>2017</v>
      </c>
      <c r="C1532">
        <v>186955.55</v>
      </c>
      <c r="D1532">
        <v>1669.999957</v>
      </c>
      <c r="E1532">
        <v>0</v>
      </c>
      <c r="F1532">
        <v>0</v>
      </c>
      <c r="G1532">
        <v>18.84</v>
      </c>
      <c r="H1532">
        <v>100</v>
      </c>
      <c r="J1532">
        <v>80.08</v>
      </c>
      <c r="K1532">
        <v>3</v>
      </c>
      <c r="L1532">
        <v>100</v>
      </c>
      <c r="M1532">
        <v>100</v>
      </c>
      <c r="N1532">
        <v>78.819270000000003</v>
      </c>
      <c r="P1532">
        <v>4.1949488290000003</v>
      </c>
      <c r="Q1532">
        <v>72010.14903</v>
      </c>
      <c r="R1532">
        <v>12.18</v>
      </c>
      <c r="S1532">
        <v>103000</v>
      </c>
      <c r="T1532">
        <v>64.963050999999993</v>
      </c>
      <c r="U1532">
        <v>-19.020835000000002</v>
      </c>
    </row>
    <row r="1533" spans="1:21">
      <c r="A1533" t="s">
        <v>94</v>
      </c>
      <c r="B1533">
        <v>2018</v>
      </c>
      <c r="C1533">
        <v>188294</v>
      </c>
      <c r="D1533">
        <v>1700.0000480000001</v>
      </c>
      <c r="E1533">
        <v>0</v>
      </c>
      <c r="F1533">
        <v>0</v>
      </c>
      <c r="G1533">
        <v>19.43</v>
      </c>
      <c r="H1533">
        <v>100</v>
      </c>
      <c r="J1533">
        <v>80.709999999999994</v>
      </c>
      <c r="K1533">
        <v>3</v>
      </c>
      <c r="L1533">
        <v>100</v>
      </c>
      <c r="M1533">
        <v>100</v>
      </c>
      <c r="N1533">
        <v>77.964960000000005</v>
      </c>
      <c r="P1533">
        <v>4.8921807309999998</v>
      </c>
      <c r="Q1533">
        <v>74469.804059999995</v>
      </c>
      <c r="R1533">
        <v>12.78</v>
      </c>
      <c r="S1533">
        <v>103000</v>
      </c>
      <c r="T1533">
        <v>64.963050999999993</v>
      </c>
      <c r="U1533">
        <v>-19.020835000000002</v>
      </c>
    </row>
    <row r="1534" spans="1:21">
      <c r="A1534" t="s">
        <v>94</v>
      </c>
      <c r="B1534">
        <v>2019</v>
      </c>
      <c r="C1534">
        <v>175527.73</v>
      </c>
      <c r="D1534">
        <v>1639.999986</v>
      </c>
      <c r="E1534">
        <v>0</v>
      </c>
      <c r="F1534">
        <v>0</v>
      </c>
      <c r="G1534">
        <v>19.12</v>
      </c>
      <c r="H1534">
        <v>100</v>
      </c>
      <c r="J1534">
        <v>81.069999999999993</v>
      </c>
      <c r="K1534">
        <v>3</v>
      </c>
      <c r="L1534">
        <v>100</v>
      </c>
      <c r="M1534">
        <v>100</v>
      </c>
      <c r="N1534">
        <v>80.097189999999998</v>
      </c>
      <c r="P1534">
        <v>2.4348230000000002</v>
      </c>
      <c r="Q1534">
        <v>68941.462230000005</v>
      </c>
      <c r="R1534">
        <v>12.27</v>
      </c>
      <c r="S1534">
        <v>103000</v>
      </c>
      <c r="T1534">
        <v>64.963050999999993</v>
      </c>
      <c r="U1534">
        <v>-19.020835000000002</v>
      </c>
    </row>
    <row r="1535" spans="1:21">
      <c r="A1535" t="s">
        <v>94</v>
      </c>
      <c r="B1535">
        <v>2020</v>
      </c>
      <c r="C1535">
        <v>155754.6</v>
      </c>
      <c r="E1535">
        <v>0</v>
      </c>
      <c r="F1535">
        <v>0</v>
      </c>
      <c r="G1535">
        <v>18.78</v>
      </c>
      <c r="H1535">
        <v>100</v>
      </c>
      <c r="K1535">
        <v>3</v>
      </c>
      <c r="L1535">
        <v>100</v>
      </c>
      <c r="M1535">
        <v>100</v>
      </c>
      <c r="N1535">
        <v>86.836585999999997</v>
      </c>
      <c r="P1535">
        <v>-6.50391225</v>
      </c>
      <c r="Q1535">
        <v>59270.180050000003</v>
      </c>
      <c r="S1535">
        <v>103000</v>
      </c>
      <c r="T1535">
        <v>64.963050999999993</v>
      </c>
      <c r="U1535">
        <v>-19.020835000000002</v>
      </c>
    </row>
    <row r="1536" spans="1:21">
      <c r="A1536" t="s">
        <v>95</v>
      </c>
      <c r="B1536">
        <v>2000</v>
      </c>
      <c r="C1536">
        <v>3518.6821</v>
      </c>
      <c r="D1536">
        <v>937860</v>
      </c>
      <c r="E1536">
        <v>475.35</v>
      </c>
      <c r="F1536">
        <v>15.77</v>
      </c>
      <c r="G1536">
        <v>80.27</v>
      </c>
      <c r="H1536">
        <v>16.808133999999999</v>
      </c>
      <c r="I1536">
        <v>23.66</v>
      </c>
      <c r="J1536">
        <v>46.88</v>
      </c>
      <c r="K1536">
        <v>464</v>
      </c>
      <c r="L1536">
        <v>58.721474000000001</v>
      </c>
      <c r="M1536">
        <v>22.3</v>
      </c>
      <c r="N1536">
        <v>6.3762894000000001</v>
      </c>
      <c r="O1536">
        <v>485730000</v>
      </c>
      <c r="P1536">
        <v>3.8409911569999999</v>
      </c>
      <c r="Q1536">
        <v>443.3141938</v>
      </c>
      <c r="R1536">
        <v>6.42</v>
      </c>
      <c r="S1536">
        <v>3287263</v>
      </c>
      <c r="T1536">
        <v>20.593684</v>
      </c>
      <c r="U1536">
        <v>78.962879999999998</v>
      </c>
    </row>
    <row r="1537" spans="1:21">
      <c r="A1537" t="s">
        <v>95</v>
      </c>
      <c r="B1537">
        <v>2001</v>
      </c>
      <c r="C1537">
        <v>3469.8364000000001</v>
      </c>
      <c r="D1537">
        <v>953540</v>
      </c>
      <c r="E1537">
        <v>491.01</v>
      </c>
      <c r="F1537">
        <v>18.89</v>
      </c>
      <c r="G1537">
        <v>76.19</v>
      </c>
      <c r="H1537">
        <v>16.222763</v>
      </c>
      <c r="I1537">
        <v>24.81</v>
      </c>
      <c r="J1537">
        <v>47.11</v>
      </c>
      <c r="K1537">
        <v>464</v>
      </c>
      <c r="L1537">
        <v>55.8</v>
      </c>
      <c r="M1537">
        <v>23.4</v>
      </c>
      <c r="N1537">
        <v>5.9925246000000003</v>
      </c>
      <c r="O1537">
        <v>193140000</v>
      </c>
      <c r="P1537">
        <v>4.8239662640000001</v>
      </c>
      <c r="Q1537">
        <v>451.5729973</v>
      </c>
      <c r="R1537">
        <v>6.22</v>
      </c>
      <c r="S1537">
        <v>3287263</v>
      </c>
      <c r="T1537">
        <v>20.593684</v>
      </c>
      <c r="U1537">
        <v>78.962879999999998</v>
      </c>
    </row>
    <row r="1538" spans="1:21">
      <c r="A1538" t="s">
        <v>95</v>
      </c>
      <c r="B1538">
        <v>2002</v>
      </c>
      <c r="C1538">
        <v>3519.7168000000001</v>
      </c>
      <c r="D1538">
        <v>985450.0122</v>
      </c>
      <c r="E1538">
        <v>517.51</v>
      </c>
      <c r="F1538">
        <v>19.350000000000001</v>
      </c>
      <c r="G1538">
        <v>72.78</v>
      </c>
      <c r="H1538">
        <v>15.112197</v>
      </c>
      <c r="I1538">
        <v>24.54</v>
      </c>
      <c r="J1538">
        <v>45.75</v>
      </c>
      <c r="K1538">
        <v>464</v>
      </c>
      <c r="L1538">
        <v>62.3</v>
      </c>
      <c r="M1538">
        <v>24.7</v>
      </c>
      <c r="N1538">
        <v>5.7318319999999998</v>
      </c>
      <c r="O1538">
        <v>17160000</v>
      </c>
      <c r="P1538">
        <v>3.8039753209999998</v>
      </c>
      <c r="Q1538">
        <v>470.9867868</v>
      </c>
      <c r="R1538">
        <v>6.16</v>
      </c>
      <c r="S1538">
        <v>3287263</v>
      </c>
      <c r="T1538">
        <v>20.593684</v>
      </c>
      <c r="U1538">
        <v>78.962879999999998</v>
      </c>
    </row>
    <row r="1539" spans="1:21">
      <c r="A1539" t="s">
        <v>95</v>
      </c>
      <c r="B1539">
        <v>2003</v>
      </c>
      <c r="C1539">
        <v>3583.3395999999998</v>
      </c>
      <c r="D1539">
        <v>1011770.02</v>
      </c>
      <c r="E1539">
        <v>545.36</v>
      </c>
      <c r="F1539">
        <v>18.14</v>
      </c>
      <c r="G1539">
        <v>74.63</v>
      </c>
      <c r="H1539">
        <v>14.537789999999999</v>
      </c>
      <c r="I1539">
        <v>27.23</v>
      </c>
      <c r="J1539">
        <v>45.63</v>
      </c>
      <c r="K1539">
        <v>464</v>
      </c>
      <c r="L1539">
        <v>64.047484999999995</v>
      </c>
      <c r="M1539">
        <v>25.9</v>
      </c>
      <c r="N1539">
        <v>5.6240616000000001</v>
      </c>
      <c r="O1539">
        <v>10700000</v>
      </c>
      <c r="P1539">
        <v>7.8603814759999997</v>
      </c>
      <c r="Q1539">
        <v>546.72661349999998</v>
      </c>
      <c r="R1539">
        <v>5.84</v>
      </c>
      <c r="S1539">
        <v>3287263</v>
      </c>
      <c r="T1539">
        <v>20.593684</v>
      </c>
      <c r="U1539">
        <v>78.962879999999998</v>
      </c>
    </row>
    <row r="1540" spans="1:21">
      <c r="A1540" t="s">
        <v>95</v>
      </c>
      <c r="B1540">
        <v>2004</v>
      </c>
      <c r="C1540">
        <v>3826.2053000000001</v>
      </c>
      <c r="D1540">
        <v>1085670.044</v>
      </c>
      <c r="E1540">
        <v>567.86</v>
      </c>
      <c r="F1540">
        <v>21.26</v>
      </c>
      <c r="G1540">
        <v>109.2</v>
      </c>
      <c r="H1540">
        <v>18.681979999999999</v>
      </c>
      <c r="I1540">
        <v>29.38</v>
      </c>
      <c r="J1540">
        <v>44.92</v>
      </c>
      <c r="K1540">
        <v>464</v>
      </c>
      <c r="L1540">
        <v>64.400000000000006</v>
      </c>
      <c r="M1540">
        <v>27.3</v>
      </c>
      <c r="N1540">
        <v>7.4608489999999996</v>
      </c>
      <c r="O1540">
        <v>399430000</v>
      </c>
      <c r="P1540">
        <v>7.9229366130000001</v>
      </c>
      <c r="Q1540">
        <v>627.77424169999995</v>
      </c>
      <c r="R1540">
        <v>5.73</v>
      </c>
      <c r="S1540">
        <v>3287263</v>
      </c>
      <c r="T1540">
        <v>20.593684</v>
      </c>
      <c r="U1540">
        <v>78.962879999999998</v>
      </c>
    </row>
    <row r="1541" spans="1:21">
      <c r="A1541" t="s">
        <v>95</v>
      </c>
      <c r="B1541">
        <v>2005</v>
      </c>
      <c r="C1541">
        <v>3987.0565999999999</v>
      </c>
      <c r="D1541">
        <v>1136469.9709999999</v>
      </c>
      <c r="E1541">
        <v>579.32000000000005</v>
      </c>
      <c r="F1541">
        <v>17.73</v>
      </c>
      <c r="G1541">
        <v>107.47</v>
      </c>
      <c r="H1541">
        <v>17.770963999999999</v>
      </c>
      <c r="I1541">
        <v>31.68</v>
      </c>
      <c r="J1541">
        <v>44.16</v>
      </c>
      <c r="K1541">
        <v>464</v>
      </c>
      <c r="L1541">
        <v>67.579809999999995</v>
      </c>
      <c r="M1541">
        <v>28.6</v>
      </c>
      <c r="N1541">
        <v>6.8943167000000001</v>
      </c>
      <c r="O1541">
        <v>175340000</v>
      </c>
      <c r="P1541">
        <v>7.9234306209999996</v>
      </c>
      <c r="Q1541">
        <v>714.86101540000004</v>
      </c>
      <c r="R1541">
        <v>5.52</v>
      </c>
      <c r="S1541">
        <v>3287263</v>
      </c>
      <c r="T1541">
        <v>20.593684</v>
      </c>
      <c r="U1541">
        <v>78.962879999999998</v>
      </c>
    </row>
    <row r="1542" spans="1:21">
      <c r="A1542" t="s">
        <v>95</v>
      </c>
      <c r="B1542">
        <v>2006</v>
      </c>
      <c r="C1542">
        <v>4136.6674999999996</v>
      </c>
      <c r="D1542">
        <v>1215209.9609999999</v>
      </c>
      <c r="E1542">
        <v>599.24</v>
      </c>
      <c r="F1542">
        <v>17.63</v>
      </c>
      <c r="G1542">
        <v>127.56</v>
      </c>
      <c r="H1542">
        <v>19.503513000000002</v>
      </c>
      <c r="I1542">
        <v>34.85</v>
      </c>
      <c r="J1542">
        <v>43.16</v>
      </c>
      <c r="K1542">
        <v>464</v>
      </c>
      <c r="L1542">
        <v>67.900000000000006</v>
      </c>
      <c r="M1542">
        <v>29.5</v>
      </c>
      <c r="N1542">
        <v>7.7062397000000002</v>
      </c>
      <c r="O1542">
        <v>160980000</v>
      </c>
      <c r="P1542">
        <v>8.0607325729999992</v>
      </c>
      <c r="Q1542">
        <v>806.75328060000004</v>
      </c>
      <c r="R1542">
        <v>5.39</v>
      </c>
      <c r="S1542">
        <v>3287263</v>
      </c>
      <c r="T1542">
        <v>20.593684</v>
      </c>
      <c r="U1542">
        <v>78.962879999999998</v>
      </c>
    </row>
    <row r="1543" spans="1:21">
      <c r="A1543" t="s">
        <v>95</v>
      </c>
      <c r="B1543">
        <v>2007</v>
      </c>
      <c r="C1543">
        <v>4423.9287000000004</v>
      </c>
      <c r="D1543">
        <v>1336739.99</v>
      </c>
      <c r="E1543">
        <v>636.67999999999995</v>
      </c>
      <c r="F1543">
        <v>17.829999999999998</v>
      </c>
      <c r="G1543">
        <v>141.75</v>
      </c>
      <c r="H1543">
        <v>20.041193</v>
      </c>
      <c r="I1543">
        <v>36.69</v>
      </c>
      <c r="J1543">
        <v>41.53</v>
      </c>
      <c r="K1543">
        <v>464</v>
      </c>
      <c r="L1543">
        <v>71.119865000000004</v>
      </c>
      <c r="M1543">
        <v>30.55</v>
      </c>
      <c r="N1543">
        <v>7.8556447</v>
      </c>
      <c r="O1543">
        <v>465640000</v>
      </c>
      <c r="P1543">
        <v>7.6608150650000004</v>
      </c>
      <c r="Q1543">
        <v>1028.3347719999999</v>
      </c>
      <c r="R1543">
        <v>5.31</v>
      </c>
      <c r="S1543">
        <v>3287263</v>
      </c>
      <c r="T1543">
        <v>20.593684</v>
      </c>
      <c r="U1543">
        <v>78.962879999999998</v>
      </c>
    </row>
    <row r="1544" spans="1:21">
      <c r="A1544" t="s">
        <v>95</v>
      </c>
      <c r="B1544">
        <v>2008</v>
      </c>
      <c r="C1544">
        <v>4616.3389999999999</v>
      </c>
      <c r="D1544">
        <v>1424380.0049999999</v>
      </c>
      <c r="E1544">
        <v>674.27</v>
      </c>
      <c r="F1544">
        <v>15.23</v>
      </c>
      <c r="G1544">
        <v>138.91</v>
      </c>
      <c r="H1544">
        <v>18.606729999999999</v>
      </c>
      <c r="I1544">
        <v>39.299999999999997</v>
      </c>
      <c r="J1544">
        <v>39.369999999999997</v>
      </c>
      <c r="K1544">
        <v>464</v>
      </c>
      <c r="L1544">
        <v>72.899379999999994</v>
      </c>
      <c r="M1544">
        <v>32</v>
      </c>
      <c r="N1544">
        <v>7.2570652999999998</v>
      </c>
      <c r="O1544">
        <v>369350000</v>
      </c>
      <c r="P1544">
        <v>3.0866980599999998</v>
      </c>
      <c r="Q1544">
        <v>998.52234150000004</v>
      </c>
      <c r="R1544">
        <v>5.43</v>
      </c>
      <c r="S1544">
        <v>3287263</v>
      </c>
      <c r="T1544">
        <v>20.593684</v>
      </c>
      <c r="U1544">
        <v>78.962879999999998</v>
      </c>
    </row>
    <row r="1545" spans="1:21">
      <c r="A1545" t="s">
        <v>95</v>
      </c>
      <c r="B1545">
        <v>2009</v>
      </c>
      <c r="C1545">
        <v>4892.3793999999998</v>
      </c>
      <c r="D1545">
        <v>1564880.0049999999</v>
      </c>
      <c r="E1545">
        <v>728.56</v>
      </c>
      <c r="F1545">
        <v>16.82</v>
      </c>
      <c r="G1545">
        <v>134.33000000000001</v>
      </c>
      <c r="H1545">
        <v>17.181797</v>
      </c>
      <c r="I1545">
        <v>39.61</v>
      </c>
      <c r="J1545">
        <v>37.409999999999997</v>
      </c>
      <c r="K1545">
        <v>464</v>
      </c>
      <c r="L1545">
        <v>75</v>
      </c>
      <c r="M1545">
        <v>34</v>
      </c>
      <c r="N1545">
        <v>6.4735703000000004</v>
      </c>
      <c r="O1545">
        <v>210650000</v>
      </c>
      <c r="P1545">
        <v>7.8618888330000001</v>
      </c>
      <c r="Q1545">
        <v>1101.960838</v>
      </c>
      <c r="R1545">
        <v>5.5</v>
      </c>
      <c r="S1545">
        <v>3287263</v>
      </c>
      <c r="T1545">
        <v>20.593684</v>
      </c>
      <c r="U1545">
        <v>78.962879999999998</v>
      </c>
    </row>
    <row r="1546" spans="1:21">
      <c r="A1546" t="s">
        <v>95</v>
      </c>
      <c r="B1546">
        <v>2010</v>
      </c>
      <c r="C1546">
        <v>5033.7749999999996</v>
      </c>
      <c r="D1546">
        <v>1659979.98</v>
      </c>
      <c r="E1546">
        <v>771.78</v>
      </c>
      <c r="F1546">
        <v>23.08</v>
      </c>
      <c r="G1546">
        <v>142.61000000000001</v>
      </c>
      <c r="H1546">
        <v>17.674166</v>
      </c>
      <c r="I1546">
        <v>42.34</v>
      </c>
      <c r="J1546">
        <v>36.159999999999997</v>
      </c>
      <c r="K1546">
        <v>464</v>
      </c>
      <c r="L1546">
        <v>76.3</v>
      </c>
      <c r="M1546">
        <v>35.4</v>
      </c>
      <c r="N1546">
        <v>6.5836709999999998</v>
      </c>
      <c r="O1546">
        <v>372820000</v>
      </c>
      <c r="P1546">
        <v>8.4975847019999993</v>
      </c>
      <c r="Q1546">
        <v>1357.563727</v>
      </c>
      <c r="R1546">
        <v>5.34</v>
      </c>
      <c r="S1546">
        <v>3287263</v>
      </c>
      <c r="T1546">
        <v>20.593684</v>
      </c>
      <c r="U1546">
        <v>78.962879999999998</v>
      </c>
    </row>
    <row r="1547" spans="1:21">
      <c r="A1547" t="s">
        <v>95</v>
      </c>
      <c r="B1547">
        <v>2011</v>
      </c>
      <c r="C1547">
        <v>5236.9769999999999</v>
      </c>
      <c r="D1547">
        <v>1756739.99</v>
      </c>
      <c r="E1547">
        <v>828.16</v>
      </c>
      <c r="F1547">
        <v>32.22</v>
      </c>
      <c r="G1547">
        <v>173.62</v>
      </c>
      <c r="H1547">
        <v>19.907156000000001</v>
      </c>
      <c r="I1547">
        <v>46.43</v>
      </c>
      <c r="J1547">
        <v>35.01</v>
      </c>
      <c r="K1547">
        <v>464</v>
      </c>
      <c r="L1547">
        <v>67.599999999999994</v>
      </c>
      <c r="M1547">
        <v>37.200000000000003</v>
      </c>
      <c r="N1547">
        <v>7.5013430000000003</v>
      </c>
      <c r="O1547">
        <v>1950940000</v>
      </c>
      <c r="P1547">
        <v>5.2413150010000003</v>
      </c>
      <c r="Q1547">
        <v>1458.1040660000001</v>
      </c>
      <c r="R1547">
        <v>5.28</v>
      </c>
      <c r="S1547">
        <v>3287263</v>
      </c>
      <c r="T1547">
        <v>20.593684</v>
      </c>
      <c r="U1547">
        <v>78.962879999999998</v>
      </c>
    </row>
    <row r="1548" spans="1:21">
      <c r="A1548" t="s">
        <v>95</v>
      </c>
      <c r="B1548">
        <v>2012</v>
      </c>
      <c r="C1548">
        <v>5447.3413</v>
      </c>
      <c r="D1548">
        <v>1909439.9410000001</v>
      </c>
      <c r="E1548">
        <v>893.45</v>
      </c>
      <c r="F1548">
        <v>33.14</v>
      </c>
      <c r="G1548">
        <v>165.25</v>
      </c>
      <c r="H1548">
        <v>18.170245999999999</v>
      </c>
      <c r="I1548">
        <v>47.76</v>
      </c>
      <c r="J1548">
        <v>34.75</v>
      </c>
      <c r="K1548">
        <v>464</v>
      </c>
      <c r="L1548">
        <v>79.900000000000006</v>
      </c>
      <c r="M1548">
        <v>39.6</v>
      </c>
      <c r="N1548">
        <v>6.7272889999999999</v>
      </c>
      <c r="O1548">
        <v>1119110000</v>
      </c>
      <c r="P1548">
        <v>5.4563887529999997</v>
      </c>
      <c r="Q1548">
        <v>1443.882435</v>
      </c>
      <c r="R1548">
        <v>5.29</v>
      </c>
      <c r="S1548">
        <v>3287263</v>
      </c>
      <c r="T1548">
        <v>20.593684</v>
      </c>
      <c r="U1548">
        <v>78.962879999999998</v>
      </c>
    </row>
    <row r="1549" spans="1:21">
      <c r="A1549" t="s">
        <v>95</v>
      </c>
      <c r="B1549">
        <v>2013</v>
      </c>
      <c r="C1549">
        <v>5555.5483000000004</v>
      </c>
      <c r="D1549">
        <v>1972430.054</v>
      </c>
      <c r="E1549">
        <v>924.93</v>
      </c>
      <c r="F1549">
        <v>33.31</v>
      </c>
      <c r="G1549">
        <v>187.9</v>
      </c>
      <c r="H1549">
        <v>19.300433999999999</v>
      </c>
      <c r="I1549">
        <v>49.57</v>
      </c>
      <c r="J1549">
        <v>34.85</v>
      </c>
      <c r="K1549">
        <v>464</v>
      </c>
      <c r="L1549">
        <v>81.99933</v>
      </c>
      <c r="M1549">
        <v>41.6</v>
      </c>
      <c r="N1549">
        <v>7.3296650000000003</v>
      </c>
      <c r="O1549">
        <v>586410000</v>
      </c>
      <c r="P1549">
        <v>6.3861064010000002</v>
      </c>
      <c r="Q1549">
        <v>1449.610451</v>
      </c>
      <c r="R1549">
        <v>5.1100000000000003</v>
      </c>
      <c r="S1549">
        <v>3287263</v>
      </c>
      <c r="T1549">
        <v>20.593684</v>
      </c>
      <c r="U1549">
        <v>78.962879999999998</v>
      </c>
    </row>
    <row r="1550" spans="1:21">
      <c r="A1550" t="s">
        <v>95</v>
      </c>
      <c r="B1550">
        <v>2014</v>
      </c>
      <c r="C1550">
        <v>5857.2837</v>
      </c>
      <c r="D1550">
        <v>2147110.1069999998</v>
      </c>
      <c r="E1550">
        <v>1025.29</v>
      </c>
      <c r="F1550">
        <v>34.69</v>
      </c>
      <c r="G1550">
        <v>202.04</v>
      </c>
      <c r="H1550">
        <v>18.758022</v>
      </c>
      <c r="I1550">
        <v>55.41</v>
      </c>
      <c r="J1550">
        <v>33.85</v>
      </c>
      <c r="K1550">
        <v>464</v>
      </c>
      <c r="L1550">
        <v>83.872500000000002</v>
      </c>
      <c r="M1550">
        <v>44.8</v>
      </c>
      <c r="N1550">
        <v>7.3443360000000002</v>
      </c>
      <c r="O1550">
        <v>699800000</v>
      </c>
      <c r="P1550">
        <v>7.4102276050000002</v>
      </c>
      <c r="Q1550">
        <v>1573.885642</v>
      </c>
      <c r="R1550">
        <v>5.08</v>
      </c>
      <c r="S1550">
        <v>3287263</v>
      </c>
      <c r="T1550">
        <v>20.593684</v>
      </c>
      <c r="U1550">
        <v>78.962879999999998</v>
      </c>
    </row>
    <row r="1551" spans="1:21">
      <c r="A1551" t="s">
        <v>95</v>
      </c>
      <c r="B1551">
        <v>2015</v>
      </c>
      <c r="C1551">
        <v>5988.8334999999997</v>
      </c>
      <c r="D1551">
        <v>2158020.02</v>
      </c>
      <c r="E1551">
        <v>1080.44</v>
      </c>
      <c r="F1551">
        <v>38.31</v>
      </c>
      <c r="G1551">
        <v>203.21</v>
      </c>
      <c r="H1551">
        <v>18.269842000000001</v>
      </c>
      <c r="I1551">
        <v>59.9</v>
      </c>
      <c r="J1551">
        <v>33.4</v>
      </c>
      <c r="K1551">
        <v>464</v>
      </c>
      <c r="L1551">
        <v>88</v>
      </c>
      <c r="M1551">
        <v>48.2</v>
      </c>
      <c r="N1551">
        <v>7.1846456999999999</v>
      </c>
      <c r="O1551">
        <v>898770000</v>
      </c>
      <c r="P1551">
        <v>7.9962537859999996</v>
      </c>
      <c r="Q1551">
        <v>1605.6054449999999</v>
      </c>
      <c r="R1551">
        <v>4.82</v>
      </c>
      <c r="S1551">
        <v>3287263</v>
      </c>
      <c r="T1551">
        <v>20.593684</v>
      </c>
      <c r="U1551">
        <v>78.962879999999998</v>
      </c>
    </row>
    <row r="1552" spans="1:21">
      <c r="A1552" t="s">
        <v>95</v>
      </c>
      <c r="B1552">
        <v>2016</v>
      </c>
      <c r="C1552">
        <v>6184.2494999999999</v>
      </c>
      <c r="D1552">
        <v>2195250</v>
      </c>
      <c r="E1552">
        <v>1155.52</v>
      </c>
      <c r="F1552">
        <v>37.9</v>
      </c>
      <c r="G1552">
        <v>208.21</v>
      </c>
      <c r="H1552">
        <v>17.558841999999999</v>
      </c>
      <c r="I1552">
        <v>68.180000000000007</v>
      </c>
      <c r="J1552">
        <v>33.020000000000003</v>
      </c>
      <c r="K1552">
        <v>464</v>
      </c>
      <c r="L1552">
        <v>89.217799999999997</v>
      </c>
      <c r="M1552">
        <v>51.4</v>
      </c>
      <c r="N1552">
        <v>7.0113973999999999</v>
      </c>
      <c r="O1552">
        <v>2112780000</v>
      </c>
      <c r="P1552">
        <v>8.256305502</v>
      </c>
      <c r="Q1552">
        <v>1732.5542419999999</v>
      </c>
      <c r="R1552">
        <v>4.54</v>
      </c>
      <c r="S1552">
        <v>3287263</v>
      </c>
      <c r="T1552">
        <v>20.593684</v>
      </c>
      <c r="U1552">
        <v>78.962879999999998</v>
      </c>
    </row>
    <row r="1553" spans="1:21">
      <c r="A1553" t="s">
        <v>95</v>
      </c>
      <c r="B1553">
        <v>2017</v>
      </c>
      <c r="C1553">
        <v>6346.3545000000004</v>
      </c>
      <c r="D1553">
        <v>2320409.912</v>
      </c>
      <c r="E1553">
        <v>1198.8499999999999</v>
      </c>
      <c r="F1553">
        <v>37.409999999999997</v>
      </c>
      <c r="G1553">
        <v>234.9</v>
      </c>
      <c r="H1553">
        <v>18.509884</v>
      </c>
      <c r="I1553">
        <v>78.55</v>
      </c>
      <c r="J1553">
        <v>32.409999999999997</v>
      </c>
      <c r="K1553">
        <v>464</v>
      </c>
      <c r="L1553">
        <v>92.124949999999998</v>
      </c>
      <c r="M1553">
        <v>55.8</v>
      </c>
      <c r="N1553">
        <v>7.5118749999999999</v>
      </c>
      <c r="O1553">
        <v>861450000</v>
      </c>
      <c r="P1553">
        <v>6.7953834190000002</v>
      </c>
      <c r="Q1553">
        <v>1980.6670200000001</v>
      </c>
      <c r="R1553">
        <v>4.47</v>
      </c>
      <c r="S1553">
        <v>3287263</v>
      </c>
      <c r="T1553">
        <v>20.593684</v>
      </c>
      <c r="U1553">
        <v>78.962879999999998</v>
      </c>
    </row>
    <row r="1554" spans="1:21">
      <c r="A1554" t="s">
        <v>95</v>
      </c>
      <c r="B1554">
        <v>2018</v>
      </c>
      <c r="C1554">
        <v>6633.665</v>
      </c>
      <c r="D1554">
        <v>2451929.932</v>
      </c>
      <c r="E1554">
        <v>1276.32</v>
      </c>
      <c r="F1554">
        <v>39.049999999999997</v>
      </c>
      <c r="G1554">
        <v>263.61</v>
      </c>
      <c r="H1554">
        <v>19.16807</v>
      </c>
      <c r="I1554">
        <v>87.32</v>
      </c>
      <c r="J1554">
        <v>32.82</v>
      </c>
      <c r="K1554">
        <v>464</v>
      </c>
      <c r="L1554">
        <v>95.7</v>
      </c>
      <c r="M1554">
        <v>59.8</v>
      </c>
      <c r="N1554">
        <v>7.9128056000000004</v>
      </c>
      <c r="O1554">
        <v>1764130000</v>
      </c>
      <c r="P1554">
        <v>6.5329890109999997</v>
      </c>
      <c r="Q1554">
        <v>1996.9150870000001</v>
      </c>
      <c r="R1554">
        <v>4.4000000000000004</v>
      </c>
      <c r="S1554">
        <v>3287263</v>
      </c>
      <c r="T1554">
        <v>20.593684</v>
      </c>
      <c r="U1554">
        <v>78.962879999999998</v>
      </c>
    </row>
    <row r="1555" spans="1:21">
      <c r="A1555" t="s">
        <v>95</v>
      </c>
      <c r="B1555">
        <v>2019</v>
      </c>
      <c r="C1555">
        <v>6731.8050000000003</v>
      </c>
      <c r="D1555">
        <v>2456300.0490000001</v>
      </c>
      <c r="E1555">
        <v>1273.5899999999999</v>
      </c>
      <c r="F1555">
        <v>45.16</v>
      </c>
      <c r="G1555">
        <v>303.16000000000003</v>
      </c>
      <c r="H1555">
        <v>21.475914</v>
      </c>
      <c r="I1555">
        <v>93.89</v>
      </c>
      <c r="J1555">
        <v>32.93</v>
      </c>
      <c r="K1555">
        <v>464</v>
      </c>
      <c r="L1555">
        <v>97.308266000000003</v>
      </c>
      <c r="M1555">
        <v>63.9</v>
      </c>
      <c r="N1555">
        <v>8.8496190000000006</v>
      </c>
      <c r="O1555">
        <v>786330000</v>
      </c>
      <c r="P1555">
        <v>4.041554187</v>
      </c>
      <c r="Q1555">
        <v>2100.7514609999998</v>
      </c>
      <c r="R1555">
        <v>4.28</v>
      </c>
      <c r="S1555">
        <v>3287263</v>
      </c>
      <c r="T1555">
        <v>20.593684</v>
      </c>
      <c r="U1555">
        <v>78.962879999999998</v>
      </c>
    </row>
    <row r="1556" spans="1:21">
      <c r="A1556" t="s">
        <v>95</v>
      </c>
      <c r="B1556">
        <v>2020</v>
      </c>
      <c r="C1556">
        <v>6317.0959999999995</v>
      </c>
      <c r="E1556">
        <v>1202.3399999999999</v>
      </c>
      <c r="F1556">
        <v>44.61</v>
      </c>
      <c r="G1556">
        <v>315.76</v>
      </c>
      <c r="H1556">
        <v>23.060580999999999</v>
      </c>
      <c r="I1556">
        <v>97.29</v>
      </c>
      <c r="K1556">
        <v>464</v>
      </c>
      <c r="L1556">
        <v>99</v>
      </c>
      <c r="M1556">
        <v>67.900000000000006</v>
      </c>
      <c r="N1556">
        <v>9.7300369999999994</v>
      </c>
      <c r="P1556">
        <v>-7.2517547819999999</v>
      </c>
      <c r="Q1556">
        <v>1927.707823</v>
      </c>
      <c r="S1556">
        <v>3287263</v>
      </c>
      <c r="T1556">
        <v>20.593684</v>
      </c>
      <c r="U1556">
        <v>78.962879999999998</v>
      </c>
    </row>
    <row r="1557" spans="1:21">
      <c r="A1557" t="s">
        <v>96</v>
      </c>
      <c r="B1557">
        <v>2000</v>
      </c>
      <c r="C1557">
        <v>5435.4354999999996</v>
      </c>
      <c r="D1557">
        <v>280650</v>
      </c>
      <c r="E1557">
        <v>78.430000000000007</v>
      </c>
      <c r="G1557">
        <v>19.600000000000001</v>
      </c>
      <c r="H1557">
        <v>19.993880000000001</v>
      </c>
      <c r="I1557">
        <v>25.89</v>
      </c>
      <c r="J1557">
        <v>45.62</v>
      </c>
      <c r="K1557">
        <v>151</v>
      </c>
      <c r="L1557">
        <v>86.3</v>
      </c>
      <c r="M1557">
        <v>6.1</v>
      </c>
      <c r="N1557">
        <v>3.7336404000000001</v>
      </c>
      <c r="O1557">
        <v>2320000</v>
      </c>
      <c r="P1557">
        <v>4.920067747</v>
      </c>
      <c r="Q1557">
        <v>780.19020469999998</v>
      </c>
      <c r="R1557">
        <v>5.42</v>
      </c>
      <c r="S1557">
        <v>1904569</v>
      </c>
      <c r="T1557">
        <v>-0.78927499999999995</v>
      </c>
      <c r="U1557">
        <v>113.92132700000001</v>
      </c>
    </row>
    <row r="1558" spans="1:21">
      <c r="A1558" t="s">
        <v>96</v>
      </c>
      <c r="B1558">
        <v>2001</v>
      </c>
      <c r="C1558">
        <v>5740.4345999999996</v>
      </c>
      <c r="D1558">
        <v>302060</v>
      </c>
      <c r="E1558">
        <v>83.96</v>
      </c>
      <c r="G1558">
        <v>22.19</v>
      </c>
      <c r="H1558">
        <v>20.90438</v>
      </c>
      <c r="I1558">
        <v>21.71</v>
      </c>
      <c r="J1558">
        <v>44.33</v>
      </c>
      <c r="K1558">
        <v>151</v>
      </c>
      <c r="L1558">
        <v>86.26</v>
      </c>
      <c r="M1558">
        <v>6.9</v>
      </c>
      <c r="N1558">
        <v>4.1123867000000001</v>
      </c>
      <c r="O1558">
        <v>5090000</v>
      </c>
      <c r="P1558">
        <v>3.6434664470000002</v>
      </c>
      <c r="Q1558">
        <v>748.25760869999999</v>
      </c>
      <c r="R1558">
        <v>5.34</v>
      </c>
      <c r="S1558">
        <v>1904569</v>
      </c>
      <c r="T1558">
        <v>-0.78927499999999995</v>
      </c>
      <c r="U1558">
        <v>113.92132700000001</v>
      </c>
    </row>
    <row r="1559" spans="1:21">
      <c r="A1559" t="s">
        <v>96</v>
      </c>
      <c r="B1559">
        <v>2002</v>
      </c>
      <c r="C1559">
        <v>5815.3860000000004</v>
      </c>
      <c r="D1559">
        <v>305640.01459999999</v>
      </c>
      <c r="E1559">
        <v>92.03</v>
      </c>
      <c r="G1559">
        <v>21</v>
      </c>
      <c r="H1559">
        <v>18.579138</v>
      </c>
      <c r="I1559">
        <v>21.61</v>
      </c>
      <c r="J1559">
        <v>44.66</v>
      </c>
      <c r="K1559">
        <v>151</v>
      </c>
      <c r="L1559">
        <v>87.6</v>
      </c>
      <c r="M1559">
        <v>8</v>
      </c>
      <c r="N1559">
        <v>3.6838136000000001</v>
      </c>
      <c r="O1559">
        <v>120000</v>
      </c>
      <c r="P1559">
        <v>4.4994753909999998</v>
      </c>
      <c r="Q1559">
        <v>900.17758809999998</v>
      </c>
      <c r="R1559">
        <v>5.3</v>
      </c>
      <c r="S1559">
        <v>1904569</v>
      </c>
      <c r="T1559">
        <v>-0.78927499999999995</v>
      </c>
      <c r="U1559">
        <v>113.92132700000001</v>
      </c>
    </row>
    <row r="1560" spans="1:21">
      <c r="A1560" t="s">
        <v>96</v>
      </c>
      <c r="B1560">
        <v>2003</v>
      </c>
      <c r="C1560">
        <v>6224.9413999999997</v>
      </c>
      <c r="D1560">
        <v>333890.01459999999</v>
      </c>
      <c r="E1560">
        <v>97.57</v>
      </c>
      <c r="G1560">
        <v>19.82</v>
      </c>
      <c r="H1560">
        <v>16.883891999999999</v>
      </c>
      <c r="I1560">
        <v>21.48</v>
      </c>
      <c r="J1560">
        <v>43</v>
      </c>
      <c r="K1560">
        <v>151</v>
      </c>
      <c r="L1560">
        <v>87.94</v>
      </c>
      <c r="M1560">
        <v>9.3000000000000007</v>
      </c>
      <c r="N1560">
        <v>3.2210945999999998</v>
      </c>
      <c r="O1560">
        <v>201310000</v>
      </c>
      <c r="P1560">
        <v>4.7803691219999997</v>
      </c>
      <c r="Q1560">
        <v>1065.64852</v>
      </c>
      <c r="R1560">
        <v>5.07</v>
      </c>
      <c r="S1560">
        <v>1904569</v>
      </c>
      <c r="T1560">
        <v>-0.78927499999999995</v>
      </c>
      <c r="U1560">
        <v>113.92132700000001</v>
      </c>
    </row>
    <row r="1561" spans="1:21">
      <c r="A1561" t="s">
        <v>96</v>
      </c>
      <c r="B1561">
        <v>2004</v>
      </c>
      <c r="C1561">
        <v>6087.6787000000004</v>
      </c>
      <c r="D1561">
        <v>341239.9902</v>
      </c>
      <c r="E1561">
        <v>103.8</v>
      </c>
      <c r="G1561">
        <v>20.97</v>
      </c>
      <c r="H1561">
        <v>16.806925</v>
      </c>
      <c r="I1561">
        <v>21.4</v>
      </c>
      <c r="J1561">
        <v>41.46</v>
      </c>
      <c r="K1561">
        <v>151</v>
      </c>
      <c r="L1561">
        <v>89.01</v>
      </c>
      <c r="M1561">
        <v>11.3</v>
      </c>
      <c r="N1561">
        <v>3.4259636000000002</v>
      </c>
      <c r="O1561">
        <v>51670000</v>
      </c>
      <c r="P1561">
        <v>5.0308739449999997</v>
      </c>
      <c r="Q1561">
        <v>1150.2613670000001</v>
      </c>
      <c r="R1561">
        <v>5.14</v>
      </c>
      <c r="S1561">
        <v>1904569</v>
      </c>
      <c r="T1561">
        <v>-0.78927499999999995</v>
      </c>
      <c r="U1561">
        <v>113.92132700000001</v>
      </c>
    </row>
    <row r="1562" spans="1:21">
      <c r="A1562" t="s">
        <v>96</v>
      </c>
      <c r="B1562">
        <v>2005</v>
      </c>
      <c r="C1562">
        <v>6186.4364999999998</v>
      </c>
      <c r="D1562">
        <v>342149.9939</v>
      </c>
      <c r="E1562">
        <v>110.22</v>
      </c>
      <c r="G1562">
        <v>22.66</v>
      </c>
      <c r="H1562">
        <v>17.052980000000002</v>
      </c>
      <c r="I1562">
        <v>23.61</v>
      </c>
      <c r="J1562">
        <v>41.57</v>
      </c>
      <c r="K1562">
        <v>151</v>
      </c>
      <c r="L1562">
        <v>85.038319999999999</v>
      </c>
      <c r="M1562">
        <v>14.1</v>
      </c>
      <c r="N1562">
        <v>3.5274261999999998</v>
      </c>
      <c r="O1562">
        <v>188350000</v>
      </c>
      <c r="P1562">
        <v>5.6925713040000003</v>
      </c>
      <c r="Q1562">
        <v>1263.2873320000001</v>
      </c>
      <c r="R1562">
        <v>4.9400000000000004</v>
      </c>
      <c r="S1562">
        <v>1904569</v>
      </c>
      <c r="T1562">
        <v>-0.78927499999999995</v>
      </c>
      <c r="U1562">
        <v>113.92132700000001</v>
      </c>
    </row>
    <row r="1563" spans="1:21">
      <c r="A1563" t="s">
        <v>96</v>
      </c>
      <c r="B1563">
        <v>2006</v>
      </c>
      <c r="C1563">
        <v>6211.2920000000004</v>
      </c>
      <c r="D1563">
        <v>364470.0012</v>
      </c>
      <c r="E1563">
        <v>116.8</v>
      </c>
      <c r="G1563">
        <v>21.18</v>
      </c>
      <c r="H1563">
        <v>15.350051000000001</v>
      </c>
      <c r="I1563">
        <v>24.78</v>
      </c>
      <c r="J1563">
        <v>40.07</v>
      </c>
      <c r="K1563">
        <v>151</v>
      </c>
      <c r="L1563">
        <v>90.62</v>
      </c>
      <c r="M1563">
        <v>17.899999999999999</v>
      </c>
      <c r="N1563">
        <v>3.2203084999999998</v>
      </c>
      <c r="O1563">
        <v>255840000</v>
      </c>
      <c r="P1563">
        <v>5.5009517849999998</v>
      </c>
      <c r="Q1563">
        <v>1589.8014889999999</v>
      </c>
      <c r="R1563">
        <v>4.79</v>
      </c>
      <c r="S1563">
        <v>1904569</v>
      </c>
      <c r="T1563">
        <v>-0.78927499999999995</v>
      </c>
      <c r="U1563">
        <v>113.92132700000001</v>
      </c>
    </row>
    <row r="1564" spans="1:21">
      <c r="A1564" t="s">
        <v>96</v>
      </c>
      <c r="B1564">
        <v>2007</v>
      </c>
      <c r="C1564">
        <v>6579.23</v>
      </c>
      <c r="D1564">
        <v>379959.9915</v>
      </c>
      <c r="E1564">
        <v>124.1</v>
      </c>
      <c r="G1564">
        <v>24.29</v>
      </c>
      <c r="H1564">
        <v>16.369028</v>
      </c>
      <c r="I1564">
        <v>24.93</v>
      </c>
      <c r="J1564">
        <v>40.01</v>
      </c>
      <c r="K1564">
        <v>151</v>
      </c>
      <c r="L1564">
        <v>91.1</v>
      </c>
      <c r="M1564">
        <v>22.5</v>
      </c>
      <c r="N1564">
        <v>3.3705509999999999</v>
      </c>
      <c r="O1564">
        <v>602100000</v>
      </c>
      <c r="P1564">
        <v>6.3450222270000003</v>
      </c>
      <c r="Q1564">
        <v>1860.0028110000001</v>
      </c>
      <c r="R1564">
        <v>4.4800000000000004</v>
      </c>
      <c r="S1564">
        <v>1904569</v>
      </c>
      <c r="T1564">
        <v>-0.78927499999999995</v>
      </c>
      <c r="U1564">
        <v>113.92132700000001</v>
      </c>
    </row>
    <row r="1565" spans="1:21">
      <c r="A1565" t="s">
        <v>96</v>
      </c>
      <c r="B1565">
        <v>2008</v>
      </c>
      <c r="C1565">
        <v>6569.1009999999997</v>
      </c>
      <c r="D1565">
        <v>376140.01459999999</v>
      </c>
      <c r="E1565">
        <v>129.55000000000001</v>
      </c>
      <c r="G1565">
        <v>26.34</v>
      </c>
      <c r="H1565">
        <v>16.896529999999998</v>
      </c>
      <c r="I1565">
        <v>24.94</v>
      </c>
      <c r="J1565">
        <v>41.12</v>
      </c>
      <c r="K1565">
        <v>151</v>
      </c>
      <c r="L1565">
        <v>92.73</v>
      </c>
      <c r="M1565">
        <v>28.5</v>
      </c>
      <c r="N1565">
        <v>3.5865320000000001</v>
      </c>
      <c r="O1565">
        <v>19440000</v>
      </c>
      <c r="P1565">
        <v>6.0137036000000004</v>
      </c>
      <c r="Q1565">
        <v>2166.8542309999998</v>
      </c>
      <c r="R1565">
        <v>4.3</v>
      </c>
      <c r="S1565">
        <v>1904569</v>
      </c>
      <c r="T1565">
        <v>-0.78927499999999995</v>
      </c>
      <c r="U1565">
        <v>113.92132700000001</v>
      </c>
    </row>
    <row r="1566" spans="1:21">
      <c r="A1566" t="s">
        <v>96</v>
      </c>
      <c r="B1566">
        <v>2009</v>
      </c>
      <c r="C1566">
        <v>6662.8239999999996</v>
      </c>
      <c r="D1566">
        <v>391079.9866</v>
      </c>
      <c r="E1566">
        <v>136.05000000000001</v>
      </c>
      <c r="G1566">
        <v>26.79</v>
      </c>
      <c r="H1566">
        <v>16.451733000000001</v>
      </c>
      <c r="I1566">
        <v>28.08</v>
      </c>
      <c r="J1566">
        <v>38.18</v>
      </c>
      <c r="K1566">
        <v>151</v>
      </c>
      <c r="L1566">
        <v>93.55</v>
      </c>
      <c r="M1566">
        <v>34.700000000000003</v>
      </c>
      <c r="N1566">
        <v>3.6551740000000001</v>
      </c>
      <c r="O1566">
        <v>29220000</v>
      </c>
      <c r="P1566">
        <v>4.6288711830000002</v>
      </c>
      <c r="Q1566">
        <v>2261.2473089999999</v>
      </c>
      <c r="R1566">
        <v>4.34</v>
      </c>
      <c r="S1566">
        <v>1904569</v>
      </c>
      <c r="T1566">
        <v>-0.78927499999999995</v>
      </c>
      <c r="U1566">
        <v>113.92132700000001</v>
      </c>
    </row>
    <row r="1567" spans="1:21">
      <c r="A1567" t="s">
        <v>96</v>
      </c>
      <c r="B1567">
        <v>2010</v>
      </c>
      <c r="C1567">
        <v>7121.8190000000004</v>
      </c>
      <c r="D1567">
        <v>415519.989</v>
      </c>
      <c r="E1567">
        <v>142.88</v>
      </c>
      <c r="G1567">
        <v>34.630000000000003</v>
      </c>
      <c r="H1567">
        <v>19.508759999999999</v>
      </c>
      <c r="I1567">
        <v>28.35</v>
      </c>
      <c r="J1567">
        <v>34.81</v>
      </c>
      <c r="K1567">
        <v>151</v>
      </c>
      <c r="L1567">
        <v>94.15</v>
      </c>
      <c r="M1567">
        <v>41.3</v>
      </c>
      <c r="N1567">
        <v>4.3262210000000003</v>
      </c>
      <c r="O1567">
        <v>46300000</v>
      </c>
      <c r="P1567">
        <v>6.2238541810000001</v>
      </c>
      <c r="Q1567">
        <v>3122.3626730000001</v>
      </c>
      <c r="R1567">
        <v>4.21</v>
      </c>
      <c r="S1567">
        <v>1904569</v>
      </c>
      <c r="T1567">
        <v>-0.78927499999999995</v>
      </c>
      <c r="U1567">
        <v>113.92132700000001</v>
      </c>
    </row>
    <row r="1568" spans="1:21">
      <c r="A1568" t="s">
        <v>96</v>
      </c>
      <c r="B1568">
        <v>2011</v>
      </c>
      <c r="C1568">
        <v>7429.8622999999998</v>
      </c>
      <c r="D1568">
        <v>475309.9976</v>
      </c>
      <c r="E1568">
        <v>161.41</v>
      </c>
      <c r="G1568">
        <v>30.46</v>
      </c>
      <c r="H1568">
        <v>15.875332999999999</v>
      </c>
      <c r="I1568">
        <v>29.16</v>
      </c>
      <c r="J1568">
        <v>30.92</v>
      </c>
      <c r="K1568">
        <v>151</v>
      </c>
      <c r="L1568">
        <v>94.83</v>
      </c>
      <c r="M1568">
        <v>47.3</v>
      </c>
      <c r="N1568">
        <v>3.3885977</v>
      </c>
      <c r="O1568">
        <v>947340000</v>
      </c>
      <c r="P1568">
        <v>6.1697842080000003</v>
      </c>
      <c r="Q1568">
        <v>3643.047176</v>
      </c>
      <c r="R1568">
        <v>4.04</v>
      </c>
      <c r="S1568">
        <v>1904569</v>
      </c>
      <c r="T1568">
        <v>-0.78927499999999995</v>
      </c>
      <c r="U1568">
        <v>113.92132700000001</v>
      </c>
    </row>
    <row r="1569" spans="1:21">
      <c r="A1569" t="s">
        <v>96</v>
      </c>
      <c r="B1569">
        <v>2012</v>
      </c>
      <c r="C1569">
        <v>7574.4570000000003</v>
      </c>
      <c r="D1569">
        <v>481510.0098</v>
      </c>
      <c r="E1569">
        <v>177.83</v>
      </c>
      <c r="G1569">
        <v>31.11</v>
      </c>
      <c r="H1569">
        <v>14.8894415</v>
      </c>
      <c r="I1569">
        <v>30.14</v>
      </c>
      <c r="J1569">
        <v>28.78</v>
      </c>
      <c r="K1569">
        <v>151</v>
      </c>
      <c r="L1569">
        <v>96</v>
      </c>
      <c r="M1569">
        <v>52.9</v>
      </c>
      <c r="N1569">
        <v>3.4713633000000002</v>
      </c>
      <c r="O1569">
        <v>16110000</v>
      </c>
      <c r="P1569">
        <v>6.030050653</v>
      </c>
      <c r="Q1569">
        <v>3694.35934</v>
      </c>
      <c r="R1569">
        <v>3.79</v>
      </c>
      <c r="S1569">
        <v>1904569</v>
      </c>
      <c r="T1569">
        <v>-0.78927499999999995</v>
      </c>
      <c r="U1569">
        <v>113.92132700000001</v>
      </c>
    </row>
    <row r="1570" spans="1:21">
      <c r="A1570" t="s">
        <v>96</v>
      </c>
      <c r="B1570">
        <v>2013</v>
      </c>
      <c r="C1570">
        <v>7225.1826000000001</v>
      </c>
      <c r="D1570">
        <v>447940.0024</v>
      </c>
      <c r="E1570">
        <v>189.66</v>
      </c>
      <c r="G1570">
        <v>35.5</v>
      </c>
      <c r="H1570">
        <v>15.766565</v>
      </c>
      <c r="I1570">
        <v>32.81</v>
      </c>
      <c r="J1570">
        <v>29.7</v>
      </c>
      <c r="K1570">
        <v>151</v>
      </c>
      <c r="L1570">
        <v>96.464259999999996</v>
      </c>
      <c r="M1570">
        <v>58</v>
      </c>
      <c r="N1570">
        <v>4.3306035999999999</v>
      </c>
      <c r="O1570">
        <v>245060000</v>
      </c>
      <c r="P1570">
        <v>5.557263689</v>
      </c>
      <c r="Q1570">
        <v>3623.9272409999999</v>
      </c>
      <c r="R1570">
        <v>3.47</v>
      </c>
      <c r="S1570">
        <v>1904569</v>
      </c>
      <c r="T1570">
        <v>-0.78927499999999995</v>
      </c>
      <c r="U1570">
        <v>113.92132700000001</v>
      </c>
    </row>
    <row r="1571" spans="1:21">
      <c r="A1571" t="s">
        <v>96</v>
      </c>
      <c r="B1571">
        <v>2014</v>
      </c>
      <c r="C1571">
        <v>7235.558</v>
      </c>
      <c r="D1571">
        <v>483910.0037</v>
      </c>
      <c r="E1571">
        <v>203.11</v>
      </c>
      <c r="G1571">
        <v>34.409999999999997</v>
      </c>
      <c r="H1571">
        <v>14.487201000000001</v>
      </c>
      <c r="I1571">
        <v>32.99</v>
      </c>
      <c r="J1571">
        <v>28.32</v>
      </c>
      <c r="K1571">
        <v>151</v>
      </c>
      <c r="L1571">
        <v>97.01</v>
      </c>
      <c r="M1571">
        <v>62.8</v>
      </c>
      <c r="N1571">
        <v>4.4786324999999998</v>
      </c>
      <c r="O1571">
        <v>881330000</v>
      </c>
      <c r="P1571">
        <v>5.0066684260000001</v>
      </c>
      <c r="Q1571">
        <v>3491.637491</v>
      </c>
      <c r="R1571">
        <v>3.44</v>
      </c>
      <c r="S1571">
        <v>1904569</v>
      </c>
      <c r="T1571">
        <v>-0.78927499999999995</v>
      </c>
      <c r="U1571">
        <v>113.92132700000001</v>
      </c>
    </row>
    <row r="1572" spans="1:21">
      <c r="A1572" t="s">
        <v>96</v>
      </c>
      <c r="B1572">
        <v>2015</v>
      </c>
      <c r="C1572">
        <v>7266.8945000000003</v>
      </c>
      <c r="D1572">
        <v>488549.9878</v>
      </c>
      <c r="E1572">
        <v>209.71</v>
      </c>
      <c r="G1572">
        <v>33.56</v>
      </c>
      <c r="H1572">
        <v>13.795372</v>
      </c>
      <c r="I1572">
        <v>33.18</v>
      </c>
      <c r="J1572">
        <v>26.69</v>
      </c>
      <c r="K1572">
        <v>151</v>
      </c>
      <c r="L1572">
        <v>97.537369999999996</v>
      </c>
      <c r="M1572">
        <v>67.099999999999994</v>
      </c>
      <c r="N1572">
        <v>3.7929575</v>
      </c>
      <c r="O1572">
        <v>378150000</v>
      </c>
      <c r="P1572">
        <v>4.8763223</v>
      </c>
      <c r="Q1572">
        <v>3331.695115</v>
      </c>
      <c r="R1572">
        <v>3.26</v>
      </c>
      <c r="S1572">
        <v>1904569</v>
      </c>
      <c r="T1572">
        <v>-0.78927499999999995</v>
      </c>
      <c r="U1572">
        <v>113.92132700000001</v>
      </c>
    </row>
    <row r="1573" spans="1:21">
      <c r="A1573" t="s">
        <v>96</v>
      </c>
      <c r="B1573">
        <v>2016</v>
      </c>
      <c r="C1573">
        <v>7212.07</v>
      </c>
      <c r="D1573">
        <v>482510.0098</v>
      </c>
      <c r="E1573">
        <v>217.97</v>
      </c>
      <c r="G1573">
        <v>39.58</v>
      </c>
      <c r="H1573">
        <v>15.367891</v>
      </c>
      <c r="I1573">
        <v>34.65</v>
      </c>
      <c r="J1573">
        <v>28.24</v>
      </c>
      <c r="K1573">
        <v>151</v>
      </c>
      <c r="L1573">
        <v>97.62</v>
      </c>
      <c r="M1573">
        <v>71.2</v>
      </c>
      <c r="N1573">
        <v>5.4790200000000002</v>
      </c>
      <c r="O1573">
        <v>342330000</v>
      </c>
      <c r="P1573">
        <v>5.0330691830000003</v>
      </c>
      <c r="Q1573">
        <v>3562.8163340000001</v>
      </c>
      <c r="R1573">
        <v>3.19</v>
      </c>
      <c r="S1573">
        <v>1904569</v>
      </c>
      <c r="T1573">
        <v>-0.78927499999999995</v>
      </c>
      <c r="U1573">
        <v>113.92132700000001</v>
      </c>
    </row>
    <row r="1574" spans="1:21">
      <c r="A1574" t="s">
        <v>96</v>
      </c>
      <c r="B1574">
        <v>2017</v>
      </c>
      <c r="C1574">
        <v>7388.5230000000001</v>
      </c>
      <c r="D1574">
        <v>517320.0073</v>
      </c>
      <c r="E1574">
        <v>222.64</v>
      </c>
      <c r="G1574">
        <v>43.17</v>
      </c>
      <c r="H1574">
        <v>16.240925000000001</v>
      </c>
      <c r="I1574">
        <v>35.74</v>
      </c>
      <c r="J1574">
        <v>26.15</v>
      </c>
      <c r="K1574">
        <v>151</v>
      </c>
      <c r="L1574">
        <v>98.14</v>
      </c>
      <c r="M1574">
        <v>75.099999999999994</v>
      </c>
      <c r="N1574">
        <v>5.2837740000000002</v>
      </c>
      <c r="O1574">
        <v>300880000</v>
      </c>
      <c r="P1574">
        <v>5.0697859010000004</v>
      </c>
      <c r="Q1574">
        <v>3837.5780239999999</v>
      </c>
      <c r="R1574">
        <v>3.2</v>
      </c>
      <c r="S1574">
        <v>1904569</v>
      </c>
      <c r="T1574">
        <v>-0.78927499999999995</v>
      </c>
      <c r="U1574">
        <v>113.92132700000001</v>
      </c>
    </row>
    <row r="1575" spans="1:21">
      <c r="A1575" t="s">
        <v>96</v>
      </c>
      <c r="B1575">
        <v>2018</v>
      </c>
      <c r="C1575">
        <v>8026.8909999999996</v>
      </c>
      <c r="D1575">
        <v>576989.9902</v>
      </c>
      <c r="E1575">
        <v>235.41</v>
      </c>
      <c r="G1575">
        <v>48.38</v>
      </c>
      <c r="H1575">
        <v>17.047816999999998</v>
      </c>
      <c r="I1575">
        <v>36.64</v>
      </c>
      <c r="J1575">
        <v>21.05</v>
      </c>
      <c r="K1575">
        <v>151</v>
      </c>
      <c r="L1575">
        <v>98.51</v>
      </c>
      <c r="M1575">
        <v>78.7</v>
      </c>
      <c r="N1575">
        <v>7.3934579999999999</v>
      </c>
      <c r="O1575">
        <v>1056140000</v>
      </c>
      <c r="P1575">
        <v>5.1742915399999996</v>
      </c>
      <c r="Q1575">
        <v>3893.8595780000001</v>
      </c>
      <c r="R1575">
        <v>3.19</v>
      </c>
      <c r="S1575">
        <v>1904569</v>
      </c>
      <c r="T1575">
        <v>-0.78927499999999995</v>
      </c>
      <c r="U1575">
        <v>113.92132700000001</v>
      </c>
    </row>
    <row r="1576" spans="1:21">
      <c r="A1576" t="s">
        <v>96</v>
      </c>
      <c r="B1576">
        <v>2019</v>
      </c>
      <c r="C1576">
        <v>8474.4794999999995</v>
      </c>
      <c r="D1576">
        <v>619840.02690000006</v>
      </c>
      <c r="E1576">
        <v>247.39</v>
      </c>
      <c r="G1576">
        <v>48.04</v>
      </c>
      <c r="H1576">
        <v>16.261043999999998</v>
      </c>
      <c r="I1576">
        <v>38.06</v>
      </c>
      <c r="J1576">
        <v>19.09</v>
      </c>
      <c r="K1576">
        <v>151</v>
      </c>
      <c r="L1576">
        <v>98.85</v>
      </c>
      <c r="M1576">
        <v>81.849999999999994</v>
      </c>
      <c r="N1576">
        <v>7.8703089999999998</v>
      </c>
      <c r="O1576">
        <v>215790000</v>
      </c>
      <c r="P1576">
        <v>5.0181597150000004</v>
      </c>
      <c r="Q1576">
        <v>4135.2015309999997</v>
      </c>
      <c r="R1576">
        <v>3.16</v>
      </c>
      <c r="S1576">
        <v>1904569</v>
      </c>
      <c r="T1576">
        <v>-0.78927499999999995</v>
      </c>
      <c r="U1576">
        <v>113.92132700000001</v>
      </c>
    </row>
    <row r="1577" spans="1:21">
      <c r="A1577" t="s">
        <v>96</v>
      </c>
      <c r="B1577">
        <v>2020</v>
      </c>
      <c r="C1577">
        <v>7771.0420000000004</v>
      </c>
      <c r="E1577">
        <v>238.91</v>
      </c>
      <c r="G1577">
        <v>52.91</v>
      </c>
      <c r="H1577">
        <v>18.131039000000001</v>
      </c>
      <c r="I1577">
        <v>38.58</v>
      </c>
      <c r="K1577">
        <v>151</v>
      </c>
      <c r="L1577">
        <v>96.95</v>
      </c>
      <c r="M1577">
        <v>84.5</v>
      </c>
      <c r="N1577">
        <v>9.8601465000000008</v>
      </c>
      <c r="P1577">
        <v>-2.0695434989999999</v>
      </c>
      <c r="Q1577">
        <v>3869.5884270000001</v>
      </c>
      <c r="S1577">
        <v>1904569</v>
      </c>
      <c r="T1577">
        <v>-0.78927499999999995</v>
      </c>
      <c r="U1577">
        <v>113.92132700000001</v>
      </c>
    </row>
    <row r="1578" spans="1:21">
      <c r="A1578" t="s">
        <v>97</v>
      </c>
      <c r="B1578">
        <v>2000</v>
      </c>
      <c r="C1578">
        <v>13100.986000000001</v>
      </c>
      <c r="D1578">
        <v>87630</v>
      </c>
      <c r="E1578">
        <v>29.41</v>
      </c>
      <c r="F1578">
        <v>0</v>
      </c>
      <c r="G1578">
        <v>0.61</v>
      </c>
      <c r="H1578">
        <v>2.0319786</v>
      </c>
      <c r="I1578">
        <v>28.51</v>
      </c>
      <c r="J1578">
        <v>0.36</v>
      </c>
      <c r="K1578">
        <v>93</v>
      </c>
      <c r="L1578">
        <v>96.921679999999995</v>
      </c>
      <c r="M1578">
        <v>74.099999999999994</v>
      </c>
      <c r="N1578">
        <v>2.9294536</v>
      </c>
      <c r="P1578">
        <v>16.921665690000001</v>
      </c>
      <c r="Q1578">
        <v>2058.2644009999999</v>
      </c>
      <c r="R1578">
        <v>5.07</v>
      </c>
      <c r="S1578">
        <v>438317</v>
      </c>
      <c r="T1578">
        <v>33.223191</v>
      </c>
      <c r="U1578">
        <v>43.679290999999999</v>
      </c>
    </row>
    <row r="1579" spans="1:21">
      <c r="A1579" t="s">
        <v>97</v>
      </c>
      <c r="B1579">
        <v>2001</v>
      </c>
      <c r="C1579">
        <v>14176.429</v>
      </c>
      <c r="D1579">
        <v>97550</v>
      </c>
      <c r="E1579">
        <v>29.74</v>
      </c>
      <c r="F1579">
        <v>0</v>
      </c>
      <c r="G1579">
        <v>0.61</v>
      </c>
      <c r="H1579">
        <v>2.0098845999999999</v>
      </c>
      <c r="I1579">
        <v>27.68</v>
      </c>
      <c r="J1579">
        <v>0.35</v>
      </c>
      <c r="K1579">
        <v>93</v>
      </c>
      <c r="L1579">
        <v>97.062799999999996</v>
      </c>
      <c r="M1579">
        <v>77</v>
      </c>
      <c r="N1579">
        <v>3.0164843000000001</v>
      </c>
      <c r="P1579">
        <v>1.761480089</v>
      </c>
      <c r="Q1579">
        <v>1494.3888019999999</v>
      </c>
      <c r="R1579">
        <v>5.57</v>
      </c>
      <c r="S1579">
        <v>438317</v>
      </c>
      <c r="T1579">
        <v>33.223191</v>
      </c>
      <c r="U1579">
        <v>43.679290999999999</v>
      </c>
    </row>
    <row r="1580" spans="1:21">
      <c r="A1580" t="s">
        <v>97</v>
      </c>
      <c r="B1580">
        <v>2002</v>
      </c>
      <c r="C1580">
        <v>13048.608</v>
      </c>
      <c r="D1580">
        <v>91160.003660000002</v>
      </c>
      <c r="E1580">
        <v>31.34</v>
      </c>
      <c r="F1580">
        <v>0</v>
      </c>
      <c r="G1580">
        <v>0.51</v>
      </c>
      <c r="H1580">
        <v>1.6012559</v>
      </c>
      <c r="I1580">
        <v>14.44</v>
      </c>
      <c r="J1580">
        <v>0.31</v>
      </c>
      <c r="K1580">
        <v>93</v>
      </c>
      <c r="L1580">
        <v>97.196335000000005</v>
      </c>
      <c r="M1580">
        <v>79.400000000000006</v>
      </c>
      <c r="N1580">
        <v>3.8850465000000001</v>
      </c>
      <c r="P1580">
        <v>-8.1984698280000003</v>
      </c>
      <c r="Q1580">
        <v>1320.734706</v>
      </c>
      <c r="R1580">
        <v>5.79</v>
      </c>
      <c r="S1580">
        <v>438317</v>
      </c>
      <c r="T1580">
        <v>33.223191</v>
      </c>
      <c r="U1580">
        <v>43.679290999999999</v>
      </c>
    </row>
    <row r="1581" spans="1:21">
      <c r="A1581" t="s">
        <v>97</v>
      </c>
      <c r="B1581">
        <v>2003</v>
      </c>
      <c r="C1581">
        <v>11233.329</v>
      </c>
      <c r="D1581">
        <v>81279.998779999994</v>
      </c>
      <c r="E1581">
        <v>26.23</v>
      </c>
      <c r="F1581">
        <v>0</v>
      </c>
      <c r="G1581">
        <v>0.43</v>
      </c>
      <c r="H1581">
        <v>1.6129032000000001</v>
      </c>
      <c r="I1581">
        <v>17.940000000000001</v>
      </c>
      <c r="J1581">
        <v>0.35</v>
      </c>
      <c r="K1581">
        <v>93</v>
      </c>
      <c r="L1581">
        <v>97.324629999999999</v>
      </c>
      <c r="M1581">
        <v>82.2</v>
      </c>
      <c r="N1581">
        <v>4.5359825999999996</v>
      </c>
      <c r="O1581">
        <v>23850000</v>
      </c>
      <c r="P1581">
        <v>-36.65815267</v>
      </c>
      <c r="Q1581">
        <v>854.82528079999997</v>
      </c>
      <c r="R1581">
        <v>8.1</v>
      </c>
      <c r="S1581">
        <v>438317</v>
      </c>
      <c r="T1581">
        <v>33.223191</v>
      </c>
      <c r="U1581">
        <v>43.679290999999999</v>
      </c>
    </row>
    <row r="1582" spans="1:21">
      <c r="A1582" t="s">
        <v>97</v>
      </c>
      <c r="B1582">
        <v>2004</v>
      </c>
      <c r="C1582">
        <v>11703.38</v>
      </c>
      <c r="D1582">
        <v>88110.000610000003</v>
      </c>
      <c r="E1582">
        <v>29.89</v>
      </c>
      <c r="F1582">
        <v>0</v>
      </c>
      <c r="G1582">
        <v>0.49</v>
      </c>
      <c r="H1582">
        <v>1.6129032000000001</v>
      </c>
      <c r="I1582">
        <v>59.66</v>
      </c>
      <c r="J1582">
        <v>0.36</v>
      </c>
      <c r="K1582">
        <v>93</v>
      </c>
      <c r="L1582">
        <v>97.450040000000001</v>
      </c>
      <c r="M1582">
        <v>84.9</v>
      </c>
      <c r="N1582">
        <v>5.0819159999999997</v>
      </c>
      <c r="P1582">
        <v>53.38179418</v>
      </c>
      <c r="Q1582">
        <v>1391.963489</v>
      </c>
      <c r="R1582">
        <v>5.67</v>
      </c>
      <c r="S1582">
        <v>438317</v>
      </c>
      <c r="T1582">
        <v>33.223191</v>
      </c>
      <c r="U1582">
        <v>43.679290999999999</v>
      </c>
    </row>
    <row r="1583" spans="1:21">
      <c r="A1583" t="s">
        <v>97</v>
      </c>
      <c r="B1583">
        <v>2005</v>
      </c>
      <c r="C1583">
        <v>10743.436</v>
      </c>
      <c r="D1583">
        <v>85129.99725</v>
      </c>
      <c r="E1583">
        <v>22.94</v>
      </c>
      <c r="F1583">
        <v>0</v>
      </c>
      <c r="G1583">
        <v>5.94</v>
      </c>
      <c r="H1583">
        <v>20.567867</v>
      </c>
      <c r="I1583">
        <v>60.25</v>
      </c>
      <c r="J1583">
        <v>2.4300000000000002</v>
      </c>
      <c r="K1583">
        <v>93</v>
      </c>
      <c r="L1583">
        <v>97.574920000000006</v>
      </c>
      <c r="M1583">
        <v>87</v>
      </c>
      <c r="N1583">
        <v>4.5449250000000001</v>
      </c>
      <c r="P1583">
        <v>1.671889623</v>
      </c>
      <c r="Q1583">
        <v>1855.522348</v>
      </c>
      <c r="R1583">
        <v>5.56</v>
      </c>
      <c r="S1583">
        <v>438317</v>
      </c>
      <c r="T1583">
        <v>33.223191</v>
      </c>
      <c r="U1583">
        <v>43.679290999999999</v>
      </c>
    </row>
    <row r="1584" spans="1:21">
      <c r="A1584" t="s">
        <v>97</v>
      </c>
      <c r="B1584">
        <v>2006</v>
      </c>
      <c r="C1584">
        <v>10367.605</v>
      </c>
      <c r="D1584">
        <v>82959.999079999994</v>
      </c>
      <c r="E1584">
        <v>26.07</v>
      </c>
      <c r="F1584">
        <v>0</v>
      </c>
      <c r="G1584">
        <v>6.04</v>
      </c>
      <c r="H1584">
        <v>18.810338999999999</v>
      </c>
      <c r="I1584">
        <v>72.319999999999993</v>
      </c>
      <c r="J1584">
        <v>2.56</v>
      </c>
      <c r="K1584">
        <v>93</v>
      </c>
      <c r="L1584">
        <v>97.622110000000006</v>
      </c>
      <c r="M1584">
        <v>89.1</v>
      </c>
      <c r="N1584">
        <v>4.7385999999999999</v>
      </c>
      <c r="O1584">
        <v>43260000</v>
      </c>
      <c r="P1584">
        <v>5.6462978010000002</v>
      </c>
      <c r="Q1584">
        <v>2373.2094480000001</v>
      </c>
      <c r="R1584">
        <v>5.12</v>
      </c>
      <c r="S1584">
        <v>438317</v>
      </c>
      <c r="T1584">
        <v>33.223191</v>
      </c>
      <c r="U1584">
        <v>43.679290999999999</v>
      </c>
    </row>
    <row r="1585" spans="1:21">
      <c r="A1585" t="s">
        <v>97</v>
      </c>
      <c r="B1585">
        <v>2007</v>
      </c>
      <c r="C1585">
        <v>10543.257</v>
      </c>
      <c r="D1585">
        <v>76650.001529999994</v>
      </c>
      <c r="E1585">
        <v>25.85</v>
      </c>
      <c r="F1585">
        <v>0</v>
      </c>
      <c r="G1585">
        <v>5.68</v>
      </c>
      <c r="H1585">
        <v>18.014589999999998</v>
      </c>
      <c r="I1585">
        <v>72.84</v>
      </c>
      <c r="J1585">
        <v>2</v>
      </c>
      <c r="K1585">
        <v>93</v>
      </c>
      <c r="L1585">
        <v>98.1</v>
      </c>
      <c r="M1585">
        <v>90.9</v>
      </c>
      <c r="N1585">
        <v>4.2728944000000002</v>
      </c>
      <c r="O1585">
        <v>35230000</v>
      </c>
      <c r="P1585">
        <v>1.8855721409999999</v>
      </c>
      <c r="Q1585">
        <v>3182.841351</v>
      </c>
      <c r="R1585">
        <v>4.9400000000000004</v>
      </c>
      <c r="S1585">
        <v>438317</v>
      </c>
      <c r="T1585">
        <v>33.223191</v>
      </c>
      <c r="U1585">
        <v>43.679290999999999</v>
      </c>
    </row>
    <row r="1586" spans="1:21">
      <c r="A1586" t="s">
        <v>97</v>
      </c>
      <c r="B1586">
        <v>2008</v>
      </c>
      <c r="C1586">
        <v>11838.88</v>
      </c>
      <c r="D1586">
        <v>88139.999389999997</v>
      </c>
      <c r="E1586">
        <v>31.35</v>
      </c>
      <c r="F1586">
        <v>0</v>
      </c>
      <c r="G1586">
        <v>3.45</v>
      </c>
      <c r="H1586">
        <v>9.9137939999999993</v>
      </c>
      <c r="I1586">
        <v>80.069999999999993</v>
      </c>
      <c r="J1586">
        <v>1.1499999999999999</v>
      </c>
      <c r="K1586">
        <v>93</v>
      </c>
      <c r="L1586">
        <v>97.971435999999997</v>
      </c>
      <c r="M1586">
        <v>92.6</v>
      </c>
      <c r="N1586">
        <v>2.3818684000000001</v>
      </c>
      <c r="O1586">
        <v>80000</v>
      </c>
      <c r="P1586">
        <v>8.2281071039999993</v>
      </c>
      <c r="Q1586">
        <v>4636.6393250000001</v>
      </c>
      <c r="R1586">
        <v>4.93</v>
      </c>
      <c r="S1586">
        <v>438317</v>
      </c>
      <c r="T1586">
        <v>33.223191</v>
      </c>
      <c r="U1586">
        <v>43.679290999999999</v>
      </c>
    </row>
    <row r="1587" spans="1:21">
      <c r="A1587" t="s">
        <v>97</v>
      </c>
      <c r="B1587">
        <v>2009</v>
      </c>
      <c r="C1587">
        <v>11209.112999999999</v>
      </c>
      <c r="D1587">
        <v>94199.996950000001</v>
      </c>
      <c r="E1587">
        <v>39.83</v>
      </c>
      <c r="F1587">
        <v>0</v>
      </c>
      <c r="G1587">
        <v>3.19</v>
      </c>
      <c r="H1587">
        <v>7.4151559999999996</v>
      </c>
      <c r="I1587">
        <v>78.5</v>
      </c>
      <c r="J1587">
        <v>1.21</v>
      </c>
      <c r="K1587">
        <v>93</v>
      </c>
      <c r="L1587">
        <v>98.119879999999995</v>
      </c>
      <c r="M1587">
        <v>93.9</v>
      </c>
      <c r="N1587">
        <v>2.3280268</v>
      </c>
      <c r="O1587">
        <v>150000</v>
      </c>
      <c r="P1587">
        <v>3.3792990939999998</v>
      </c>
      <c r="Q1587">
        <v>3853.8286199999998</v>
      </c>
      <c r="R1587">
        <v>5.12</v>
      </c>
      <c r="S1587">
        <v>438317</v>
      </c>
      <c r="T1587">
        <v>33.223191</v>
      </c>
      <c r="U1587">
        <v>43.679290999999999</v>
      </c>
    </row>
    <row r="1588" spans="1:21">
      <c r="A1588" t="s">
        <v>97</v>
      </c>
      <c r="B1588">
        <v>2010</v>
      </c>
      <c r="C1588">
        <v>12167.795</v>
      </c>
      <c r="D1588">
        <v>108550.0031</v>
      </c>
      <c r="E1588">
        <v>41.49</v>
      </c>
      <c r="F1588">
        <v>0</v>
      </c>
      <c r="G1588">
        <v>4.72</v>
      </c>
      <c r="H1588">
        <v>10.214238999999999</v>
      </c>
      <c r="I1588">
        <v>76.47</v>
      </c>
      <c r="J1588">
        <v>1.67</v>
      </c>
      <c r="K1588">
        <v>93</v>
      </c>
      <c r="L1588">
        <v>98.280969999999996</v>
      </c>
      <c r="M1588">
        <v>95</v>
      </c>
      <c r="N1588">
        <v>2.6375570000000002</v>
      </c>
      <c r="O1588">
        <v>158470000</v>
      </c>
      <c r="P1588">
        <v>6.4025648449999997</v>
      </c>
      <c r="Q1588">
        <v>4657.2802689999999</v>
      </c>
      <c r="R1588">
        <v>5.32</v>
      </c>
      <c r="S1588">
        <v>438317</v>
      </c>
      <c r="T1588">
        <v>33.223191</v>
      </c>
      <c r="U1588">
        <v>43.679290999999999</v>
      </c>
    </row>
    <row r="1589" spans="1:21">
      <c r="A1589" t="s">
        <v>97</v>
      </c>
      <c r="B1589">
        <v>2011</v>
      </c>
      <c r="C1589">
        <v>12087.509</v>
      </c>
      <c r="D1589">
        <v>113040.0009</v>
      </c>
      <c r="E1589">
        <v>47.48</v>
      </c>
      <c r="F1589">
        <v>0</v>
      </c>
      <c r="G1589">
        <v>3.36</v>
      </c>
      <c r="H1589">
        <v>6.6089690000000001</v>
      </c>
      <c r="I1589">
        <v>74.02</v>
      </c>
      <c r="J1589">
        <v>1.1399999999999999</v>
      </c>
      <c r="K1589">
        <v>93</v>
      </c>
      <c r="L1589">
        <v>98</v>
      </c>
      <c r="M1589">
        <v>96.05</v>
      </c>
      <c r="N1589">
        <v>2.3962151999999999</v>
      </c>
      <c r="P1589">
        <v>7.5464712</v>
      </c>
      <c r="Q1589">
        <v>6045.4945669999997</v>
      </c>
      <c r="R1589">
        <v>5.42</v>
      </c>
      <c r="S1589">
        <v>438317</v>
      </c>
      <c r="T1589">
        <v>33.223191</v>
      </c>
      <c r="U1589">
        <v>43.679290999999999</v>
      </c>
    </row>
    <row r="1590" spans="1:21">
      <c r="A1590" t="s">
        <v>97</v>
      </c>
      <c r="B1590">
        <v>2012</v>
      </c>
      <c r="C1590">
        <v>12609.8</v>
      </c>
      <c r="D1590">
        <v>129000</v>
      </c>
      <c r="E1590">
        <v>39.130000000000003</v>
      </c>
      <c r="F1590">
        <v>0</v>
      </c>
      <c r="G1590">
        <v>4.3499999999999996</v>
      </c>
      <c r="H1590">
        <v>10.0046</v>
      </c>
      <c r="I1590">
        <v>58.49</v>
      </c>
      <c r="J1590">
        <v>1.3</v>
      </c>
      <c r="K1590">
        <v>93</v>
      </c>
      <c r="L1590">
        <v>99.3</v>
      </c>
      <c r="M1590">
        <v>96.7</v>
      </c>
      <c r="N1590">
        <v>2.8232702999999999</v>
      </c>
      <c r="O1590">
        <v>2250000</v>
      </c>
      <c r="P1590">
        <v>13.93643017</v>
      </c>
      <c r="Q1590">
        <v>6836.0739949999997</v>
      </c>
      <c r="R1590">
        <v>5.26</v>
      </c>
      <c r="S1590">
        <v>438317</v>
      </c>
      <c r="T1590">
        <v>33.223191</v>
      </c>
      <c r="U1590">
        <v>43.679290999999999</v>
      </c>
    </row>
    <row r="1591" spans="1:21">
      <c r="A1591" t="s">
        <v>97</v>
      </c>
      <c r="B1591">
        <v>2013</v>
      </c>
      <c r="C1591">
        <v>13361.736999999999</v>
      </c>
      <c r="D1591">
        <v>139100.0061</v>
      </c>
      <c r="E1591">
        <v>50.45</v>
      </c>
      <c r="F1591">
        <v>0</v>
      </c>
      <c r="G1591">
        <v>4.76</v>
      </c>
      <c r="H1591">
        <v>8.6216270000000002</v>
      </c>
      <c r="I1591">
        <v>57.15</v>
      </c>
      <c r="J1591">
        <v>1.46</v>
      </c>
      <c r="K1591">
        <v>93</v>
      </c>
      <c r="L1591">
        <v>98.866280000000003</v>
      </c>
      <c r="M1591">
        <v>97.3</v>
      </c>
      <c r="N1591">
        <v>2.6760000000000002</v>
      </c>
      <c r="P1591">
        <v>7.6285711850000002</v>
      </c>
      <c r="Q1591">
        <v>7076.5522650000003</v>
      </c>
      <c r="R1591">
        <v>5.0599999999999996</v>
      </c>
      <c r="S1591">
        <v>438317</v>
      </c>
      <c r="T1591">
        <v>33.223191</v>
      </c>
      <c r="U1591">
        <v>43.679290999999999</v>
      </c>
    </row>
    <row r="1592" spans="1:21">
      <c r="A1592" t="s">
        <v>97</v>
      </c>
      <c r="B1592">
        <v>2014</v>
      </c>
      <c r="C1592">
        <v>12829.745999999999</v>
      </c>
      <c r="D1592">
        <v>134039.9933</v>
      </c>
      <c r="E1592">
        <v>60.94</v>
      </c>
      <c r="F1592">
        <v>0</v>
      </c>
      <c r="G1592">
        <v>2.96</v>
      </c>
      <c r="H1592">
        <v>4.6322380000000001</v>
      </c>
      <c r="I1592">
        <v>55.27</v>
      </c>
      <c r="J1592">
        <v>1</v>
      </c>
      <c r="K1592">
        <v>93</v>
      </c>
      <c r="L1592">
        <v>99.098433999999997</v>
      </c>
      <c r="M1592">
        <v>97.7</v>
      </c>
      <c r="N1592">
        <v>1.7387189000000001</v>
      </c>
      <c r="O1592">
        <v>20000</v>
      </c>
      <c r="P1592">
        <v>0.19701671000000001</v>
      </c>
      <c r="Q1592">
        <v>6637.6843749999998</v>
      </c>
      <c r="R1592">
        <v>4.82</v>
      </c>
      <c r="S1592">
        <v>438317</v>
      </c>
      <c r="T1592">
        <v>33.223191</v>
      </c>
      <c r="U1592">
        <v>43.679290999999999</v>
      </c>
    </row>
    <row r="1593" spans="1:21">
      <c r="A1593" t="s">
        <v>97</v>
      </c>
      <c r="B1593">
        <v>2015</v>
      </c>
      <c r="C1593">
        <v>12457.778</v>
      </c>
      <c r="D1593">
        <v>133169.9982</v>
      </c>
      <c r="E1593">
        <v>62.17</v>
      </c>
      <c r="F1593">
        <v>0</v>
      </c>
      <c r="G1593">
        <v>2.58</v>
      </c>
      <c r="H1593">
        <v>3.984556</v>
      </c>
      <c r="I1593">
        <v>64.959999999999994</v>
      </c>
      <c r="J1593">
        <v>0.82</v>
      </c>
      <c r="K1593">
        <v>93</v>
      </c>
      <c r="L1593">
        <v>99.345429999999993</v>
      </c>
      <c r="M1593">
        <v>98.1</v>
      </c>
      <c r="N1593">
        <v>1.6102989999999999</v>
      </c>
      <c r="P1593">
        <v>4.7228640190000002</v>
      </c>
      <c r="Q1593">
        <v>4688.3180169999996</v>
      </c>
      <c r="R1593">
        <v>4.3600000000000003</v>
      </c>
      <c r="S1593">
        <v>438317</v>
      </c>
      <c r="T1593">
        <v>33.223191</v>
      </c>
      <c r="U1593">
        <v>43.679290999999999</v>
      </c>
    </row>
    <row r="1594" spans="1:21">
      <c r="A1594" t="s">
        <v>97</v>
      </c>
      <c r="B1594">
        <v>2016</v>
      </c>
      <c r="C1594">
        <v>13748.048000000001</v>
      </c>
      <c r="D1594">
        <v>142229.9957</v>
      </c>
      <c r="E1594">
        <v>72.06</v>
      </c>
      <c r="F1594">
        <v>0</v>
      </c>
      <c r="G1594">
        <v>3.4</v>
      </c>
      <c r="H1594">
        <v>4.5056979999999998</v>
      </c>
      <c r="I1594">
        <v>63.12</v>
      </c>
      <c r="J1594">
        <v>0.94</v>
      </c>
      <c r="K1594">
        <v>93</v>
      </c>
      <c r="L1594">
        <v>99.604299999999995</v>
      </c>
      <c r="M1594">
        <v>98.3</v>
      </c>
      <c r="N1594">
        <v>1.8365393999999999</v>
      </c>
      <c r="O1594">
        <v>260570000</v>
      </c>
      <c r="P1594">
        <v>13.78737302</v>
      </c>
      <c r="Q1594">
        <v>4550.6586379999999</v>
      </c>
      <c r="R1594">
        <v>4.12</v>
      </c>
      <c r="S1594">
        <v>438317</v>
      </c>
      <c r="T1594">
        <v>33.223191</v>
      </c>
      <c r="U1594">
        <v>43.679290999999999</v>
      </c>
    </row>
    <row r="1595" spans="1:21">
      <c r="A1595" t="s">
        <v>97</v>
      </c>
      <c r="B1595">
        <v>2017</v>
      </c>
      <c r="C1595">
        <v>15090.169</v>
      </c>
      <c r="D1595">
        <v>155080.0018</v>
      </c>
      <c r="E1595">
        <v>80.069999999999993</v>
      </c>
      <c r="F1595">
        <v>0</v>
      </c>
      <c r="G1595">
        <v>2.21</v>
      </c>
      <c r="H1595">
        <v>2.6859505000000001</v>
      </c>
      <c r="I1595">
        <v>61.54</v>
      </c>
      <c r="J1595">
        <v>0.56999999999999995</v>
      </c>
      <c r="K1595">
        <v>93</v>
      </c>
      <c r="L1595">
        <v>99.872069999999994</v>
      </c>
      <c r="M1595">
        <v>98.7</v>
      </c>
      <c r="N1595">
        <v>1.1253451999999999</v>
      </c>
      <c r="O1595">
        <v>112960000</v>
      </c>
      <c r="P1595">
        <v>-1.8197503509999999</v>
      </c>
      <c r="Q1595">
        <v>4985.4528790000004</v>
      </c>
      <c r="R1595">
        <v>4.74</v>
      </c>
      <c r="S1595">
        <v>438317</v>
      </c>
      <c r="T1595">
        <v>33.223191</v>
      </c>
      <c r="U1595">
        <v>43.679290999999999</v>
      </c>
    </row>
    <row r="1596" spans="1:21">
      <c r="A1596" t="s">
        <v>97</v>
      </c>
      <c r="B1596">
        <v>2018</v>
      </c>
      <c r="C1596">
        <v>14896.87</v>
      </c>
      <c r="D1596">
        <v>163149.9939</v>
      </c>
      <c r="E1596">
        <v>80.930000000000007</v>
      </c>
      <c r="F1596">
        <v>0</v>
      </c>
      <c r="G1596">
        <v>2.1800000000000002</v>
      </c>
      <c r="H1596">
        <v>2.6230297</v>
      </c>
      <c r="I1596">
        <v>64.78</v>
      </c>
      <c r="J1596">
        <v>0.49</v>
      </c>
      <c r="K1596">
        <v>93</v>
      </c>
      <c r="L1596">
        <v>99.9</v>
      </c>
      <c r="M1596">
        <v>98.8</v>
      </c>
      <c r="N1596">
        <v>0.91195349999999997</v>
      </c>
      <c r="P1596">
        <v>2.6338509910000001</v>
      </c>
      <c r="Q1596">
        <v>5915.8508540000003</v>
      </c>
      <c r="R1596">
        <v>5.67</v>
      </c>
      <c r="S1596">
        <v>438317</v>
      </c>
      <c r="T1596">
        <v>33.223191</v>
      </c>
      <c r="U1596">
        <v>43.679290999999999</v>
      </c>
    </row>
    <row r="1597" spans="1:21">
      <c r="A1597" t="s">
        <v>97</v>
      </c>
      <c r="B1597">
        <v>2019</v>
      </c>
      <c r="C1597">
        <v>15430.376</v>
      </c>
      <c r="D1597">
        <v>174559.9976</v>
      </c>
      <c r="E1597">
        <v>83.85</v>
      </c>
      <c r="F1597">
        <v>0</v>
      </c>
      <c r="G1597">
        <v>5.34</v>
      </c>
      <c r="H1597">
        <v>5.9872180000000004</v>
      </c>
      <c r="I1597">
        <v>63.34</v>
      </c>
      <c r="J1597">
        <v>0.43</v>
      </c>
      <c r="K1597">
        <v>93</v>
      </c>
      <c r="L1597">
        <v>99.992003999999994</v>
      </c>
      <c r="M1597">
        <v>98.9</v>
      </c>
      <c r="N1597">
        <v>2.2772882000000001</v>
      </c>
      <c r="P1597">
        <v>5.9573275030000001</v>
      </c>
      <c r="Q1597">
        <v>5980.6269179999999</v>
      </c>
      <c r="R1597">
        <v>5.57</v>
      </c>
      <c r="S1597">
        <v>438317</v>
      </c>
      <c r="T1597">
        <v>33.223191</v>
      </c>
      <c r="U1597">
        <v>43.679290999999999</v>
      </c>
    </row>
    <row r="1598" spans="1:21">
      <c r="A1598" t="s">
        <v>97</v>
      </c>
      <c r="B1598">
        <v>2020</v>
      </c>
      <c r="C1598">
        <v>12996.267</v>
      </c>
      <c r="E1598">
        <v>86.45</v>
      </c>
      <c r="F1598">
        <v>0</v>
      </c>
      <c r="G1598">
        <v>5.3</v>
      </c>
      <c r="H1598">
        <v>5.776567</v>
      </c>
      <c r="I1598">
        <v>61.9</v>
      </c>
      <c r="K1598">
        <v>93</v>
      </c>
      <c r="L1598">
        <v>100</v>
      </c>
      <c r="M1598">
        <v>99</v>
      </c>
      <c r="N1598">
        <v>1.6468849999999999</v>
      </c>
      <c r="P1598">
        <v>-15.67309279</v>
      </c>
      <c r="Q1598">
        <v>4145.8629360000004</v>
      </c>
      <c r="S1598">
        <v>438317</v>
      </c>
      <c r="T1598">
        <v>33.223191</v>
      </c>
      <c r="U1598">
        <v>43.679290999999999</v>
      </c>
    </row>
    <row r="1599" spans="1:21">
      <c r="A1599" t="s">
        <v>98</v>
      </c>
      <c r="B1599">
        <v>2000</v>
      </c>
      <c r="C1599">
        <v>45993.887000000002</v>
      </c>
      <c r="D1599">
        <v>42530</v>
      </c>
      <c r="E1599">
        <v>22.49</v>
      </c>
      <c r="F1599">
        <v>0</v>
      </c>
      <c r="G1599">
        <v>1.18</v>
      </c>
      <c r="H1599">
        <v>4.9852129999999999</v>
      </c>
      <c r="J1599">
        <v>2.04</v>
      </c>
      <c r="K1599">
        <v>73</v>
      </c>
      <c r="L1599">
        <v>100</v>
      </c>
      <c r="M1599">
        <v>100</v>
      </c>
      <c r="N1599">
        <v>2.0416547999999999</v>
      </c>
      <c r="P1599">
        <v>9.3994180059999994</v>
      </c>
      <c r="Q1599">
        <v>26269.181619999999</v>
      </c>
      <c r="R1599">
        <v>3.12</v>
      </c>
      <c r="S1599">
        <v>84421</v>
      </c>
      <c r="T1599">
        <v>53.412909999999997</v>
      </c>
      <c r="U1599">
        <v>-8.2438900000000004</v>
      </c>
    </row>
    <row r="1600" spans="1:21">
      <c r="A1600" t="s">
        <v>98</v>
      </c>
      <c r="B1600">
        <v>2001</v>
      </c>
      <c r="C1600">
        <v>47836.67</v>
      </c>
      <c r="D1600">
        <v>44820</v>
      </c>
      <c r="E1600">
        <v>23.61</v>
      </c>
      <c r="F1600">
        <v>0</v>
      </c>
      <c r="G1600">
        <v>1.03</v>
      </c>
      <c r="H1600">
        <v>4.1801950000000003</v>
      </c>
      <c r="J1600">
        <v>1.97</v>
      </c>
      <c r="K1600">
        <v>73</v>
      </c>
      <c r="L1600">
        <v>100</v>
      </c>
      <c r="M1600">
        <v>100</v>
      </c>
      <c r="N1600">
        <v>1.6617</v>
      </c>
      <c r="P1600">
        <v>5.304484392</v>
      </c>
      <c r="Q1600">
        <v>28257.938590000002</v>
      </c>
      <c r="R1600">
        <v>3.08</v>
      </c>
      <c r="S1600">
        <v>84421</v>
      </c>
      <c r="T1600">
        <v>53.412909999999997</v>
      </c>
      <c r="U1600">
        <v>-8.2438900000000004</v>
      </c>
    </row>
    <row r="1601" spans="1:21">
      <c r="A1601" t="s">
        <v>98</v>
      </c>
      <c r="B1601">
        <v>2002</v>
      </c>
      <c r="C1601">
        <v>46569.605000000003</v>
      </c>
      <c r="D1601">
        <v>43930.000310000003</v>
      </c>
      <c r="E1601">
        <v>23.46</v>
      </c>
      <c r="F1601">
        <v>0</v>
      </c>
      <c r="G1601">
        <v>1.38</v>
      </c>
      <c r="H1601">
        <v>5.5555553</v>
      </c>
      <c r="J1601">
        <v>2.25</v>
      </c>
      <c r="K1601">
        <v>73</v>
      </c>
      <c r="L1601">
        <v>100</v>
      </c>
      <c r="M1601">
        <v>100</v>
      </c>
      <c r="N1601">
        <v>2.22865</v>
      </c>
      <c r="P1601">
        <v>5.8962317210000004</v>
      </c>
      <c r="Q1601">
        <v>32550.279070000001</v>
      </c>
      <c r="R1601">
        <v>2.92</v>
      </c>
      <c r="S1601">
        <v>84421</v>
      </c>
      <c r="T1601">
        <v>53.412909999999997</v>
      </c>
      <c r="U1601">
        <v>-8.2438900000000004</v>
      </c>
    </row>
    <row r="1602" spans="1:21">
      <c r="A1602" t="s">
        <v>98</v>
      </c>
      <c r="B1602">
        <v>2003</v>
      </c>
      <c r="C1602">
        <v>44674.87</v>
      </c>
      <c r="D1602">
        <v>44090.00015</v>
      </c>
      <c r="E1602">
        <v>23.72</v>
      </c>
      <c r="F1602">
        <v>0</v>
      </c>
      <c r="G1602">
        <v>1.1399999999999999</v>
      </c>
      <c r="H1602">
        <v>4.5856795000000004</v>
      </c>
      <c r="J1602">
        <v>2.0099999999999998</v>
      </c>
      <c r="K1602">
        <v>73</v>
      </c>
      <c r="L1602">
        <v>100</v>
      </c>
      <c r="M1602">
        <v>100</v>
      </c>
      <c r="N1602">
        <v>1.8775274</v>
      </c>
      <c r="P1602">
        <v>3.0095843210000002</v>
      </c>
      <c r="Q1602">
        <v>41112.748220000001</v>
      </c>
      <c r="R1602">
        <v>2.77</v>
      </c>
      <c r="S1602">
        <v>84421</v>
      </c>
      <c r="T1602">
        <v>53.412909999999997</v>
      </c>
      <c r="U1602">
        <v>-8.2438900000000004</v>
      </c>
    </row>
    <row r="1603" spans="1:21">
      <c r="A1603" t="s">
        <v>98</v>
      </c>
      <c r="B1603">
        <v>2004</v>
      </c>
      <c r="C1603">
        <v>44733.042999999998</v>
      </c>
      <c r="D1603">
        <v>44689.998630000002</v>
      </c>
      <c r="E1603">
        <v>23.83</v>
      </c>
      <c r="F1603">
        <v>0</v>
      </c>
      <c r="G1603">
        <v>1.39</v>
      </c>
      <c r="H1603">
        <v>5.5114989999999997</v>
      </c>
      <c r="J1603">
        <v>2.31</v>
      </c>
      <c r="K1603">
        <v>73</v>
      </c>
      <c r="L1603">
        <v>100</v>
      </c>
      <c r="M1603">
        <v>100</v>
      </c>
      <c r="N1603">
        <v>2.2567780000000002</v>
      </c>
      <c r="P1603">
        <v>6.7858728169999996</v>
      </c>
      <c r="Q1603">
        <v>47666.547079999997</v>
      </c>
      <c r="R1603">
        <v>2.67</v>
      </c>
      <c r="S1603">
        <v>84421</v>
      </c>
      <c r="T1603">
        <v>53.412909999999997</v>
      </c>
      <c r="U1603">
        <v>-8.2438900000000004</v>
      </c>
    </row>
    <row r="1604" spans="1:21">
      <c r="A1604" t="s">
        <v>98</v>
      </c>
      <c r="B1604">
        <v>2005</v>
      </c>
      <c r="C1604">
        <v>45659.78</v>
      </c>
      <c r="D1604">
        <v>46650.001530000001</v>
      </c>
      <c r="E1604">
        <v>23.75</v>
      </c>
      <c r="F1604">
        <v>0</v>
      </c>
      <c r="G1604">
        <v>1.87</v>
      </c>
      <c r="H1604">
        <v>7.2989850000000001</v>
      </c>
      <c r="J1604">
        <v>2.89</v>
      </c>
      <c r="K1604">
        <v>73</v>
      </c>
      <c r="L1604">
        <v>100</v>
      </c>
      <c r="M1604">
        <v>100</v>
      </c>
      <c r="N1604">
        <v>2.8846500000000002</v>
      </c>
      <c r="P1604">
        <v>5.7362114499999999</v>
      </c>
      <c r="Q1604">
        <v>50914.031289999999</v>
      </c>
      <c r="R1604">
        <v>2.5499999999999998</v>
      </c>
      <c r="S1604">
        <v>84421</v>
      </c>
      <c r="T1604">
        <v>53.412909999999997</v>
      </c>
      <c r="U1604">
        <v>-8.2438900000000004</v>
      </c>
    </row>
    <row r="1605" spans="1:21">
      <c r="A1605" t="s">
        <v>98</v>
      </c>
      <c r="B1605">
        <v>2006</v>
      </c>
      <c r="C1605">
        <v>45880.33</v>
      </c>
      <c r="D1605">
        <v>47259.998319999999</v>
      </c>
      <c r="E1605">
        <v>24.64</v>
      </c>
      <c r="F1605">
        <v>0</v>
      </c>
      <c r="G1605">
        <v>2.4700000000000002</v>
      </c>
      <c r="H1605">
        <v>9.1110290000000003</v>
      </c>
      <c r="J1605">
        <v>3.23</v>
      </c>
      <c r="K1605">
        <v>73</v>
      </c>
      <c r="L1605">
        <v>100</v>
      </c>
      <c r="M1605">
        <v>100</v>
      </c>
      <c r="N1605">
        <v>3.701902</v>
      </c>
      <c r="P1605">
        <v>4.980502016</v>
      </c>
      <c r="Q1605">
        <v>54283.681779999999</v>
      </c>
      <c r="R1605">
        <v>2.44</v>
      </c>
      <c r="S1605">
        <v>84421</v>
      </c>
      <c r="T1605">
        <v>53.412909999999997</v>
      </c>
      <c r="U1605">
        <v>-8.2438900000000004</v>
      </c>
    </row>
    <row r="1606" spans="1:21">
      <c r="A1606" t="s">
        <v>98</v>
      </c>
      <c r="B1606">
        <v>2007</v>
      </c>
      <c r="C1606">
        <v>45259.535000000003</v>
      </c>
      <c r="D1606">
        <v>46360.000610000003</v>
      </c>
      <c r="E1606">
        <v>25.56</v>
      </c>
      <c r="F1606">
        <v>0</v>
      </c>
      <c r="G1606">
        <v>2.81</v>
      </c>
      <c r="H1606">
        <v>9.9048289999999994</v>
      </c>
      <c r="J1606">
        <v>3.57</v>
      </c>
      <c r="K1606">
        <v>73</v>
      </c>
      <c r="L1606">
        <v>100</v>
      </c>
      <c r="M1606">
        <v>100</v>
      </c>
      <c r="N1606">
        <v>4.0426589999999996</v>
      </c>
      <c r="P1606">
        <v>5.3054683499999999</v>
      </c>
      <c r="Q1606">
        <v>61318.466030000003</v>
      </c>
      <c r="R1606">
        <v>2.36</v>
      </c>
      <c r="S1606">
        <v>84421</v>
      </c>
      <c r="T1606">
        <v>53.412909999999997</v>
      </c>
      <c r="U1606">
        <v>-8.2438900000000004</v>
      </c>
    </row>
    <row r="1607" spans="1:21">
      <c r="A1607" t="s">
        <v>98</v>
      </c>
      <c r="B1607">
        <v>2008</v>
      </c>
      <c r="C1607">
        <v>44106.400000000001</v>
      </c>
      <c r="D1607">
        <v>45779.998780000002</v>
      </c>
      <c r="E1607">
        <v>26.32</v>
      </c>
      <c r="F1607">
        <v>0</v>
      </c>
      <c r="G1607">
        <v>3.6</v>
      </c>
      <c r="H1607">
        <v>12.032085</v>
      </c>
      <c r="J1607">
        <v>4.21</v>
      </c>
      <c r="K1607">
        <v>73</v>
      </c>
      <c r="L1607">
        <v>100</v>
      </c>
      <c r="M1607">
        <v>100</v>
      </c>
      <c r="N1607">
        <v>5.1767683</v>
      </c>
      <c r="P1607">
        <v>-4.4865993140000002</v>
      </c>
      <c r="Q1607">
        <v>61103.513469999998</v>
      </c>
      <c r="R1607">
        <v>2.4500000000000002</v>
      </c>
      <c r="S1607">
        <v>84421</v>
      </c>
      <c r="T1607">
        <v>53.412909999999997</v>
      </c>
      <c r="U1607">
        <v>-8.2438900000000004</v>
      </c>
    </row>
    <row r="1608" spans="1:21">
      <c r="A1608" t="s">
        <v>98</v>
      </c>
      <c r="B1608">
        <v>2009</v>
      </c>
      <c r="C1608">
        <v>39248.785000000003</v>
      </c>
      <c r="D1608">
        <v>40560.001369999998</v>
      </c>
      <c r="E1608">
        <v>23.85</v>
      </c>
      <c r="F1608">
        <v>0</v>
      </c>
      <c r="G1608">
        <v>4.12</v>
      </c>
      <c r="H1608">
        <v>14.730067999999999</v>
      </c>
      <c r="J1608">
        <v>5.3</v>
      </c>
      <c r="K1608">
        <v>73</v>
      </c>
      <c r="L1608">
        <v>100</v>
      </c>
      <c r="M1608">
        <v>100</v>
      </c>
      <c r="N1608">
        <v>6.4529405000000004</v>
      </c>
      <c r="P1608">
        <v>-5.100471121</v>
      </c>
      <c r="Q1608">
        <v>51927.230960000001</v>
      </c>
      <c r="R1608">
        <v>2.5</v>
      </c>
      <c r="S1608">
        <v>84421</v>
      </c>
      <c r="T1608">
        <v>53.412909999999997</v>
      </c>
      <c r="U1608">
        <v>-8.2438900000000004</v>
      </c>
    </row>
    <row r="1609" spans="1:21">
      <c r="A1609" t="s">
        <v>98</v>
      </c>
      <c r="B1609">
        <v>2010</v>
      </c>
      <c r="C1609">
        <v>39407.06</v>
      </c>
      <c r="D1609">
        <v>40189.998630000002</v>
      </c>
      <c r="E1609">
        <v>24.44</v>
      </c>
      <c r="F1609">
        <v>0</v>
      </c>
      <c r="G1609">
        <v>3.72</v>
      </c>
      <c r="H1609">
        <v>13.210227</v>
      </c>
      <c r="J1609">
        <v>5.31</v>
      </c>
      <c r="K1609">
        <v>73</v>
      </c>
      <c r="L1609">
        <v>100</v>
      </c>
      <c r="M1609">
        <v>100</v>
      </c>
      <c r="N1609">
        <v>5.8530927000000004</v>
      </c>
      <c r="P1609">
        <v>1.7550807429999999</v>
      </c>
      <c r="Q1609">
        <v>48607.940519999996</v>
      </c>
      <c r="R1609">
        <v>2.4500000000000002</v>
      </c>
      <c r="S1609">
        <v>84421</v>
      </c>
      <c r="T1609">
        <v>53.412909999999997</v>
      </c>
      <c r="U1609">
        <v>-8.2438900000000004</v>
      </c>
    </row>
    <row r="1610" spans="1:21">
      <c r="A1610" t="s">
        <v>98</v>
      </c>
      <c r="B1610">
        <v>2011</v>
      </c>
      <c r="C1610">
        <v>37465.4</v>
      </c>
      <c r="D1610">
        <v>36680.000310000003</v>
      </c>
      <c r="E1610">
        <v>21.73</v>
      </c>
      <c r="F1610">
        <v>0</v>
      </c>
      <c r="G1610">
        <v>5.43</v>
      </c>
      <c r="H1610">
        <v>19.992636000000001</v>
      </c>
      <c r="J1610">
        <v>6.61</v>
      </c>
      <c r="K1610">
        <v>73</v>
      </c>
      <c r="L1610">
        <v>100</v>
      </c>
      <c r="M1610">
        <v>100</v>
      </c>
      <c r="N1610">
        <v>8.8201409999999996</v>
      </c>
      <c r="P1610">
        <v>1.068526654</v>
      </c>
      <c r="Q1610">
        <v>52108.833229999997</v>
      </c>
      <c r="R1610">
        <v>2.23</v>
      </c>
      <c r="S1610">
        <v>84421</v>
      </c>
      <c r="T1610">
        <v>53.412909999999997</v>
      </c>
      <c r="U1610">
        <v>-8.2438900000000004</v>
      </c>
    </row>
    <row r="1611" spans="1:21">
      <c r="A1611" t="s">
        <v>98</v>
      </c>
      <c r="B1611">
        <v>2012</v>
      </c>
      <c r="C1611">
        <v>36688.957000000002</v>
      </c>
      <c r="D1611">
        <v>37130.001069999998</v>
      </c>
      <c r="E1611">
        <v>21.88</v>
      </c>
      <c r="F1611">
        <v>0</v>
      </c>
      <c r="G1611">
        <v>5.25</v>
      </c>
      <c r="H1611">
        <v>19.351272999999999</v>
      </c>
      <c r="J1611">
        <v>6.64</v>
      </c>
      <c r="K1611">
        <v>73</v>
      </c>
      <c r="L1611">
        <v>100</v>
      </c>
      <c r="M1611">
        <v>100</v>
      </c>
      <c r="N1611">
        <v>8.6794779999999996</v>
      </c>
      <c r="P1611">
        <v>-5.2354785000000001E-2</v>
      </c>
      <c r="Q1611">
        <v>49028.827389999999</v>
      </c>
      <c r="R1611">
        <v>2.23</v>
      </c>
      <c r="S1611">
        <v>84421</v>
      </c>
      <c r="T1611">
        <v>53.412909999999997</v>
      </c>
      <c r="U1611">
        <v>-8.2438900000000004</v>
      </c>
    </row>
    <row r="1612" spans="1:21">
      <c r="A1612" t="s">
        <v>98</v>
      </c>
      <c r="B1612">
        <v>2013</v>
      </c>
      <c r="C1612">
        <v>35956.300000000003</v>
      </c>
      <c r="D1612">
        <v>35709.999080000001</v>
      </c>
      <c r="E1612">
        <v>19.940000000000001</v>
      </c>
      <c r="F1612">
        <v>0</v>
      </c>
      <c r="G1612">
        <v>5.63</v>
      </c>
      <c r="H1612">
        <v>22.017990000000001</v>
      </c>
      <c r="J1612">
        <v>7.44</v>
      </c>
      <c r="K1612">
        <v>73</v>
      </c>
      <c r="L1612">
        <v>100</v>
      </c>
      <c r="M1612">
        <v>100</v>
      </c>
      <c r="N1612">
        <v>9.4413450000000001</v>
      </c>
      <c r="P1612">
        <v>1.2670146609999999</v>
      </c>
      <c r="Q1612">
        <v>51518.388099999996</v>
      </c>
      <c r="R1612">
        <v>2.19</v>
      </c>
      <c r="S1612">
        <v>84421</v>
      </c>
      <c r="T1612">
        <v>53.412909999999997</v>
      </c>
      <c r="U1612">
        <v>-8.2438900000000004</v>
      </c>
    </row>
    <row r="1613" spans="1:21">
      <c r="A1613" t="s">
        <v>98</v>
      </c>
      <c r="B1613">
        <v>2014</v>
      </c>
      <c r="C1613">
        <v>35600.855000000003</v>
      </c>
      <c r="D1613">
        <v>35529.998780000002</v>
      </c>
      <c r="E1613">
        <v>19.420000000000002</v>
      </c>
      <c r="F1613">
        <v>0</v>
      </c>
      <c r="G1613">
        <v>6.39</v>
      </c>
      <c r="H1613">
        <v>24.757847000000002</v>
      </c>
      <c r="J1613">
        <v>8.5500000000000007</v>
      </c>
      <c r="K1613">
        <v>73</v>
      </c>
      <c r="L1613">
        <v>100</v>
      </c>
      <c r="M1613">
        <v>100</v>
      </c>
      <c r="N1613">
        <v>10.700231</v>
      </c>
      <c r="P1613">
        <v>8.7136978079999992</v>
      </c>
      <c r="Q1613">
        <v>55525.897250000002</v>
      </c>
      <c r="R1613">
        <v>1.97</v>
      </c>
      <c r="S1613">
        <v>84421</v>
      </c>
      <c r="T1613">
        <v>53.412909999999997</v>
      </c>
      <c r="U1613">
        <v>-8.2438900000000004</v>
      </c>
    </row>
    <row r="1614" spans="1:21">
      <c r="A1614" t="s">
        <v>98</v>
      </c>
      <c r="B1614">
        <v>2015</v>
      </c>
      <c r="C1614">
        <v>37274.28</v>
      </c>
      <c r="D1614">
        <v>37060.001369999998</v>
      </c>
      <c r="E1614">
        <v>20.239999999999998</v>
      </c>
      <c r="F1614">
        <v>0</v>
      </c>
      <c r="G1614">
        <v>7.86</v>
      </c>
      <c r="H1614">
        <v>27.971529</v>
      </c>
      <c r="J1614">
        <v>9.1999999999999993</v>
      </c>
      <c r="K1614">
        <v>73</v>
      </c>
      <c r="L1614">
        <v>100</v>
      </c>
      <c r="M1614">
        <v>100</v>
      </c>
      <c r="N1614">
        <v>12.265226</v>
      </c>
      <c r="P1614">
        <v>25.176245189999999</v>
      </c>
      <c r="Q1614">
        <v>61987.550999999999</v>
      </c>
      <c r="R1614">
        <v>1.64</v>
      </c>
      <c r="S1614">
        <v>84421</v>
      </c>
      <c r="T1614">
        <v>53.412909999999997</v>
      </c>
      <c r="U1614">
        <v>-8.2438900000000004</v>
      </c>
    </row>
    <row r="1615" spans="1:21">
      <c r="A1615" t="s">
        <v>98</v>
      </c>
      <c r="B1615">
        <v>2016</v>
      </c>
      <c r="C1615">
        <v>38517.675999999999</v>
      </c>
      <c r="D1615">
        <v>38819.999689999997</v>
      </c>
      <c r="E1615">
        <v>22.71</v>
      </c>
      <c r="F1615">
        <v>0</v>
      </c>
      <c r="G1615">
        <v>7.52</v>
      </c>
      <c r="H1615">
        <v>24.875952000000002</v>
      </c>
      <c r="J1615">
        <v>8.59</v>
      </c>
      <c r="K1615">
        <v>73</v>
      </c>
      <c r="L1615">
        <v>100</v>
      </c>
      <c r="M1615">
        <v>100</v>
      </c>
      <c r="N1615">
        <v>11.269349999999999</v>
      </c>
      <c r="P1615">
        <v>2.0422325269999999</v>
      </c>
      <c r="Q1615">
        <v>62818.966359999999</v>
      </c>
      <c r="R1615">
        <v>1.69</v>
      </c>
      <c r="S1615">
        <v>84421</v>
      </c>
      <c r="T1615">
        <v>53.412909999999997</v>
      </c>
      <c r="U1615">
        <v>-8.2438900000000004</v>
      </c>
    </row>
    <row r="1616" spans="1:21">
      <c r="A1616" t="s">
        <v>98</v>
      </c>
      <c r="B1616">
        <v>2017</v>
      </c>
      <c r="C1616">
        <v>38225.68</v>
      </c>
      <c r="D1616">
        <v>37779.998780000002</v>
      </c>
      <c r="E1616">
        <v>21.78</v>
      </c>
      <c r="F1616">
        <v>0</v>
      </c>
      <c r="G1616">
        <v>8.8800000000000008</v>
      </c>
      <c r="H1616">
        <v>28.962817999999999</v>
      </c>
      <c r="J1616">
        <v>10.1</v>
      </c>
      <c r="K1616">
        <v>73</v>
      </c>
      <c r="L1616">
        <v>100</v>
      </c>
      <c r="M1616">
        <v>100</v>
      </c>
      <c r="N1616">
        <v>13.157302</v>
      </c>
      <c r="P1616">
        <v>8.9400127719999993</v>
      </c>
      <c r="Q1616">
        <v>69601.683879999997</v>
      </c>
      <c r="R1616">
        <v>1.51</v>
      </c>
      <c r="S1616">
        <v>84421</v>
      </c>
      <c r="T1616">
        <v>53.412909999999997</v>
      </c>
      <c r="U1616">
        <v>-8.2438900000000004</v>
      </c>
    </row>
    <row r="1617" spans="1:21">
      <c r="A1617" t="s">
        <v>98</v>
      </c>
      <c r="B1617">
        <v>2018</v>
      </c>
      <c r="C1617">
        <v>38573.796999999999</v>
      </c>
      <c r="D1617">
        <v>37659.99985</v>
      </c>
      <c r="E1617">
        <v>20.7</v>
      </c>
      <c r="F1617">
        <v>0</v>
      </c>
      <c r="G1617">
        <v>10.199999999999999</v>
      </c>
      <c r="H1617">
        <v>33.009709999999998</v>
      </c>
      <c r="J1617">
        <v>10.78</v>
      </c>
      <c r="K1617">
        <v>73</v>
      </c>
      <c r="L1617">
        <v>100</v>
      </c>
      <c r="M1617">
        <v>100</v>
      </c>
      <c r="N1617">
        <v>14.717063</v>
      </c>
      <c r="P1617">
        <v>9.0301611000000008</v>
      </c>
      <c r="Q1617">
        <v>79068.974610000005</v>
      </c>
      <c r="R1617">
        <v>1.41</v>
      </c>
      <c r="S1617">
        <v>84421</v>
      </c>
      <c r="T1617">
        <v>53.412909999999997</v>
      </c>
      <c r="U1617">
        <v>-8.2438900000000004</v>
      </c>
    </row>
    <row r="1618" spans="1:21">
      <c r="A1618" t="s">
        <v>98</v>
      </c>
      <c r="B1618">
        <v>2019</v>
      </c>
      <c r="C1618">
        <v>38270.875</v>
      </c>
      <c r="D1618">
        <v>35750</v>
      </c>
      <c r="E1618">
        <v>18.920000000000002</v>
      </c>
      <c r="F1618">
        <v>0</v>
      </c>
      <c r="G1618">
        <v>11.8</v>
      </c>
      <c r="H1618">
        <v>38.411459999999998</v>
      </c>
      <c r="J1618">
        <v>12.34</v>
      </c>
      <c r="K1618">
        <v>73</v>
      </c>
      <c r="L1618">
        <v>100</v>
      </c>
      <c r="M1618">
        <v>100</v>
      </c>
      <c r="N1618">
        <v>16.911176999999999</v>
      </c>
      <c r="P1618">
        <v>4.9170069779999999</v>
      </c>
      <c r="Q1618">
        <v>80886.615739999994</v>
      </c>
      <c r="R1618">
        <v>1.32</v>
      </c>
      <c r="S1618">
        <v>84421</v>
      </c>
      <c r="T1618">
        <v>53.412909999999997</v>
      </c>
      <c r="U1618">
        <v>-8.2438900000000004</v>
      </c>
    </row>
    <row r="1619" spans="1:21">
      <c r="A1619" t="s">
        <v>98</v>
      </c>
      <c r="B1619">
        <v>2020</v>
      </c>
      <c r="C1619">
        <v>35630.061999999998</v>
      </c>
      <c r="E1619">
        <v>18.510000000000002</v>
      </c>
      <c r="F1619">
        <v>0</v>
      </c>
      <c r="G1619">
        <v>13.46</v>
      </c>
      <c r="H1619">
        <v>42.101970000000001</v>
      </c>
      <c r="K1619">
        <v>73</v>
      </c>
      <c r="L1619">
        <v>100</v>
      </c>
      <c r="M1619">
        <v>100</v>
      </c>
      <c r="N1619">
        <v>20.549842999999999</v>
      </c>
      <c r="P1619">
        <v>5.8669755090000004</v>
      </c>
      <c r="Q1619">
        <v>85267.764739999999</v>
      </c>
      <c r="S1619">
        <v>84421</v>
      </c>
      <c r="T1619">
        <v>53.412909999999997</v>
      </c>
      <c r="U1619">
        <v>-8.2438900000000004</v>
      </c>
    </row>
    <row r="1620" spans="1:21">
      <c r="A1620" t="s">
        <v>99</v>
      </c>
      <c r="B1620">
        <v>2000</v>
      </c>
      <c r="C1620">
        <v>37170.773000000001</v>
      </c>
      <c r="D1620">
        <v>57000</v>
      </c>
      <c r="E1620">
        <v>40.07</v>
      </c>
      <c r="F1620">
        <v>0</v>
      </c>
      <c r="G1620">
        <v>0.03</v>
      </c>
      <c r="H1620">
        <v>7.4812970000000006E-2</v>
      </c>
      <c r="J1620">
        <v>5.96</v>
      </c>
      <c r="K1620">
        <v>400</v>
      </c>
      <c r="L1620">
        <v>100</v>
      </c>
      <c r="M1620">
        <v>100</v>
      </c>
      <c r="N1620">
        <v>4.0315732E-2</v>
      </c>
      <c r="P1620">
        <v>8.8922744859999998</v>
      </c>
      <c r="Q1620">
        <v>21061.48228</v>
      </c>
      <c r="R1620">
        <v>3.86</v>
      </c>
      <c r="S1620">
        <v>20770</v>
      </c>
      <c r="T1620">
        <v>31.046050999999999</v>
      </c>
      <c r="U1620">
        <v>34.851612000000003</v>
      </c>
    </row>
    <row r="1621" spans="1:21">
      <c r="A1621" t="s">
        <v>99</v>
      </c>
      <c r="B1621">
        <v>2001</v>
      </c>
      <c r="C1621">
        <v>36424.156000000003</v>
      </c>
      <c r="D1621">
        <v>57950</v>
      </c>
      <c r="E1621">
        <v>41.3</v>
      </c>
      <c r="F1621">
        <v>0</v>
      </c>
      <c r="G1621">
        <v>0.02</v>
      </c>
      <c r="H1621">
        <v>4.8402710000000002E-2</v>
      </c>
      <c r="J1621">
        <v>6.3</v>
      </c>
      <c r="K1621">
        <v>400</v>
      </c>
      <c r="L1621">
        <v>100</v>
      </c>
      <c r="M1621">
        <v>100</v>
      </c>
      <c r="N1621">
        <v>2.5859206999999999E-2</v>
      </c>
      <c r="P1621">
        <v>0.10226649</v>
      </c>
      <c r="Q1621">
        <v>20316.248049999998</v>
      </c>
      <c r="R1621">
        <v>4.05</v>
      </c>
      <c r="S1621">
        <v>20770</v>
      </c>
      <c r="T1621">
        <v>31.046050999999999</v>
      </c>
      <c r="U1621">
        <v>34.851612000000003</v>
      </c>
    </row>
    <row r="1622" spans="1:21">
      <c r="A1622" t="s">
        <v>99</v>
      </c>
      <c r="B1622">
        <v>2002</v>
      </c>
      <c r="C1622">
        <v>36462.847999999998</v>
      </c>
      <c r="D1622">
        <v>61080.001830000001</v>
      </c>
      <c r="E1622">
        <v>42.74</v>
      </c>
      <c r="F1622">
        <v>0</v>
      </c>
      <c r="G1622">
        <v>0.03</v>
      </c>
      <c r="H1622">
        <v>7.0142620000000003E-2</v>
      </c>
      <c r="J1622">
        <v>6.5</v>
      </c>
      <c r="K1622">
        <v>400</v>
      </c>
      <c r="L1622">
        <v>100</v>
      </c>
      <c r="M1622">
        <v>100</v>
      </c>
      <c r="N1622">
        <v>4.0297463999999998E-2</v>
      </c>
      <c r="P1622">
        <v>-0.195870302</v>
      </c>
      <c r="Q1622">
        <v>18439.64616</v>
      </c>
      <c r="R1622">
        <v>3.98</v>
      </c>
      <c r="S1622">
        <v>20770</v>
      </c>
      <c r="T1622">
        <v>31.046050999999999</v>
      </c>
      <c r="U1622">
        <v>34.851612000000003</v>
      </c>
    </row>
    <row r="1623" spans="1:21">
      <c r="A1623" t="s">
        <v>99</v>
      </c>
      <c r="B1623">
        <v>2003</v>
      </c>
      <c r="C1623">
        <v>36880.75</v>
      </c>
      <c r="D1623">
        <v>62930.000310000003</v>
      </c>
      <c r="E1623">
        <v>44.18</v>
      </c>
      <c r="F1623">
        <v>0</v>
      </c>
      <c r="G1623">
        <v>0.04</v>
      </c>
      <c r="H1623">
        <v>9.0456806000000001E-2</v>
      </c>
      <c r="J1623">
        <v>6.52</v>
      </c>
      <c r="K1623">
        <v>400</v>
      </c>
      <c r="L1623">
        <v>100</v>
      </c>
      <c r="M1623">
        <v>100</v>
      </c>
      <c r="N1623">
        <v>5.2213624E-2</v>
      </c>
      <c r="P1623">
        <v>1.1493555820000001</v>
      </c>
      <c r="Q1623">
        <v>18991.379850000001</v>
      </c>
      <c r="R1623">
        <v>4.13</v>
      </c>
      <c r="S1623">
        <v>20770</v>
      </c>
      <c r="T1623">
        <v>31.046050999999999</v>
      </c>
      <c r="U1623">
        <v>34.851612000000003</v>
      </c>
    </row>
    <row r="1624" spans="1:21">
      <c r="A1624" t="s">
        <v>99</v>
      </c>
      <c r="B1624">
        <v>2004</v>
      </c>
      <c r="C1624">
        <v>36929.9</v>
      </c>
      <c r="D1624">
        <v>63159.99985</v>
      </c>
      <c r="E1624">
        <v>44.41</v>
      </c>
      <c r="F1624">
        <v>0</v>
      </c>
      <c r="G1624">
        <v>0.04</v>
      </c>
      <c r="H1624">
        <v>8.9988750000000006E-2</v>
      </c>
      <c r="J1624">
        <v>6.73</v>
      </c>
      <c r="K1624">
        <v>400</v>
      </c>
      <c r="L1624">
        <v>100</v>
      </c>
      <c r="M1624">
        <v>100</v>
      </c>
      <c r="N1624">
        <v>4.6136866999999998E-2</v>
      </c>
      <c r="P1624">
        <v>4.9150163280000001</v>
      </c>
      <c r="Q1624">
        <v>19910.610669999998</v>
      </c>
      <c r="R1624">
        <v>3.86</v>
      </c>
      <c r="S1624">
        <v>20770</v>
      </c>
      <c r="T1624">
        <v>31.046050999999999</v>
      </c>
      <c r="U1624">
        <v>34.851612000000003</v>
      </c>
    </row>
    <row r="1625" spans="1:21">
      <c r="A1625" t="s">
        <v>99</v>
      </c>
      <c r="B1625">
        <v>2005</v>
      </c>
      <c r="C1625">
        <v>36458.637000000002</v>
      </c>
      <c r="D1625">
        <v>61009.998319999999</v>
      </c>
      <c r="E1625">
        <v>45.65</v>
      </c>
      <c r="F1625">
        <v>0</v>
      </c>
      <c r="G1625">
        <v>0.04</v>
      </c>
      <c r="H1625">
        <v>8.7546509999999994E-2</v>
      </c>
      <c r="J1625">
        <v>7.03</v>
      </c>
      <c r="K1625">
        <v>400</v>
      </c>
      <c r="L1625">
        <v>100</v>
      </c>
      <c r="M1625">
        <v>100</v>
      </c>
      <c r="N1625">
        <v>4.5620389999999997E-2</v>
      </c>
      <c r="P1625">
        <v>4.1588113699999996</v>
      </c>
      <c r="Q1625">
        <v>20585.138610000002</v>
      </c>
      <c r="R1625">
        <v>3.57</v>
      </c>
      <c r="S1625">
        <v>20770</v>
      </c>
      <c r="T1625">
        <v>31.046050999999999</v>
      </c>
      <c r="U1625">
        <v>34.851612000000003</v>
      </c>
    </row>
    <row r="1626" spans="1:21">
      <c r="A1626" t="s">
        <v>99</v>
      </c>
      <c r="B1626">
        <v>2006</v>
      </c>
      <c r="C1626">
        <v>36028.925999999999</v>
      </c>
      <c r="D1626">
        <v>64330.001830000001</v>
      </c>
      <c r="E1626">
        <v>47.5</v>
      </c>
      <c r="F1626">
        <v>0</v>
      </c>
      <c r="G1626">
        <v>0.02</v>
      </c>
      <c r="H1626">
        <v>4.208754E-2</v>
      </c>
      <c r="J1626">
        <v>6.86</v>
      </c>
      <c r="K1626">
        <v>400</v>
      </c>
      <c r="L1626">
        <v>100</v>
      </c>
      <c r="M1626">
        <v>100</v>
      </c>
      <c r="N1626">
        <v>2.9145408000000001E-2</v>
      </c>
      <c r="P1626">
        <v>5.7768181609999996</v>
      </c>
      <c r="Q1626">
        <v>21853.140240000001</v>
      </c>
      <c r="R1626">
        <v>3.72</v>
      </c>
      <c r="S1626">
        <v>20770</v>
      </c>
      <c r="T1626">
        <v>31.046050999999999</v>
      </c>
      <c r="U1626">
        <v>34.851612000000003</v>
      </c>
    </row>
    <row r="1627" spans="1:21">
      <c r="A1627" t="s">
        <v>99</v>
      </c>
      <c r="B1627">
        <v>2007</v>
      </c>
      <c r="C1627">
        <v>36725.434000000001</v>
      </c>
      <c r="D1627">
        <v>66599.998470000006</v>
      </c>
      <c r="E1627">
        <v>50.53</v>
      </c>
      <c r="F1627">
        <v>0</v>
      </c>
      <c r="G1627">
        <v>0.03</v>
      </c>
      <c r="H1627">
        <v>5.9335440000000003E-2</v>
      </c>
      <c r="J1627">
        <v>6.72</v>
      </c>
      <c r="K1627">
        <v>400</v>
      </c>
      <c r="L1627">
        <v>100</v>
      </c>
      <c r="M1627">
        <v>100</v>
      </c>
      <c r="N1627">
        <v>2.6579968999999998E-2</v>
      </c>
      <c r="P1627">
        <v>6.1018659499999996</v>
      </c>
      <c r="Q1627">
        <v>24952.547589999998</v>
      </c>
      <c r="R1627">
        <v>3.61</v>
      </c>
      <c r="S1627">
        <v>20770</v>
      </c>
      <c r="T1627">
        <v>31.046050999999999</v>
      </c>
      <c r="U1627">
        <v>34.851612000000003</v>
      </c>
    </row>
    <row r="1628" spans="1:21">
      <c r="A1628" t="s">
        <v>99</v>
      </c>
      <c r="B1628">
        <v>2008</v>
      </c>
      <c r="C1628">
        <v>37139.565999999999</v>
      </c>
      <c r="D1628">
        <v>66709.999079999994</v>
      </c>
      <c r="E1628">
        <v>53.34</v>
      </c>
      <c r="F1628">
        <v>0</v>
      </c>
      <c r="G1628">
        <v>0.04</v>
      </c>
      <c r="H1628">
        <v>7.4934429999999996E-2</v>
      </c>
      <c r="J1628">
        <v>8.9</v>
      </c>
      <c r="K1628">
        <v>400</v>
      </c>
      <c r="L1628">
        <v>100</v>
      </c>
      <c r="M1628">
        <v>100</v>
      </c>
      <c r="N1628">
        <v>3.5232626000000003E-2</v>
      </c>
      <c r="P1628">
        <v>3.45885767</v>
      </c>
      <c r="Q1628">
        <v>29650.770250000001</v>
      </c>
      <c r="R1628">
        <v>3.85</v>
      </c>
      <c r="S1628">
        <v>20770</v>
      </c>
      <c r="T1628">
        <v>31.046050999999999</v>
      </c>
      <c r="U1628">
        <v>34.851612000000003</v>
      </c>
    </row>
    <row r="1629" spans="1:21">
      <c r="A1629" t="s">
        <v>99</v>
      </c>
      <c r="B1629">
        <v>2009</v>
      </c>
      <c r="C1629">
        <v>35460.906000000003</v>
      </c>
      <c r="D1629">
        <v>65730.003360000002</v>
      </c>
      <c r="E1629">
        <v>54.67</v>
      </c>
      <c r="F1629">
        <v>0</v>
      </c>
      <c r="G1629">
        <v>7.0000000000000007E-2</v>
      </c>
      <c r="H1629">
        <v>0.12787724</v>
      </c>
      <c r="J1629">
        <v>8.4600000000000009</v>
      </c>
      <c r="K1629">
        <v>400</v>
      </c>
      <c r="L1629">
        <v>100</v>
      </c>
      <c r="M1629">
        <v>100</v>
      </c>
      <c r="N1629">
        <v>0.114865705</v>
      </c>
      <c r="P1629">
        <v>1.1429747800000001</v>
      </c>
      <c r="Q1629">
        <v>27780.46372</v>
      </c>
      <c r="R1629">
        <v>3.59</v>
      </c>
      <c r="S1629">
        <v>20770</v>
      </c>
      <c r="T1629">
        <v>31.046050999999999</v>
      </c>
      <c r="U1629">
        <v>34.851612000000003</v>
      </c>
    </row>
    <row r="1630" spans="1:21">
      <c r="A1630" t="s">
        <v>99</v>
      </c>
      <c r="B1630">
        <v>2010</v>
      </c>
      <c r="C1630">
        <v>36229.89</v>
      </c>
      <c r="D1630">
        <v>70519.996639999998</v>
      </c>
      <c r="E1630">
        <v>58.41</v>
      </c>
      <c r="F1630">
        <v>0</v>
      </c>
      <c r="G1630">
        <v>0.14000000000000001</v>
      </c>
      <c r="H1630">
        <v>0.23911187</v>
      </c>
      <c r="J1630">
        <v>8.5500000000000007</v>
      </c>
      <c r="K1630">
        <v>400</v>
      </c>
      <c r="L1630">
        <v>100</v>
      </c>
      <c r="M1630">
        <v>100</v>
      </c>
      <c r="N1630">
        <v>0.18728304000000001</v>
      </c>
      <c r="P1630">
        <v>5.6847072929999998</v>
      </c>
      <c r="Q1630">
        <v>30780.023819999999</v>
      </c>
      <c r="R1630">
        <v>3.66</v>
      </c>
      <c r="S1630">
        <v>20770</v>
      </c>
      <c r="T1630">
        <v>31.046050999999999</v>
      </c>
      <c r="U1630">
        <v>34.851612000000003</v>
      </c>
    </row>
    <row r="1631" spans="1:21">
      <c r="A1631" t="s">
        <v>99</v>
      </c>
      <c r="B1631">
        <v>2011</v>
      </c>
      <c r="C1631">
        <v>36258.53</v>
      </c>
      <c r="D1631">
        <v>69819.999689999997</v>
      </c>
      <c r="E1631">
        <v>59.34</v>
      </c>
      <c r="F1631">
        <v>0</v>
      </c>
      <c r="G1631">
        <v>0.26</v>
      </c>
      <c r="H1631">
        <v>0.43624162999999999</v>
      </c>
      <c r="J1631">
        <v>9.08</v>
      </c>
      <c r="K1631">
        <v>400</v>
      </c>
      <c r="L1631">
        <v>100</v>
      </c>
      <c r="M1631">
        <v>100</v>
      </c>
      <c r="N1631">
        <v>0.31869282999999998</v>
      </c>
      <c r="P1631">
        <v>5.5425900009999998</v>
      </c>
      <c r="Q1631">
        <v>33775.512000000002</v>
      </c>
      <c r="R1631">
        <v>3.49</v>
      </c>
      <c r="S1631">
        <v>20770</v>
      </c>
      <c r="T1631">
        <v>31.046050999999999</v>
      </c>
      <c r="U1631">
        <v>34.851612000000003</v>
      </c>
    </row>
    <row r="1632" spans="1:21">
      <c r="A1632" t="s">
        <v>99</v>
      </c>
      <c r="B1632">
        <v>2012</v>
      </c>
      <c r="C1632">
        <v>37267.684000000001</v>
      </c>
      <c r="D1632">
        <v>76059.997560000003</v>
      </c>
      <c r="E1632">
        <v>62.57</v>
      </c>
      <c r="F1632">
        <v>0</v>
      </c>
      <c r="G1632">
        <v>0.44</v>
      </c>
      <c r="H1632">
        <v>0.69830185</v>
      </c>
      <c r="J1632">
        <v>2.88</v>
      </c>
      <c r="K1632">
        <v>400</v>
      </c>
      <c r="L1632">
        <v>100</v>
      </c>
      <c r="M1632">
        <v>100</v>
      </c>
      <c r="N1632">
        <v>0.48113035999999998</v>
      </c>
      <c r="P1632">
        <v>2.8229962049999999</v>
      </c>
      <c r="Q1632">
        <v>32667.60687</v>
      </c>
      <c r="R1632">
        <v>3.46</v>
      </c>
      <c r="S1632">
        <v>20770</v>
      </c>
      <c r="T1632">
        <v>31.046050999999999</v>
      </c>
      <c r="U1632">
        <v>34.851612000000003</v>
      </c>
    </row>
    <row r="1633" spans="1:21">
      <c r="A1633" t="s">
        <v>99</v>
      </c>
      <c r="B1633">
        <v>2013</v>
      </c>
      <c r="C1633">
        <v>34654.491999999998</v>
      </c>
      <c r="D1633">
        <v>67000</v>
      </c>
      <c r="E1633">
        <v>60.76</v>
      </c>
      <c r="F1633">
        <v>0</v>
      </c>
      <c r="G1633">
        <v>0.57999999999999996</v>
      </c>
      <c r="H1633">
        <v>0.94554936999999994</v>
      </c>
      <c r="J1633">
        <v>3.27</v>
      </c>
      <c r="K1633">
        <v>400</v>
      </c>
      <c r="L1633">
        <v>100</v>
      </c>
      <c r="M1633">
        <v>100</v>
      </c>
      <c r="N1633">
        <v>0.58842910000000004</v>
      </c>
      <c r="P1633">
        <v>4.7772023490000004</v>
      </c>
      <c r="Q1633">
        <v>36499.456109999999</v>
      </c>
      <c r="R1633">
        <v>3.03</v>
      </c>
      <c r="S1633">
        <v>20770</v>
      </c>
      <c r="T1633">
        <v>31.046050999999999</v>
      </c>
      <c r="U1633">
        <v>34.851612000000003</v>
      </c>
    </row>
    <row r="1634" spans="1:21">
      <c r="A1634" t="s">
        <v>99</v>
      </c>
      <c r="B1634">
        <v>2014</v>
      </c>
      <c r="C1634">
        <v>33226.093999999997</v>
      </c>
      <c r="D1634">
        <v>64720.001219999998</v>
      </c>
      <c r="E1634">
        <v>59.9</v>
      </c>
      <c r="F1634">
        <v>0</v>
      </c>
      <c r="G1634">
        <v>0.96</v>
      </c>
      <c r="H1634">
        <v>1.5773907</v>
      </c>
      <c r="J1634">
        <v>3.7</v>
      </c>
      <c r="K1634">
        <v>400</v>
      </c>
      <c r="L1634">
        <v>100</v>
      </c>
      <c r="M1634">
        <v>100</v>
      </c>
      <c r="N1634">
        <v>1.0096921999999999</v>
      </c>
      <c r="P1634">
        <v>4.1247468610000002</v>
      </c>
      <c r="Q1634">
        <v>37847.649940000003</v>
      </c>
      <c r="R1634">
        <v>2.82</v>
      </c>
      <c r="S1634">
        <v>20770</v>
      </c>
      <c r="T1634">
        <v>31.046050999999999</v>
      </c>
      <c r="U1634">
        <v>34.851612000000003</v>
      </c>
    </row>
    <row r="1635" spans="1:21">
      <c r="A1635" t="s">
        <v>99</v>
      </c>
      <c r="B1635">
        <v>2015</v>
      </c>
      <c r="C1635">
        <v>34426.47</v>
      </c>
      <c r="D1635">
        <v>66139.999389999997</v>
      </c>
      <c r="E1635">
        <v>62.99</v>
      </c>
      <c r="F1635">
        <v>0</v>
      </c>
      <c r="G1635">
        <v>1.25</v>
      </c>
      <c r="H1635">
        <v>1.9458282</v>
      </c>
      <c r="J1635">
        <v>3.74</v>
      </c>
      <c r="K1635">
        <v>400</v>
      </c>
      <c r="L1635">
        <v>100</v>
      </c>
      <c r="M1635">
        <v>100</v>
      </c>
      <c r="N1635">
        <v>1.2998136</v>
      </c>
      <c r="P1635">
        <v>2.2796794189999998</v>
      </c>
      <c r="Q1635">
        <v>35808.436430000002</v>
      </c>
      <c r="R1635">
        <v>2.9</v>
      </c>
      <c r="S1635">
        <v>20770</v>
      </c>
      <c r="T1635">
        <v>31.046050999999999</v>
      </c>
      <c r="U1635">
        <v>34.851612000000003</v>
      </c>
    </row>
    <row r="1636" spans="1:21">
      <c r="A1636" t="s">
        <v>99</v>
      </c>
      <c r="B1636">
        <v>2016</v>
      </c>
      <c r="C1636">
        <v>34475.207000000002</v>
      </c>
      <c r="D1636">
        <v>64980.003360000002</v>
      </c>
      <c r="E1636">
        <v>65.34</v>
      </c>
      <c r="F1636">
        <v>0</v>
      </c>
      <c r="G1636">
        <v>1.69</v>
      </c>
      <c r="H1636">
        <v>2.5212590000000001</v>
      </c>
      <c r="J1636">
        <v>3.98</v>
      </c>
      <c r="K1636">
        <v>400</v>
      </c>
      <c r="L1636">
        <v>100</v>
      </c>
      <c r="M1636">
        <v>100</v>
      </c>
      <c r="N1636">
        <v>1.7576799000000001</v>
      </c>
      <c r="P1636">
        <v>4.4627538180000004</v>
      </c>
      <c r="Q1636">
        <v>37330.2618</v>
      </c>
      <c r="R1636">
        <v>2.81</v>
      </c>
      <c r="S1636">
        <v>20770</v>
      </c>
      <c r="T1636">
        <v>31.046050999999999</v>
      </c>
      <c r="U1636">
        <v>34.851612000000003</v>
      </c>
    </row>
    <row r="1637" spans="1:21">
      <c r="A1637" t="s">
        <v>99</v>
      </c>
      <c r="B1637">
        <v>2017</v>
      </c>
      <c r="C1637">
        <v>34537.31</v>
      </c>
      <c r="D1637">
        <v>65610.000610000003</v>
      </c>
      <c r="E1637">
        <v>65.81</v>
      </c>
      <c r="F1637">
        <v>0</v>
      </c>
      <c r="G1637">
        <v>1.79</v>
      </c>
      <c r="H1637">
        <v>2.647929</v>
      </c>
      <c r="J1637">
        <v>3.86</v>
      </c>
      <c r="K1637">
        <v>400</v>
      </c>
      <c r="L1637">
        <v>100</v>
      </c>
      <c r="M1637">
        <v>100</v>
      </c>
      <c r="N1637">
        <v>1.7236598000000001</v>
      </c>
      <c r="P1637">
        <v>4.3770444279999996</v>
      </c>
      <c r="Q1637">
        <v>40774.129610000004</v>
      </c>
      <c r="R1637">
        <v>2.67</v>
      </c>
      <c r="S1637">
        <v>20770</v>
      </c>
      <c r="T1637">
        <v>31.046050999999999</v>
      </c>
      <c r="U1637">
        <v>34.851612000000003</v>
      </c>
    </row>
    <row r="1638" spans="1:21">
      <c r="A1638" t="s">
        <v>99</v>
      </c>
      <c r="B1638">
        <v>2018</v>
      </c>
      <c r="C1638">
        <v>34493.292999999998</v>
      </c>
      <c r="D1638">
        <v>61080.001830000001</v>
      </c>
      <c r="E1638">
        <v>67.02</v>
      </c>
      <c r="F1638">
        <v>0</v>
      </c>
      <c r="G1638">
        <v>1.85</v>
      </c>
      <c r="H1638">
        <v>2.6862203999999998</v>
      </c>
      <c r="J1638">
        <v>3.75</v>
      </c>
      <c r="K1638">
        <v>400</v>
      </c>
      <c r="L1638">
        <v>100</v>
      </c>
      <c r="M1638">
        <v>100</v>
      </c>
      <c r="N1638">
        <v>1.8638786000000001</v>
      </c>
      <c r="P1638">
        <v>3.9834245940000002</v>
      </c>
      <c r="Q1638">
        <v>42063.453130000002</v>
      </c>
      <c r="R1638">
        <v>2.65</v>
      </c>
      <c r="S1638">
        <v>20770</v>
      </c>
      <c r="T1638">
        <v>31.046050999999999</v>
      </c>
      <c r="U1638">
        <v>34.851612000000003</v>
      </c>
    </row>
    <row r="1639" spans="1:21">
      <c r="A1639" t="s">
        <v>99</v>
      </c>
      <c r="B1639">
        <v>2019</v>
      </c>
      <c r="C1639">
        <v>35085.457000000002</v>
      </c>
      <c r="D1639">
        <v>62650.001530000001</v>
      </c>
      <c r="E1639">
        <v>68.819999999999993</v>
      </c>
      <c r="F1639">
        <v>0</v>
      </c>
      <c r="G1639">
        <v>2.9</v>
      </c>
      <c r="H1639">
        <v>4.0435023000000001</v>
      </c>
      <c r="J1639">
        <v>4.47</v>
      </c>
      <c r="K1639">
        <v>400</v>
      </c>
      <c r="L1639">
        <v>100</v>
      </c>
      <c r="M1639">
        <v>100</v>
      </c>
      <c r="N1639">
        <v>2.9192068999999998</v>
      </c>
      <c r="P1639">
        <v>3.7735898099999998</v>
      </c>
      <c r="Q1639">
        <v>43951.247730000003</v>
      </c>
      <c r="R1639">
        <v>2.5099999999999998</v>
      </c>
      <c r="S1639">
        <v>20770</v>
      </c>
      <c r="T1639">
        <v>31.046050999999999</v>
      </c>
      <c r="U1639">
        <v>34.851612000000003</v>
      </c>
    </row>
    <row r="1640" spans="1:21">
      <c r="A1640" t="s">
        <v>99</v>
      </c>
      <c r="B1640">
        <v>2020</v>
      </c>
      <c r="C1640">
        <v>32593.809000000001</v>
      </c>
      <c r="E1640">
        <v>67.75</v>
      </c>
      <c r="F1640">
        <v>0</v>
      </c>
      <c r="G1640">
        <v>3.86</v>
      </c>
      <c r="H1640">
        <v>5.3903084000000003</v>
      </c>
      <c r="K1640">
        <v>400</v>
      </c>
      <c r="L1640">
        <v>100</v>
      </c>
      <c r="M1640">
        <v>100</v>
      </c>
      <c r="N1640">
        <v>4.0538590000000001</v>
      </c>
      <c r="P1640">
        <v>-2.1534284889999999</v>
      </c>
      <c r="Q1640">
        <v>44168.943639999998</v>
      </c>
      <c r="S1640">
        <v>20770</v>
      </c>
      <c r="T1640">
        <v>31.046050999999999</v>
      </c>
      <c r="U1640">
        <v>34.851612000000003</v>
      </c>
    </row>
    <row r="1641" spans="1:21">
      <c r="A1641" t="s">
        <v>100</v>
      </c>
      <c r="B1641">
        <v>2000</v>
      </c>
      <c r="C1641">
        <v>36851.285000000003</v>
      </c>
      <c r="D1641">
        <v>436300</v>
      </c>
      <c r="E1641">
        <v>218.28</v>
      </c>
      <c r="F1641">
        <v>0</v>
      </c>
      <c r="G1641">
        <v>50.87</v>
      </c>
      <c r="H1641">
        <v>18.900241999999999</v>
      </c>
      <c r="J1641">
        <v>5.12</v>
      </c>
      <c r="K1641">
        <v>206</v>
      </c>
      <c r="L1641">
        <v>100</v>
      </c>
      <c r="M1641">
        <v>100</v>
      </c>
      <c r="N1641">
        <v>7.1556435</v>
      </c>
      <c r="P1641">
        <v>3.7869551430000001</v>
      </c>
      <c r="Q1641">
        <v>20087.591990000001</v>
      </c>
      <c r="R1641">
        <v>2.93</v>
      </c>
      <c r="S1641">
        <v>301340</v>
      </c>
      <c r="T1641">
        <v>41.871940000000002</v>
      </c>
      <c r="U1641">
        <v>12.56738</v>
      </c>
    </row>
    <row r="1642" spans="1:21">
      <c r="A1642" t="s">
        <v>100</v>
      </c>
      <c r="B1642">
        <v>2001</v>
      </c>
      <c r="C1642">
        <v>36802.125</v>
      </c>
      <c r="D1642">
        <v>436570</v>
      </c>
      <c r="E1642">
        <v>216.73</v>
      </c>
      <c r="F1642">
        <v>0</v>
      </c>
      <c r="G1642">
        <v>54.35</v>
      </c>
      <c r="H1642">
        <v>20.049433000000001</v>
      </c>
      <c r="J1642">
        <v>5.38</v>
      </c>
      <c r="K1642">
        <v>206</v>
      </c>
      <c r="L1642">
        <v>100</v>
      </c>
      <c r="M1642">
        <v>100</v>
      </c>
      <c r="N1642">
        <v>7.6085051999999997</v>
      </c>
      <c r="P1642">
        <v>1.951371556</v>
      </c>
      <c r="Q1642">
        <v>20483.215990000001</v>
      </c>
      <c r="R1642">
        <v>2.88</v>
      </c>
      <c r="S1642">
        <v>301340</v>
      </c>
      <c r="T1642">
        <v>41.871940000000002</v>
      </c>
      <c r="U1642">
        <v>12.56738</v>
      </c>
    </row>
    <row r="1643" spans="1:21">
      <c r="A1643" t="s">
        <v>100</v>
      </c>
      <c r="B1643">
        <v>2002</v>
      </c>
      <c r="C1643">
        <v>36481.184000000001</v>
      </c>
      <c r="D1643">
        <v>443470.0012</v>
      </c>
      <c r="E1643">
        <v>228.45</v>
      </c>
      <c r="F1643">
        <v>0</v>
      </c>
      <c r="G1643">
        <v>48.31</v>
      </c>
      <c r="H1643">
        <v>17.455556999999999</v>
      </c>
      <c r="J1643">
        <v>5.6</v>
      </c>
      <c r="K1643">
        <v>206</v>
      </c>
      <c r="L1643">
        <v>100</v>
      </c>
      <c r="M1643">
        <v>100</v>
      </c>
      <c r="N1643">
        <v>6.7783765999999996</v>
      </c>
      <c r="P1643">
        <v>0.253942999</v>
      </c>
      <c r="Q1643">
        <v>22270.144120000001</v>
      </c>
      <c r="R1643">
        <v>2.9</v>
      </c>
      <c r="S1643">
        <v>301340</v>
      </c>
      <c r="T1643">
        <v>41.871940000000002</v>
      </c>
      <c r="U1643">
        <v>12.56738</v>
      </c>
    </row>
    <row r="1644" spans="1:21">
      <c r="A1644" t="s">
        <v>100</v>
      </c>
      <c r="B1644">
        <v>2003</v>
      </c>
      <c r="C1644">
        <v>37436.269999999997</v>
      </c>
      <c r="D1644">
        <v>462200.0122</v>
      </c>
      <c r="E1644">
        <v>238.52</v>
      </c>
      <c r="F1644">
        <v>0</v>
      </c>
      <c r="G1644">
        <v>46.86</v>
      </c>
      <c r="H1644">
        <v>16.420211999999999</v>
      </c>
      <c r="J1644">
        <v>6.24</v>
      </c>
      <c r="K1644">
        <v>206</v>
      </c>
      <c r="L1644">
        <v>100</v>
      </c>
      <c r="M1644">
        <v>100</v>
      </c>
      <c r="N1644">
        <v>6.33908</v>
      </c>
      <c r="P1644">
        <v>0.138626891</v>
      </c>
      <c r="Q1644">
        <v>27465.675299999999</v>
      </c>
      <c r="R1644">
        <v>3.03</v>
      </c>
      <c r="S1644">
        <v>301340</v>
      </c>
      <c r="T1644">
        <v>41.871940000000002</v>
      </c>
      <c r="U1644">
        <v>12.56738</v>
      </c>
    </row>
    <row r="1645" spans="1:21">
      <c r="A1645" t="s">
        <v>100</v>
      </c>
      <c r="B1645">
        <v>2004</v>
      </c>
      <c r="C1645">
        <v>37979.51</v>
      </c>
      <c r="D1645">
        <v>472399.9939</v>
      </c>
      <c r="E1645">
        <v>240.95</v>
      </c>
      <c r="F1645">
        <v>0</v>
      </c>
      <c r="G1645">
        <v>53.88</v>
      </c>
      <c r="H1645">
        <v>18.274939</v>
      </c>
      <c r="J1645">
        <v>5.94</v>
      </c>
      <c r="K1645">
        <v>206</v>
      </c>
      <c r="L1645">
        <v>100</v>
      </c>
      <c r="M1645">
        <v>100</v>
      </c>
      <c r="N1645">
        <v>7.2203569999999999</v>
      </c>
      <c r="P1645">
        <v>1.423594158</v>
      </c>
      <c r="Q1645">
        <v>31259.716499999999</v>
      </c>
      <c r="R1645">
        <v>3.01</v>
      </c>
      <c r="S1645">
        <v>301340</v>
      </c>
      <c r="T1645">
        <v>41.871940000000002</v>
      </c>
      <c r="U1645">
        <v>12.56738</v>
      </c>
    </row>
    <row r="1646" spans="1:21">
      <c r="A1646" t="s">
        <v>100</v>
      </c>
      <c r="B1646">
        <v>2005</v>
      </c>
      <c r="C1646">
        <v>37805.06</v>
      </c>
      <c r="D1646">
        <v>473829.9866</v>
      </c>
      <c r="E1646">
        <v>247.29</v>
      </c>
      <c r="F1646">
        <v>0</v>
      </c>
      <c r="G1646">
        <v>48.43</v>
      </c>
      <c r="H1646">
        <v>16.376978000000001</v>
      </c>
      <c r="J1646">
        <v>6.7</v>
      </c>
      <c r="K1646">
        <v>206</v>
      </c>
      <c r="L1646">
        <v>100</v>
      </c>
      <c r="M1646">
        <v>100</v>
      </c>
      <c r="N1646">
        <v>6.4335437000000004</v>
      </c>
      <c r="P1646">
        <v>0.81784897400000001</v>
      </c>
      <c r="Q1646">
        <v>32043.140370000001</v>
      </c>
      <c r="R1646">
        <v>3.04</v>
      </c>
      <c r="S1646">
        <v>301340</v>
      </c>
      <c r="T1646">
        <v>41.871940000000002</v>
      </c>
      <c r="U1646">
        <v>12.56738</v>
      </c>
    </row>
    <row r="1647" spans="1:21">
      <c r="A1647" t="s">
        <v>100</v>
      </c>
      <c r="B1647">
        <v>2006</v>
      </c>
      <c r="C1647">
        <v>37481.96</v>
      </c>
      <c r="D1647">
        <v>466649.9939</v>
      </c>
      <c r="E1647">
        <v>256.02999999999997</v>
      </c>
      <c r="F1647">
        <v>0</v>
      </c>
      <c r="G1647">
        <v>50.64</v>
      </c>
      <c r="H1647">
        <v>16.512862999999999</v>
      </c>
      <c r="J1647">
        <v>7.51</v>
      </c>
      <c r="K1647">
        <v>206</v>
      </c>
      <c r="L1647">
        <v>100</v>
      </c>
      <c r="M1647">
        <v>100</v>
      </c>
      <c r="N1647">
        <v>6.7299886000000004</v>
      </c>
      <c r="P1647">
        <v>1.790639681</v>
      </c>
      <c r="Q1647">
        <v>33501.658170000002</v>
      </c>
      <c r="R1647">
        <v>2.96</v>
      </c>
      <c r="S1647">
        <v>301340</v>
      </c>
      <c r="T1647">
        <v>41.871940000000002</v>
      </c>
      <c r="U1647">
        <v>12.56738</v>
      </c>
    </row>
    <row r="1648" spans="1:21">
      <c r="A1648" t="s">
        <v>100</v>
      </c>
      <c r="B1648">
        <v>2007</v>
      </c>
      <c r="C1648">
        <v>36549.08</v>
      </c>
      <c r="D1648">
        <v>459369.9951</v>
      </c>
      <c r="E1648">
        <v>259.49</v>
      </c>
      <c r="F1648">
        <v>0</v>
      </c>
      <c r="G1648">
        <v>47.72</v>
      </c>
      <c r="H1648">
        <v>15.533348999999999</v>
      </c>
      <c r="J1648">
        <v>8.73</v>
      </c>
      <c r="K1648">
        <v>206</v>
      </c>
      <c r="L1648">
        <v>100</v>
      </c>
      <c r="M1648">
        <v>100</v>
      </c>
      <c r="N1648">
        <v>6.4319705999999996</v>
      </c>
      <c r="P1648">
        <v>1.48707298</v>
      </c>
      <c r="Q1648">
        <v>37822.665240000002</v>
      </c>
      <c r="R1648">
        <v>2.91</v>
      </c>
      <c r="S1648">
        <v>301340</v>
      </c>
      <c r="T1648">
        <v>41.871940000000002</v>
      </c>
      <c r="U1648">
        <v>12.56738</v>
      </c>
    </row>
    <row r="1649" spans="1:21">
      <c r="A1649" t="s">
        <v>100</v>
      </c>
      <c r="B1649">
        <v>2008</v>
      </c>
      <c r="C1649">
        <v>35659.476999999999</v>
      </c>
      <c r="D1649">
        <v>444980.011</v>
      </c>
      <c r="E1649">
        <v>254.34</v>
      </c>
      <c r="F1649">
        <v>0</v>
      </c>
      <c r="G1649">
        <v>58.16</v>
      </c>
      <c r="H1649">
        <v>18.6112</v>
      </c>
      <c r="J1649">
        <v>10.82</v>
      </c>
      <c r="K1649">
        <v>206</v>
      </c>
      <c r="L1649">
        <v>100</v>
      </c>
      <c r="M1649">
        <v>100</v>
      </c>
      <c r="N1649">
        <v>8.1953200000000006</v>
      </c>
      <c r="P1649">
        <v>-0.96201284099999995</v>
      </c>
      <c r="Q1649">
        <v>40778.34274</v>
      </c>
      <c r="R1649">
        <v>2.9</v>
      </c>
      <c r="S1649">
        <v>301340</v>
      </c>
      <c r="T1649">
        <v>41.871940000000002</v>
      </c>
      <c r="U1649">
        <v>12.56738</v>
      </c>
    </row>
    <row r="1650" spans="1:21">
      <c r="A1650" t="s">
        <v>100</v>
      </c>
      <c r="B1650">
        <v>2009</v>
      </c>
      <c r="C1650">
        <v>33102.94</v>
      </c>
      <c r="D1650">
        <v>397059.9976</v>
      </c>
      <c r="E1650">
        <v>218.32</v>
      </c>
      <c r="F1650">
        <v>0</v>
      </c>
      <c r="G1650">
        <v>69.260000000000005</v>
      </c>
      <c r="H1650">
        <v>24.083735000000001</v>
      </c>
      <c r="J1650">
        <v>12.54</v>
      </c>
      <c r="K1650">
        <v>206</v>
      </c>
      <c r="L1650">
        <v>100</v>
      </c>
      <c r="M1650">
        <v>100</v>
      </c>
      <c r="N1650">
        <v>10.585501000000001</v>
      </c>
      <c r="P1650">
        <v>-5.2809372080000001</v>
      </c>
      <c r="Q1650">
        <v>37079.758670000003</v>
      </c>
      <c r="R1650">
        <v>2.86</v>
      </c>
      <c r="S1650">
        <v>301340</v>
      </c>
      <c r="T1650">
        <v>41.871940000000002</v>
      </c>
      <c r="U1650">
        <v>12.56738</v>
      </c>
    </row>
    <row r="1651" spans="1:21">
      <c r="A1651" t="s">
        <v>100</v>
      </c>
      <c r="B1651">
        <v>2010</v>
      </c>
      <c r="C1651">
        <v>34046.292999999998</v>
      </c>
      <c r="D1651">
        <v>405269.989</v>
      </c>
      <c r="E1651">
        <v>220.93</v>
      </c>
      <c r="F1651">
        <v>0</v>
      </c>
      <c r="G1651">
        <v>76.98</v>
      </c>
      <c r="H1651">
        <v>25.840019999999999</v>
      </c>
      <c r="J1651">
        <v>12.79</v>
      </c>
      <c r="K1651">
        <v>206</v>
      </c>
      <c r="L1651">
        <v>100</v>
      </c>
      <c r="M1651">
        <v>100</v>
      </c>
      <c r="N1651">
        <v>11.430809999999999</v>
      </c>
      <c r="P1651">
        <v>1.7132958389999999</v>
      </c>
      <c r="Q1651">
        <v>36000.520120000001</v>
      </c>
      <c r="R1651">
        <v>2.88</v>
      </c>
      <c r="S1651">
        <v>301340</v>
      </c>
      <c r="T1651">
        <v>41.871940000000002</v>
      </c>
      <c r="U1651">
        <v>12.56738</v>
      </c>
    </row>
    <row r="1652" spans="1:21">
      <c r="A1652" t="s">
        <v>100</v>
      </c>
      <c r="B1652">
        <v>2011</v>
      </c>
      <c r="C1652">
        <v>33284.144999999997</v>
      </c>
      <c r="D1652">
        <v>396690.0024</v>
      </c>
      <c r="E1652">
        <v>216.78</v>
      </c>
      <c r="F1652">
        <v>0</v>
      </c>
      <c r="G1652">
        <v>82.96</v>
      </c>
      <c r="H1652">
        <v>27.677320000000002</v>
      </c>
      <c r="J1652">
        <v>11.9</v>
      </c>
      <c r="K1652">
        <v>206</v>
      </c>
      <c r="L1652">
        <v>100</v>
      </c>
      <c r="M1652">
        <v>100</v>
      </c>
      <c r="N1652">
        <v>12.443047</v>
      </c>
      <c r="P1652">
        <v>0.70733334699999995</v>
      </c>
      <c r="Q1652">
        <v>38599.062209999996</v>
      </c>
      <c r="R1652">
        <v>2.76</v>
      </c>
      <c r="S1652">
        <v>301340</v>
      </c>
      <c r="T1652">
        <v>41.871940000000002</v>
      </c>
      <c r="U1652">
        <v>12.56738</v>
      </c>
    </row>
    <row r="1653" spans="1:21">
      <c r="A1653" t="s">
        <v>100</v>
      </c>
      <c r="B1653">
        <v>2012</v>
      </c>
      <c r="C1653">
        <v>32295.603999999999</v>
      </c>
      <c r="D1653">
        <v>376750</v>
      </c>
      <c r="E1653">
        <v>204.26</v>
      </c>
      <c r="F1653">
        <v>0</v>
      </c>
      <c r="G1653">
        <v>92.22</v>
      </c>
      <c r="H1653">
        <v>31.104963000000001</v>
      </c>
      <c r="J1653">
        <v>14.39</v>
      </c>
      <c r="K1653">
        <v>206</v>
      </c>
      <c r="L1653">
        <v>100</v>
      </c>
      <c r="M1653">
        <v>100</v>
      </c>
      <c r="N1653">
        <v>14.165737</v>
      </c>
      <c r="P1653">
        <v>-2.980905768</v>
      </c>
      <c r="Q1653">
        <v>35053.526239999999</v>
      </c>
      <c r="R1653">
        <v>2.73</v>
      </c>
      <c r="S1653">
        <v>301340</v>
      </c>
      <c r="T1653">
        <v>41.871940000000002</v>
      </c>
      <c r="U1653">
        <v>12.56738</v>
      </c>
    </row>
    <row r="1654" spans="1:21">
      <c r="A1654" t="s">
        <v>100</v>
      </c>
      <c r="B1654">
        <v>2013</v>
      </c>
      <c r="C1654">
        <v>30816.12</v>
      </c>
      <c r="D1654">
        <v>346459.9915</v>
      </c>
      <c r="E1654">
        <v>175.07</v>
      </c>
      <c r="F1654">
        <v>0</v>
      </c>
      <c r="G1654">
        <v>112</v>
      </c>
      <c r="H1654">
        <v>39.014873999999999</v>
      </c>
      <c r="J1654">
        <v>16.32</v>
      </c>
      <c r="K1654">
        <v>206</v>
      </c>
      <c r="L1654">
        <v>100</v>
      </c>
      <c r="M1654">
        <v>100</v>
      </c>
      <c r="N1654">
        <v>17.610695</v>
      </c>
      <c r="P1654">
        <v>-1.841065451</v>
      </c>
      <c r="Q1654">
        <v>35549.974699999999</v>
      </c>
      <c r="R1654">
        <v>2.68</v>
      </c>
      <c r="S1654">
        <v>301340</v>
      </c>
      <c r="T1654">
        <v>41.871940000000002</v>
      </c>
      <c r="U1654">
        <v>12.56738</v>
      </c>
    </row>
    <row r="1655" spans="1:21">
      <c r="A1655" t="s">
        <v>100</v>
      </c>
      <c r="B1655">
        <v>2014</v>
      </c>
      <c r="C1655">
        <v>29214.831999999999</v>
      </c>
      <c r="D1655">
        <v>327500</v>
      </c>
      <c r="E1655">
        <v>156.76</v>
      </c>
      <c r="F1655">
        <v>0</v>
      </c>
      <c r="G1655">
        <v>120.68</v>
      </c>
      <c r="H1655">
        <v>43.497692000000001</v>
      </c>
      <c r="J1655">
        <v>17.13</v>
      </c>
      <c r="K1655">
        <v>206</v>
      </c>
      <c r="L1655">
        <v>100</v>
      </c>
      <c r="M1655">
        <v>100</v>
      </c>
      <c r="N1655">
        <v>19.739761000000001</v>
      </c>
      <c r="P1655">
        <v>-4.5475419999999999E-3</v>
      </c>
      <c r="Q1655">
        <v>35518.415289999997</v>
      </c>
      <c r="R1655">
        <v>2.5299999999999998</v>
      </c>
      <c r="S1655">
        <v>301340</v>
      </c>
      <c r="T1655">
        <v>41.871940000000002</v>
      </c>
      <c r="U1655">
        <v>12.56738</v>
      </c>
    </row>
    <row r="1656" spans="1:21">
      <c r="A1656" t="s">
        <v>100</v>
      </c>
      <c r="B1656">
        <v>2015</v>
      </c>
      <c r="C1656">
        <v>30129.14</v>
      </c>
      <c r="D1656">
        <v>337859.98540000001</v>
      </c>
      <c r="E1656">
        <v>172.06</v>
      </c>
      <c r="F1656">
        <v>0</v>
      </c>
      <c r="G1656">
        <v>108.89</v>
      </c>
      <c r="H1656">
        <v>38.757786000000003</v>
      </c>
      <c r="J1656">
        <v>16.57</v>
      </c>
      <c r="K1656">
        <v>206</v>
      </c>
      <c r="L1656">
        <v>100</v>
      </c>
      <c r="M1656">
        <v>100</v>
      </c>
      <c r="N1656">
        <v>17.334675000000001</v>
      </c>
      <c r="P1656">
        <v>0.77830435099999995</v>
      </c>
      <c r="Q1656">
        <v>30230.226299999998</v>
      </c>
      <c r="R1656">
        <v>2.61</v>
      </c>
      <c r="S1656">
        <v>301340</v>
      </c>
      <c r="T1656">
        <v>41.871940000000002</v>
      </c>
      <c r="U1656">
        <v>12.56738</v>
      </c>
    </row>
    <row r="1657" spans="1:21">
      <c r="A1657" t="s">
        <v>100</v>
      </c>
      <c r="B1657">
        <v>2016</v>
      </c>
      <c r="C1657">
        <v>30305.607</v>
      </c>
      <c r="D1657">
        <v>333339.9963</v>
      </c>
      <c r="E1657">
        <v>179.19</v>
      </c>
      <c r="F1657">
        <v>0</v>
      </c>
      <c r="G1657">
        <v>108.01</v>
      </c>
      <c r="H1657">
        <v>37.607937</v>
      </c>
      <c r="J1657">
        <v>16.09</v>
      </c>
      <c r="K1657">
        <v>206</v>
      </c>
      <c r="L1657">
        <v>100</v>
      </c>
      <c r="M1657">
        <v>100</v>
      </c>
      <c r="N1657">
        <v>17.009197</v>
      </c>
      <c r="P1657">
        <v>1.2934627320000001</v>
      </c>
      <c r="Q1657">
        <v>30939.714250000001</v>
      </c>
      <c r="R1657">
        <v>2.5499999999999998</v>
      </c>
      <c r="S1657">
        <v>301340</v>
      </c>
      <c r="T1657">
        <v>41.871940000000002</v>
      </c>
      <c r="U1657">
        <v>12.56738</v>
      </c>
    </row>
    <row r="1658" spans="1:21">
      <c r="A1658" t="s">
        <v>100</v>
      </c>
      <c r="B1658">
        <v>2017</v>
      </c>
      <c r="C1658">
        <v>30716.616999999998</v>
      </c>
      <c r="D1658">
        <v>329190.0024</v>
      </c>
      <c r="E1658">
        <v>189.44</v>
      </c>
      <c r="F1658">
        <v>0</v>
      </c>
      <c r="G1658">
        <v>103.89</v>
      </c>
      <c r="H1658">
        <v>35.417450000000002</v>
      </c>
      <c r="J1658">
        <v>16.43</v>
      </c>
      <c r="K1658">
        <v>206</v>
      </c>
      <c r="L1658">
        <v>100</v>
      </c>
      <c r="M1658">
        <v>100</v>
      </c>
      <c r="N1658">
        <v>16.149737999999999</v>
      </c>
      <c r="P1658">
        <v>1.667859041</v>
      </c>
      <c r="Q1658">
        <v>32326.674210000001</v>
      </c>
      <c r="R1658">
        <v>2.5499999999999998</v>
      </c>
      <c r="S1658">
        <v>301340</v>
      </c>
      <c r="T1658">
        <v>41.871940000000002</v>
      </c>
      <c r="U1658">
        <v>12.56738</v>
      </c>
    </row>
    <row r="1659" spans="1:21">
      <c r="A1659" t="s">
        <v>100</v>
      </c>
      <c r="B1659">
        <v>2018</v>
      </c>
      <c r="C1659">
        <v>30957.241999999998</v>
      </c>
      <c r="D1659">
        <v>324880.0049</v>
      </c>
      <c r="E1659">
        <v>172.98</v>
      </c>
      <c r="F1659">
        <v>0</v>
      </c>
      <c r="G1659">
        <v>114.41</v>
      </c>
      <c r="H1659">
        <v>39.810012999999998</v>
      </c>
      <c r="J1659">
        <v>17.079999999999998</v>
      </c>
      <c r="K1659">
        <v>206</v>
      </c>
      <c r="L1659">
        <v>100</v>
      </c>
      <c r="M1659">
        <v>100</v>
      </c>
      <c r="N1659">
        <v>17.727497</v>
      </c>
      <c r="P1659">
        <v>0.92581094100000005</v>
      </c>
      <c r="Q1659">
        <v>34605.262730000002</v>
      </c>
      <c r="R1659">
        <v>2.48</v>
      </c>
      <c r="S1659">
        <v>301340</v>
      </c>
      <c r="T1659">
        <v>41.871940000000002</v>
      </c>
      <c r="U1659">
        <v>12.56738</v>
      </c>
    </row>
    <row r="1660" spans="1:21">
      <c r="A1660" t="s">
        <v>100</v>
      </c>
      <c r="B1660">
        <v>2019</v>
      </c>
      <c r="C1660">
        <v>30464.062000000002</v>
      </c>
      <c r="D1660">
        <v>317239.9902</v>
      </c>
      <c r="E1660">
        <v>175.52</v>
      </c>
      <c r="F1660">
        <v>0</v>
      </c>
      <c r="G1660">
        <v>115.83</v>
      </c>
      <c r="H1660">
        <v>39.756306000000002</v>
      </c>
      <c r="J1660">
        <v>17.27</v>
      </c>
      <c r="K1660">
        <v>206</v>
      </c>
      <c r="L1660">
        <v>100</v>
      </c>
      <c r="M1660">
        <v>100</v>
      </c>
      <c r="N1660">
        <v>17.93995</v>
      </c>
      <c r="P1660">
        <v>0.41027829399999999</v>
      </c>
      <c r="Q1660">
        <v>33641.633750000001</v>
      </c>
      <c r="R1660">
        <v>2.4500000000000002</v>
      </c>
      <c r="S1660">
        <v>301340</v>
      </c>
      <c r="T1660">
        <v>41.871940000000002</v>
      </c>
      <c r="U1660">
        <v>12.56738</v>
      </c>
    </row>
    <row r="1661" spans="1:21">
      <c r="A1661" t="s">
        <v>100</v>
      </c>
      <c r="B1661">
        <v>2020</v>
      </c>
      <c r="C1661">
        <v>27763.8</v>
      </c>
      <c r="E1661">
        <v>161.16999999999999</v>
      </c>
      <c r="F1661">
        <v>0</v>
      </c>
      <c r="G1661">
        <v>116.9</v>
      </c>
      <c r="H1661">
        <v>42.039771999999999</v>
      </c>
      <c r="K1661">
        <v>206</v>
      </c>
      <c r="L1661">
        <v>100</v>
      </c>
      <c r="M1661">
        <v>100</v>
      </c>
      <c r="N1661">
        <v>19.721261999999999</v>
      </c>
      <c r="P1661">
        <v>-8.9385925000000004</v>
      </c>
      <c r="Q1661">
        <v>31714.220949999999</v>
      </c>
      <c r="S1661">
        <v>301340</v>
      </c>
      <c r="T1661">
        <v>41.871940000000002</v>
      </c>
      <c r="U1661">
        <v>12.56738</v>
      </c>
    </row>
    <row r="1662" spans="1:21">
      <c r="A1662" t="s">
        <v>101</v>
      </c>
      <c r="B1662">
        <v>2000</v>
      </c>
      <c r="C1662">
        <v>16542.138999999999</v>
      </c>
      <c r="D1662">
        <v>10060</v>
      </c>
      <c r="E1662">
        <v>5.76</v>
      </c>
      <c r="F1662">
        <v>0</v>
      </c>
      <c r="G1662">
        <v>0.46</v>
      </c>
      <c r="H1662">
        <v>7.3954988000000004</v>
      </c>
      <c r="I1662">
        <v>20.81</v>
      </c>
      <c r="J1662">
        <v>9.3699999999999992</v>
      </c>
      <c r="K1662">
        <v>273</v>
      </c>
      <c r="L1662">
        <v>84.394135000000006</v>
      </c>
      <c r="M1662">
        <v>75.7</v>
      </c>
      <c r="O1662">
        <v>5180000</v>
      </c>
      <c r="P1662">
        <v>0.87870354799999995</v>
      </c>
      <c r="Q1662">
        <v>3392.1238779999999</v>
      </c>
      <c r="R1662">
        <v>5.89</v>
      </c>
      <c r="S1662">
        <v>10991</v>
      </c>
      <c r="T1662">
        <v>18.109580999999999</v>
      </c>
      <c r="U1662">
        <v>-77.297507999999993</v>
      </c>
    </row>
    <row r="1663" spans="1:21">
      <c r="A1663" t="s">
        <v>101</v>
      </c>
      <c r="B1663">
        <v>2001</v>
      </c>
      <c r="C1663">
        <v>16699.780999999999</v>
      </c>
      <c r="D1663">
        <v>10080</v>
      </c>
      <c r="E1663">
        <v>5.85</v>
      </c>
      <c r="F1663">
        <v>0</v>
      </c>
      <c r="G1663">
        <v>0.41</v>
      </c>
      <c r="H1663">
        <v>6.5495204999999999</v>
      </c>
      <c r="I1663">
        <v>20.5</v>
      </c>
      <c r="J1663">
        <v>7.95</v>
      </c>
      <c r="K1663">
        <v>273</v>
      </c>
      <c r="L1663">
        <v>87.708115000000006</v>
      </c>
      <c r="M1663">
        <v>77.599999999999994</v>
      </c>
      <c r="O1663">
        <v>9070000</v>
      </c>
      <c r="P1663">
        <v>1.3449295640000001</v>
      </c>
      <c r="Q1663">
        <v>3437.6555170000001</v>
      </c>
      <c r="R1663">
        <v>5.93</v>
      </c>
      <c r="S1663">
        <v>10991</v>
      </c>
      <c r="T1663">
        <v>18.109580999999999</v>
      </c>
      <c r="U1663">
        <v>-77.297507999999993</v>
      </c>
    </row>
    <row r="1664" spans="1:21">
      <c r="A1664" t="s">
        <v>101</v>
      </c>
      <c r="B1664">
        <v>2002</v>
      </c>
      <c r="C1664">
        <v>16544.623</v>
      </c>
      <c r="D1664">
        <v>10250</v>
      </c>
      <c r="E1664">
        <v>6.07</v>
      </c>
      <c r="F1664">
        <v>0</v>
      </c>
      <c r="G1664">
        <v>0.46</v>
      </c>
      <c r="H1664">
        <v>7.0444100000000001</v>
      </c>
      <c r="I1664">
        <v>19.95</v>
      </c>
      <c r="J1664">
        <v>8.07</v>
      </c>
      <c r="K1664">
        <v>273</v>
      </c>
      <c r="L1664">
        <v>86.681290000000004</v>
      </c>
      <c r="M1664">
        <v>79.2</v>
      </c>
      <c r="P1664">
        <v>1.997290944</v>
      </c>
      <c r="Q1664">
        <v>3609.2033310000002</v>
      </c>
      <c r="R1664">
        <v>5.56</v>
      </c>
      <c r="S1664">
        <v>10991</v>
      </c>
      <c r="T1664">
        <v>18.109580999999999</v>
      </c>
      <c r="U1664">
        <v>-77.297507999999993</v>
      </c>
    </row>
    <row r="1665" spans="1:21">
      <c r="A1665" t="s">
        <v>101</v>
      </c>
      <c r="B1665">
        <v>2003</v>
      </c>
      <c r="C1665">
        <v>17159.157999999999</v>
      </c>
      <c r="D1665">
        <v>10590.00015</v>
      </c>
      <c r="E1665">
        <v>6.23</v>
      </c>
      <c r="F1665">
        <v>0</v>
      </c>
      <c r="G1665">
        <v>0.5</v>
      </c>
      <c r="H1665">
        <v>7.4294205</v>
      </c>
      <c r="I1665">
        <v>19.829999999999998</v>
      </c>
      <c r="J1665">
        <v>8.18</v>
      </c>
      <c r="K1665">
        <v>273</v>
      </c>
      <c r="L1665">
        <v>86.60857</v>
      </c>
      <c r="M1665">
        <v>80.599999999999994</v>
      </c>
      <c r="P1665">
        <v>3.666317593</v>
      </c>
      <c r="Q1665">
        <v>3480.511665</v>
      </c>
      <c r="R1665">
        <v>5.6</v>
      </c>
      <c r="S1665">
        <v>10991</v>
      </c>
      <c r="T1665">
        <v>18.109580999999999</v>
      </c>
      <c r="U1665">
        <v>-77.297507999999993</v>
      </c>
    </row>
    <row r="1666" spans="1:21">
      <c r="A1666" t="s">
        <v>101</v>
      </c>
      <c r="B1666">
        <v>2004</v>
      </c>
      <c r="C1666">
        <v>16704.465</v>
      </c>
      <c r="D1666">
        <v>10569.999690000001</v>
      </c>
      <c r="E1666">
        <v>6.25</v>
      </c>
      <c r="F1666">
        <v>0</v>
      </c>
      <c r="G1666">
        <v>0.54</v>
      </c>
      <c r="H1666">
        <v>7.9528723000000001</v>
      </c>
      <c r="I1666">
        <v>27.39</v>
      </c>
      <c r="J1666">
        <v>6.4</v>
      </c>
      <c r="K1666">
        <v>273</v>
      </c>
      <c r="L1666">
        <v>87.337810000000005</v>
      </c>
      <c r="M1666">
        <v>81.900000000000006</v>
      </c>
      <c r="P1666">
        <v>1.3237251000000001</v>
      </c>
      <c r="Q1666">
        <v>3733.798671</v>
      </c>
      <c r="R1666">
        <v>5.56</v>
      </c>
      <c r="S1666">
        <v>10991</v>
      </c>
      <c r="T1666">
        <v>18.109580999999999</v>
      </c>
      <c r="U1666">
        <v>-77.297507999999993</v>
      </c>
    </row>
    <row r="1667" spans="1:21">
      <c r="A1667" t="s">
        <v>101</v>
      </c>
      <c r="B1667">
        <v>2005</v>
      </c>
      <c r="C1667">
        <v>17141.955000000002</v>
      </c>
      <c r="D1667">
        <v>10560.00042</v>
      </c>
      <c r="E1667">
        <v>6.4</v>
      </c>
      <c r="F1667">
        <v>0</v>
      </c>
      <c r="G1667">
        <v>0.59</v>
      </c>
      <c r="H1667">
        <v>8.4406289999999995</v>
      </c>
      <c r="I1667">
        <v>27.24</v>
      </c>
      <c r="J1667">
        <v>5.43</v>
      </c>
      <c r="K1667">
        <v>273</v>
      </c>
      <c r="L1667">
        <v>88.066505000000006</v>
      </c>
      <c r="M1667">
        <v>83.4</v>
      </c>
      <c r="P1667">
        <v>0.89379793600000002</v>
      </c>
      <c r="Q1667">
        <v>4103.6016369999998</v>
      </c>
      <c r="R1667">
        <v>5.39</v>
      </c>
      <c r="S1667">
        <v>10991</v>
      </c>
      <c r="T1667">
        <v>18.109580999999999</v>
      </c>
      <c r="U1667">
        <v>-77.297507999999993</v>
      </c>
    </row>
    <row r="1668" spans="1:21">
      <c r="A1668" t="s">
        <v>101</v>
      </c>
      <c r="B1668">
        <v>2006</v>
      </c>
      <c r="C1668">
        <v>19489.294999999998</v>
      </c>
      <c r="D1668">
        <v>12060.00042</v>
      </c>
      <c r="E1668">
        <v>6.43</v>
      </c>
      <c r="F1668">
        <v>0</v>
      </c>
      <c r="G1668">
        <v>0.6</v>
      </c>
      <c r="H1668">
        <v>8.5348509999999997</v>
      </c>
      <c r="I1668">
        <v>27.24</v>
      </c>
      <c r="J1668">
        <v>4.82</v>
      </c>
      <c r="K1668">
        <v>273</v>
      </c>
      <c r="L1668">
        <v>88.797079999999994</v>
      </c>
      <c r="M1668">
        <v>84.1</v>
      </c>
      <c r="P1668">
        <v>2.8991253499999998</v>
      </c>
      <c r="Q1668">
        <v>4331.2920530000001</v>
      </c>
      <c r="R1668">
        <v>5.95</v>
      </c>
      <c r="S1668">
        <v>10991</v>
      </c>
      <c r="T1668">
        <v>18.109580999999999</v>
      </c>
      <c r="U1668">
        <v>-77.297507999999993</v>
      </c>
    </row>
    <row r="1669" spans="1:21">
      <c r="A1669" t="s">
        <v>101</v>
      </c>
      <c r="B1669">
        <v>2007</v>
      </c>
      <c r="C1669">
        <v>19765.36</v>
      </c>
      <c r="D1669">
        <v>12020.000459999999</v>
      </c>
      <c r="E1669">
        <v>5.09</v>
      </c>
      <c r="F1669">
        <v>0</v>
      </c>
      <c r="G1669">
        <v>0.52</v>
      </c>
      <c r="H1669">
        <v>9.2691619999999997</v>
      </c>
      <c r="I1669">
        <v>27.18</v>
      </c>
      <c r="J1669">
        <v>5.35</v>
      </c>
      <c r="K1669">
        <v>273</v>
      </c>
      <c r="L1669">
        <v>89.532179999999997</v>
      </c>
      <c r="M1669">
        <v>84.85</v>
      </c>
      <c r="P1669">
        <v>1.4319540369999999</v>
      </c>
      <c r="Q1669">
        <v>4623.7478970000002</v>
      </c>
      <c r="R1669">
        <v>5.92</v>
      </c>
      <c r="S1669">
        <v>10991</v>
      </c>
      <c r="T1669">
        <v>18.109580999999999</v>
      </c>
      <c r="U1669">
        <v>-77.297507999999993</v>
      </c>
    </row>
    <row r="1670" spans="1:21">
      <c r="A1670" t="s">
        <v>101</v>
      </c>
      <c r="B1670">
        <v>2008</v>
      </c>
      <c r="C1670">
        <v>16746.21</v>
      </c>
      <c r="D1670">
        <v>9619.9998859999996</v>
      </c>
      <c r="E1670">
        <v>3.57</v>
      </c>
      <c r="F1670">
        <v>0</v>
      </c>
      <c r="G1670">
        <v>0.43</v>
      </c>
      <c r="H1670">
        <v>10.75</v>
      </c>
      <c r="I1670">
        <v>27.11</v>
      </c>
      <c r="J1670">
        <v>5.99</v>
      </c>
      <c r="K1670">
        <v>273</v>
      </c>
      <c r="L1670">
        <v>92</v>
      </c>
      <c r="M1670">
        <v>85.4</v>
      </c>
      <c r="O1670">
        <v>410000</v>
      </c>
      <c r="P1670">
        <v>-0.811736703</v>
      </c>
      <c r="Q1670">
        <v>4928.1264090000004</v>
      </c>
      <c r="R1670">
        <v>4.7699999999999996</v>
      </c>
      <c r="S1670">
        <v>10991</v>
      </c>
      <c r="T1670">
        <v>18.109580999999999</v>
      </c>
      <c r="U1670">
        <v>-77.297507999999993</v>
      </c>
    </row>
    <row r="1671" spans="1:21">
      <c r="A1671" t="s">
        <v>101</v>
      </c>
      <c r="B1671">
        <v>2009</v>
      </c>
      <c r="C1671">
        <v>13112.700999999999</v>
      </c>
      <c r="D1671">
        <v>7880.0001140000004</v>
      </c>
      <c r="E1671">
        <v>3.64</v>
      </c>
      <c r="F1671">
        <v>0</v>
      </c>
      <c r="G1671">
        <v>0.42</v>
      </c>
      <c r="H1671">
        <v>10.344828</v>
      </c>
      <c r="I1671">
        <v>27.3</v>
      </c>
      <c r="J1671">
        <v>7.51</v>
      </c>
      <c r="K1671">
        <v>273</v>
      </c>
      <c r="L1671">
        <v>91.026780000000002</v>
      </c>
      <c r="M1671">
        <v>85.8</v>
      </c>
      <c r="O1671">
        <v>110000</v>
      </c>
      <c r="P1671">
        <v>-4.345301858</v>
      </c>
      <c r="Q1671">
        <v>4335.1784109999999</v>
      </c>
      <c r="R1671">
        <v>4.0199999999999996</v>
      </c>
      <c r="S1671">
        <v>10991</v>
      </c>
      <c r="T1671">
        <v>18.109580999999999</v>
      </c>
      <c r="U1671">
        <v>-77.297507999999993</v>
      </c>
    </row>
    <row r="1672" spans="1:21">
      <c r="A1672" t="s">
        <v>101</v>
      </c>
      <c r="B1672">
        <v>2010</v>
      </c>
      <c r="C1672">
        <v>11996.119000000001</v>
      </c>
      <c r="D1672">
        <v>7480.0000190000001</v>
      </c>
      <c r="E1672">
        <v>3.55</v>
      </c>
      <c r="F1672">
        <v>0</v>
      </c>
      <c r="G1672">
        <v>0.41</v>
      </c>
      <c r="H1672">
        <v>10.353536</v>
      </c>
      <c r="I1672">
        <v>33.74</v>
      </c>
      <c r="J1672">
        <v>8.98</v>
      </c>
      <c r="K1672">
        <v>273</v>
      </c>
      <c r="L1672">
        <v>92.2</v>
      </c>
      <c r="M1672">
        <v>85.9</v>
      </c>
      <c r="O1672">
        <v>170000</v>
      </c>
      <c r="P1672">
        <v>-1.4571472089999999</v>
      </c>
      <c r="Q1672">
        <v>4704.0477600000004</v>
      </c>
      <c r="R1672">
        <v>3.8</v>
      </c>
      <c r="S1672">
        <v>10991</v>
      </c>
      <c r="T1672">
        <v>18.109580999999999</v>
      </c>
      <c r="U1672">
        <v>-77.297507999999993</v>
      </c>
    </row>
    <row r="1673" spans="1:21">
      <c r="A1673" t="s">
        <v>101</v>
      </c>
      <c r="B1673">
        <v>2011</v>
      </c>
      <c r="C1673">
        <v>12652.352999999999</v>
      </c>
      <c r="D1673">
        <v>7530.0002100000002</v>
      </c>
      <c r="E1673">
        <v>3.56</v>
      </c>
      <c r="F1673">
        <v>0</v>
      </c>
      <c r="G1673">
        <v>0.45</v>
      </c>
      <c r="H1673">
        <v>11.221945</v>
      </c>
      <c r="I1673">
        <v>33.729999999999997</v>
      </c>
      <c r="J1673">
        <v>9.84</v>
      </c>
      <c r="K1673">
        <v>273</v>
      </c>
      <c r="L1673">
        <v>91.1</v>
      </c>
      <c r="M1673">
        <v>86.2</v>
      </c>
      <c r="O1673">
        <v>8860000</v>
      </c>
      <c r="P1673">
        <v>1.730376267</v>
      </c>
      <c r="Q1673">
        <v>5111.4659869999996</v>
      </c>
      <c r="R1673">
        <v>3.96</v>
      </c>
      <c r="S1673">
        <v>10991</v>
      </c>
      <c r="T1673">
        <v>18.109580999999999</v>
      </c>
      <c r="U1673">
        <v>-77.297507999999993</v>
      </c>
    </row>
    <row r="1674" spans="1:21">
      <c r="A1674" t="s">
        <v>101</v>
      </c>
      <c r="B1674">
        <v>2012</v>
      </c>
      <c r="C1674">
        <v>11797.367</v>
      </c>
      <c r="D1674">
        <v>6960.0000380000001</v>
      </c>
      <c r="E1674">
        <v>3.46</v>
      </c>
      <c r="F1674">
        <v>0</v>
      </c>
      <c r="G1674">
        <v>0.47</v>
      </c>
      <c r="H1674">
        <v>11.959288000000001</v>
      </c>
      <c r="I1674">
        <v>33.65</v>
      </c>
      <c r="J1674">
        <v>12.16</v>
      </c>
      <c r="K1674">
        <v>273</v>
      </c>
      <c r="L1674">
        <v>93.1</v>
      </c>
      <c r="M1674">
        <v>86.1</v>
      </c>
      <c r="O1674">
        <v>120000</v>
      </c>
      <c r="P1674">
        <v>-0.61363604000000005</v>
      </c>
      <c r="Q1674">
        <v>5209.8592639999997</v>
      </c>
      <c r="R1674">
        <v>3.85</v>
      </c>
      <c r="S1674">
        <v>10991</v>
      </c>
      <c r="T1674">
        <v>18.109580999999999</v>
      </c>
      <c r="U1674">
        <v>-77.297507999999993</v>
      </c>
    </row>
    <row r="1675" spans="1:21">
      <c r="A1675" t="s">
        <v>101</v>
      </c>
      <c r="B1675">
        <v>2013</v>
      </c>
      <c r="C1675">
        <v>12772.726000000001</v>
      </c>
      <c r="D1675">
        <v>7400.0000950000003</v>
      </c>
      <c r="E1675">
        <v>3.5</v>
      </c>
      <c r="F1675">
        <v>0</v>
      </c>
      <c r="G1675">
        <v>0.43</v>
      </c>
      <c r="H1675">
        <v>10.941476</v>
      </c>
      <c r="I1675">
        <v>36.08</v>
      </c>
      <c r="J1675">
        <v>11.39</v>
      </c>
      <c r="K1675">
        <v>273</v>
      </c>
      <c r="L1675">
        <v>93.9</v>
      </c>
      <c r="M1675">
        <v>86</v>
      </c>
      <c r="P1675">
        <v>0.51768601299999994</v>
      </c>
      <c r="Q1675">
        <v>4989.7340889999996</v>
      </c>
      <c r="R1675">
        <v>4.0199999999999996</v>
      </c>
      <c r="S1675">
        <v>10991</v>
      </c>
      <c r="T1675">
        <v>18.109580999999999</v>
      </c>
      <c r="U1675">
        <v>-77.297507999999993</v>
      </c>
    </row>
    <row r="1676" spans="1:21">
      <c r="A1676" t="s">
        <v>101</v>
      </c>
      <c r="B1676">
        <v>2014</v>
      </c>
      <c r="C1676">
        <v>12533.960999999999</v>
      </c>
      <c r="D1676">
        <v>7190.0000570000002</v>
      </c>
      <c r="E1676">
        <v>3.45</v>
      </c>
      <c r="F1676">
        <v>0</v>
      </c>
      <c r="G1676">
        <v>0.46</v>
      </c>
      <c r="H1676">
        <v>11.764706</v>
      </c>
      <c r="I1676">
        <v>36.56</v>
      </c>
      <c r="J1676">
        <v>11.88</v>
      </c>
      <c r="K1676">
        <v>273</v>
      </c>
      <c r="L1676">
        <v>93.3</v>
      </c>
      <c r="M1676">
        <v>85.85</v>
      </c>
      <c r="O1676">
        <v>57810000</v>
      </c>
      <c r="P1676">
        <v>0.68982235700000005</v>
      </c>
      <c r="Q1676">
        <v>4834.284009</v>
      </c>
      <c r="R1676">
        <v>3.89</v>
      </c>
      <c r="S1676">
        <v>10991</v>
      </c>
      <c r="T1676">
        <v>18.109580999999999</v>
      </c>
      <c r="U1676">
        <v>-77.297507999999993</v>
      </c>
    </row>
    <row r="1677" spans="1:21">
      <c r="A1677" t="s">
        <v>101</v>
      </c>
      <c r="B1677">
        <v>2015</v>
      </c>
      <c r="C1677">
        <v>12881.866</v>
      </c>
      <c r="D1677">
        <v>7090.000153</v>
      </c>
      <c r="E1677">
        <v>3.45</v>
      </c>
      <c r="F1677">
        <v>0</v>
      </c>
      <c r="G1677">
        <v>0.46</v>
      </c>
      <c r="H1677">
        <v>11.764706</v>
      </c>
      <c r="I1677">
        <v>37.19</v>
      </c>
      <c r="J1677">
        <v>12.12</v>
      </c>
      <c r="K1677">
        <v>273</v>
      </c>
      <c r="L1677">
        <v>94.9</v>
      </c>
      <c r="M1677">
        <v>85.4</v>
      </c>
      <c r="O1677">
        <v>87990000</v>
      </c>
      <c r="P1677">
        <v>0.92148712499999996</v>
      </c>
      <c r="Q1677">
        <v>4907.9274150000001</v>
      </c>
      <c r="R1677">
        <v>3.87</v>
      </c>
      <c r="S1677">
        <v>10991</v>
      </c>
      <c r="T1677">
        <v>18.109580999999999</v>
      </c>
      <c r="U1677">
        <v>-77.297507999999993</v>
      </c>
    </row>
    <row r="1678" spans="1:21">
      <c r="A1678" t="s">
        <v>101</v>
      </c>
      <c r="B1678">
        <v>2016</v>
      </c>
      <c r="C1678">
        <v>13296.950999999999</v>
      </c>
      <c r="D1678">
        <v>7570.000172</v>
      </c>
      <c r="E1678">
        <v>3.63</v>
      </c>
      <c r="F1678">
        <v>0</v>
      </c>
      <c r="G1678">
        <v>0.5</v>
      </c>
      <c r="H1678">
        <v>12.106536999999999</v>
      </c>
      <c r="I1678">
        <v>64.900000000000006</v>
      </c>
      <c r="J1678">
        <v>11.07</v>
      </c>
      <c r="K1678">
        <v>273</v>
      </c>
      <c r="L1678">
        <v>96.737979999999993</v>
      </c>
      <c r="M1678">
        <v>85</v>
      </c>
      <c r="O1678">
        <v>17580000</v>
      </c>
      <c r="P1678">
        <v>1.3752230640000001</v>
      </c>
      <c r="Q1678">
        <v>4843.7498999999998</v>
      </c>
      <c r="R1678">
        <v>4.2699999999999996</v>
      </c>
      <c r="S1678">
        <v>10991</v>
      </c>
      <c r="T1678">
        <v>18.109580999999999</v>
      </c>
      <c r="U1678">
        <v>-77.297507999999993</v>
      </c>
    </row>
    <row r="1679" spans="1:21">
      <c r="A1679" t="s">
        <v>101</v>
      </c>
      <c r="B1679">
        <v>2017</v>
      </c>
      <c r="C1679">
        <v>11942.507</v>
      </c>
      <c r="D1679">
        <v>7219.9997899999998</v>
      </c>
      <c r="E1679">
        <v>3.5</v>
      </c>
      <c r="F1679">
        <v>0</v>
      </c>
      <c r="G1679">
        <v>0.6</v>
      </c>
      <c r="H1679">
        <v>14.634148</v>
      </c>
      <c r="I1679">
        <v>74.17</v>
      </c>
      <c r="J1679">
        <v>10.98</v>
      </c>
      <c r="K1679">
        <v>273</v>
      </c>
      <c r="L1679">
        <v>97.609579999999994</v>
      </c>
      <c r="M1679">
        <v>84.5</v>
      </c>
      <c r="O1679">
        <v>900000</v>
      </c>
      <c r="P1679">
        <v>0.997123062</v>
      </c>
      <c r="Q1679">
        <v>5070.0995030000004</v>
      </c>
      <c r="R1679">
        <v>3.86</v>
      </c>
      <c r="S1679">
        <v>10991</v>
      </c>
      <c r="T1679">
        <v>18.109580999999999</v>
      </c>
      <c r="U1679">
        <v>-77.297507999999993</v>
      </c>
    </row>
    <row r="1680" spans="1:21">
      <c r="A1680" t="s">
        <v>101</v>
      </c>
      <c r="B1680">
        <v>2018</v>
      </c>
      <c r="C1680">
        <v>12335.036</v>
      </c>
      <c r="D1680">
        <v>8609.9996570000003</v>
      </c>
      <c r="E1680">
        <v>3.48</v>
      </c>
      <c r="F1680">
        <v>0</v>
      </c>
      <c r="G1680">
        <v>0.69</v>
      </c>
      <c r="H1680">
        <v>16.546762000000001</v>
      </c>
      <c r="I1680">
        <v>73.81</v>
      </c>
      <c r="J1680">
        <v>8.8800000000000008</v>
      </c>
      <c r="K1680">
        <v>273</v>
      </c>
      <c r="L1680">
        <v>98.487120000000004</v>
      </c>
      <c r="M1680">
        <v>83.9</v>
      </c>
      <c r="O1680">
        <v>70520000</v>
      </c>
      <c r="P1680">
        <v>1.889923681</v>
      </c>
      <c r="Q1680">
        <v>5359.9937890000001</v>
      </c>
      <c r="R1680">
        <v>4.28</v>
      </c>
      <c r="S1680">
        <v>10991</v>
      </c>
      <c r="T1680">
        <v>18.109580999999999</v>
      </c>
      <c r="U1680">
        <v>-77.297507999999993</v>
      </c>
    </row>
    <row r="1681" spans="1:21">
      <c r="A1681" t="s">
        <v>101</v>
      </c>
      <c r="B1681">
        <v>2019</v>
      </c>
      <c r="C1681">
        <v>15387.241</v>
      </c>
      <c r="D1681">
        <v>8390.0003429999997</v>
      </c>
      <c r="E1681">
        <v>3.6</v>
      </c>
      <c r="F1681">
        <v>0</v>
      </c>
      <c r="G1681">
        <v>0.65</v>
      </c>
      <c r="H1681">
        <v>15.294117999999999</v>
      </c>
      <c r="I1681">
        <v>86.03</v>
      </c>
      <c r="J1681">
        <v>9.09</v>
      </c>
      <c r="K1681">
        <v>273</v>
      </c>
      <c r="L1681">
        <v>99.367620000000002</v>
      </c>
      <c r="M1681">
        <v>83.4</v>
      </c>
      <c r="O1681">
        <v>180000</v>
      </c>
      <c r="P1681">
        <v>0.89229165399999999</v>
      </c>
      <c r="Q1681">
        <v>5369.4983709999997</v>
      </c>
      <c r="R1681">
        <v>4.45</v>
      </c>
      <c r="S1681">
        <v>10991</v>
      </c>
      <c r="T1681">
        <v>18.109580999999999</v>
      </c>
      <c r="U1681">
        <v>-77.297507999999993</v>
      </c>
    </row>
    <row r="1682" spans="1:21">
      <c r="A1682" t="s">
        <v>101</v>
      </c>
      <c r="B1682">
        <v>2020</v>
      </c>
      <c r="C1682">
        <v>12098.731</v>
      </c>
      <c r="E1682">
        <v>3.43</v>
      </c>
      <c r="F1682">
        <v>0</v>
      </c>
      <c r="G1682">
        <v>0.64</v>
      </c>
      <c r="H1682">
        <v>15.724815</v>
      </c>
      <c r="I1682">
        <v>85.65</v>
      </c>
      <c r="K1682">
        <v>273</v>
      </c>
      <c r="L1682">
        <v>100</v>
      </c>
      <c r="M1682">
        <v>82.7</v>
      </c>
      <c r="P1682">
        <v>-10</v>
      </c>
      <c r="Q1682">
        <v>4664.5302419999998</v>
      </c>
      <c r="S1682">
        <v>10991</v>
      </c>
      <c r="T1682">
        <v>18.109580999999999</v>
      </c>
      <c r="U1682">
        <v>-77.297507999999993</v>
      </c>
    </row>
    <row r="1683" spans="1:21">
      <c r="A1683" t="s">
        <v>102</v>
      </c>
      <c r="B1683">
        <v>2000</v>
      </c>
      <c r="C1683">
        <v>49229.383000000002</v>
      </c>
      <c r="D1683">
        <v>1182610</v>
      </c>
      <c r="E1683">
        <v>578.29</v>
      </c>
      <c r="F1683">
        <v>305.95</v>
      </c>
      <c r="G1683">
        <v>104.16</v>
      </c>
      <c r="H1683">
        <v>41.492310000000003</v>
      </c>
      <c r="J1683">
        <v>3.7</v>
      </c>
      <c r="K1683">
        <v>347</v>
      </c>
      <c r="L1683">
        <v>100</v>
      </c>
      <c r="M1683">
        <v>100</v>
      </c>
      <c r="N1683">
        <v>4.8274536000000001</v>
      </c>
      <c r="P1683">
        <v>2.7646475509999999</v>
      </c>
      <c r="Q1683">
        <v>39169.359570000001</v>
      </c>
      <c r="R1683">
        <v>4.78</v>
      </c>
      <c r="S1683">
        <v>377944</v>
      </c>
      <c r="T1683">
        <v>36.204824000000002</v>
      </c>
      <c r="U1683">
        <v>138.25292400000001</v>
      </c>
    </row>
    <row r="1684" spans="1:21">
      <c r="A1684" t="s">
        <v>102</v>
      </c>
      <c r="B1684">
        <v>2001</v>
      </c>
      <c r="C1684">
        <v>48662.785000000003</v>
      </c>
      <c r="D1684">
        <v>1170380</v>
      </c>
      <c r="E1684">
        <v>564.95000000000005</v>
      </c>
      <c r="F1684">
        <v>303.86</v>
      </c>
      <c r="G1684">
        <v>101.36</v>
      </c>
      <c r="H1684">
        <v>41.767937000000003</v>
      </c>
      <c r="J1684">
        <v>3.5</v>
      </c>
      <c r="K1684">
        <v>347</v>
      </c>
      <c r="L1684">
        <v>100</v>
      </c>
      <c r="M1684">
        <v>100</v>
      </c>
      <c r="N1684">
        <v>4.7163659999999998</v>
      </c>
      <c r="P1684">
        <v>0.38610342600000003</v>
      </c>
      <c r="Q1684">
        <v>34406.182460000004</v>
      </c>
      <c r="R1684">
        <v>4.6900000000000004</v>
      </c>
      <c r="S1684">
        <v>377944</v>
      </c>
      <c r="T1684">
        <v>36.204824000000002</v>
      </c>
      <c r="U1684">
        <v>138.25292400000001</v>
      </c>
    </row>
    <row r="1685" spans="1:21">
      <c r="A1685" t="s">
        <v>102</v>
      </c>
      <c r="B1685">
        <v>2002</v>
      </c>
      <c r="C1685">
        <v>48643.8</v>
      </c>
      <c r="D1685">
        <v>1206599.976</v>
      </c>
      <c r="E1685">
        <v>605.12</v>
      </c>
      <c r="F1685">
        <v>280.33999999999997</v>
      </c>
      <c r="G1685">
        <v>101.1</v>
      </c>
      <c r="H1685">
        <v>38.663640000000001</v>
      </c>
      <c r="J1685">
        <v>3.71</v>
      </c>
      <c r="K1685">
        <v>347</v>
      </c>
      <c r="L1685">
        <v>100</v>
      </c>
      <c r="M1685">
        <v>100</v>
      </c>
      <c r="N1685">
        <v>4.7026370000000002</v>
      </c>
      <c r="P1685">
        <v>4.1962499E-2</v>
      </c>
      <c r="Q1685">
        <v>32820.793640000004</v>
      </c>
      <c r="R1685">
        <v>4.7</v>
      </c>
      <c r="S1685">
        <v>377944</v>
      </c>
      <c r="T1685">
        <v>36.204824000000002</v>
      </c>
      <c r="U1685">
        <v>138.25292400000001</v>
      </c>
    </row>
    <row r="1686" spans="1:21">
      <c r="A1686" t="s">
        <v>102</v>
      </c>
      <c r="B1686">
        <v>2003</v>
      </c>
      <c r="C1686">
        <v>48392.92</v>
      </c>
      <c r="D1686">
        <v>1214949.9509999999</v>
      </c>
      <c r="E1686">
        <v>633.76</v>
      </c>
      <c r="F1686">
        <v>228.01</v>
      </c>
      <c r="G1686">
        <v>114.18</v>
      </c>
      <c r="H1686">
        <v>35.062249999999999</v>
      </c>
      <c r="J1686">
        <v>4.1900000000000004</v>
      </c>
      <c r="K1686">
        <v>347</v>
      </c>
      <c r="L1686">
        <v>100</v>
      </c>
      <c r="M1686">
        <v>100</v>
      </c>
      <c r="N1686">
        <v>5.3320413000000002</v>
      </c>
      <c r="P1686">
        <v>1.5351254990000001</v>
      </c>
      <c r="Q1686">
        <v>35387.037420000001</v>
      </c>
      <c r="R1686">
        <v>4.5999999999999996</v>
      </c>
      <c r="S1686">
        <v>377944</v>
      </c>
      <c r="T1686">
        <v>36.204824000000002</v>
      </c>
      <c r="U1686">
        <v>138.25292400000001</v>
      </c>
    </row>
    <row r="1687" spans="1:21">
      <c r="A1687" t="s">
        <v>102</v>
      </c>
      <c r="B1687">
        <v>2004</v>
      </c>
      <c r="C1687">
        <v>48887.336000000003</v>
      </c>
      <c r="D1687">
        <v>1209849.976</v>
      </c>
      <c r="E1687">
        <v>621.6</v>
      </c>
      <c r="F1687">
        <v>268.32</v>
      </c>
      <c r="G1687">
        <v>114.73</v>
      </c>
      <c r="H1687">
        <v>38.127704999999999</v>
      </c>
      <c r="J1687">
        <v>4.26</v>
      </c>
      <c r="K1687">
        <v>347</v>
      </c>
      <c r="L1687">
        <v>100</v>
      </c>
      <c r="M1687">
        <v>100</v>
      </c>
      <c r="N1687">
        <v>5.2576700000000001</v>
      </c>
      <c r="P1687">
        <v>2.1861156940000002</v>
      </c>
      <c r="Q1687">
        <v>38298.980170000003</v>
      </c>
      <c r="R1687">
        <v>4.6500000000000004</v>
      </c>
      <c r="S1687">
        <v>377944</v>
      </c>
      <c r="T1687">
        <v>36.204824000000002</v>
      </c>
      <c r="U1687">
        <v>138.25292400000001</v>
      </c>
    </row>
    <row r="1688" spans="1:21">
      <c r="A1688" t="s">
        <v>102</v>
      </c>
      <c r="B1688">
        <v>2005</v>
      </c>
      <c r="C1688">
        <v>49007.163999999997</v>
      </c>
      <c r="D1688">
        <v>1212819.946</v>
      </c>
      <c r="E1688">
        <v>634.09</v>
      </c>
      <c r="F1688">
        <v>280.5</v>
      </c>
      <c r="G1688">
        <v>100.57</v>
      </c>
      <c r="H1688">
        <v>37.537925999999999</v>
      </c>
      <c r="J1688">
        <v>4.0199999999999996</v>
      </c>
      <c r="K1688">
        <v>347</v>
      </c>
      <c r="L1688">
        <v>100</v>
      </c>
      <c r="M1688">
        <v>100</v>
      </c>
      <c r="N1688">
        <v>4.7903229999999999</v>
      </c>
      <c r="P1688">
        <v>1.803900872</v>
      </c>
      <c r="Q1688">
        <v>37812.895020000004</v>
      </c>
      <c r="R1688">
        <v>4.55</v>
      </c>
      <c r="S1688">
        <v>377944</v>
      </c>
      <c r="T1688">
        <v>36.204824000000002</v>
      </c>
      <c r="U1688">
        <v>138.25292400000001</v>
      </c>
    </row>
    <row r="1689" spans="1:21">
      <c r="A1689" t="s">
        <v>102</v>
      </c>
      <c r="B1689">
        <v>2006</v>
      </c>
      <c r="C1689">
        <v>48855.34</v>
      </c>
      <c r="D1689">
        <v>1189520.02</v>
      </c>
      <c r="E1689">
        <v>628.77</v>
      </c>
      <c r="F1689">
        <v>291.54000000000002</v>
      </c>
      <c r="G1689">
        <v>112.07</v>
      </c>
      <c r="H1689">
        <v>39.095100000000002</v>
      </c>
      <c r="J1689">
        <v>4.43</v>
      </c>
      <c r="K1689">
        <v>347</v>
      </c>
      <c r="L1689">
        <v>100</v>
      </c>
      <c r="M1689">
        <v>100</v>
      </c>
      <c r="N1689">
        <v>5.3090086000000003</v>
      </c>
      <c r="P1689">
        <v>1.3723501279999999</v>
      </c>
      <c r="Q1689">
        <v>35991.546000000002</v>
      </c>
      <c r="R1689">
        <v>4.4800000000000004</v>
      </c>
      <c r="S1689">
        <v>377944</v>
      </c>
      <c r="T1689">
        <v>36.204824000000002</v>
      </c>
      <c r="U1689">
        <v>138.25292400000001</v>
      </c>
    </row>
    <row r="1690" spans="1:21">
      <c r="A1690" t="s">
        <v>102</v>
      </c>
      <c r="B1690">
        <v>2007</v>
      </c>
      <c r="C1690">
        <v>48292.938000000002</v>
      </c>
      <c r="D1690">
        <v>1225069.946</v>
      </c>
      <c r="E1690">
        <v>705.37</v>
      </c>
      <c r="F1690">
        <v>267.33999999999997</v>
      </c>
      <c r="G1690">
        <v>100.8</v>
      </c>
      <c r="H1690">
        <v>34.293114000000003</v>
      </c>
      <c r="J1690">
        <v>4.29</v>
      </c>
      <c r="K1690">
        <v>347</v>
      </c>
      <c r="L1690">
        <v>100</v>
      </c>
      <c r="M1690">
        <v>100</v>
      </c>
      <c r="N1690">
        <v>4.7619534000000003</v>
      </c>
      <c r="P1690">
        <v>1.483969412</v>
      </c>
      <c r="Q1690">
        <v>35779.024539999999</v>
      </c>
      <c r="R1690">
        <v>4.37</v>
      </c>
      <c r="S1690">
        <v>377944</v>
      </c>
      <c r="T1690">
        <v>36.204824000000002</v>
      </c>
      <c r="U1690">
        <v>138.25292400000001</v>
      </c>
    </row>
    <row r="1691" spans="1:21">
      <c r="A1691" t="s">
        <v>102</v>
      </c>
      <c r="B1691">
        <v>2008</v>
      </c>
      <c r="C1691">
        <v>47418.41</v>
      </c>
      <c r="D1691">
        <v>1158219.9709999999</v>
      </c>
      <c r="E1691">
        <v>663.88</v>
      </c>
      <c r="F1691">
        <v>241.25</v>
      </c>
      <c r="G1691">
        <v>100.79</v>
      </c>
      <c r="H1691">
        <v>34.002704999999999</v>
      </c>
      <c r="J1691">
        <v>4.4400000000000004</v>
      </c>
      <c r="K1691">
        <v>347</v>
      </c>
      <c r="L1691">
        <v>100</v>
      </c>
      <c r="M1691">
        <v>100</v>
      </c>
      <c r="N1691">
        <v>4.8308590000000002</v>
      </c>
      <c r="P1691">
        <v>-1.224289001</v>
      </c>
      <c r="Q1691">
        <v>39876.303970000001</v>
      </c>
      <c r="R1691">
        <v>4.26</v>
      </c>
      <c r="S1691">
        <v>377944</v>
      </c>
      <c r="T1691">
        <v>36.204824000000002</v>
      </c>
      <c r="U1691">
        <v>138.25292400000001</v>
      </c>
    </row>
    <row r="1692" spans="1:21">
      <c r="A1692" t="s">
        <v>102</v>
      </c>
      <c r="B1692">
        <v>2009</v>
      </c>
      <c r="C1692">
        <v>43254.305</v>
      </c>
      <c r="D1692">
        <v>1100979.98</v>
      </c>
      <c r="E1692">
        <v>611.86</v>
      </c>
      <c r="F1692">
        <v>263.05</v>
      </c>
      <c r="G1692">
        <v>102.28</v>
      </c>
      <c r="H1692">
        <v>37.385770000000001</v>
      </c>
      <c r="J1692">
        <v>4.51</v>
      </c>
      <c r="K1692">
        <v>347</v>
      </c>
      <c r="L1692">
        <v>100</v>
      </c>
      <c r="M1692">
        <v>100</v>
      </c>
      <c r="N1692">
        <v>5.0213960000000002</v>
      </c>
      <c r="P1692">
        <v>-5.6932363590000001</v>
      </c>
      <c r="Q1692">
        <v>41308.99684</v>
      </c>
      <c r="R1692">
        <v>4.3</v>
      </c>
      <c r="S1692">
        <v>377944</v>
      </c>
      <c r="T1692">
        <v>36.204824000000002</v>
      </c>
      <c r="U1692">
        <v>138.25292400000001</v>
      </c>
    </row>
    <row r="1693" spans="1:21">
      <c r="A1693" t="s">
        <v>102</v>
      </c>
      <c r="B1693">
        <v>2010</v>
      </c>
      <c r="C1693">
        <v>46114.938000000002</v>
      </c>
      <c r="D1693">
        <v>1156479.98</v>
      </c>
      <c r="E1693">
        <v>689.89</v>
      </c>
      <c r="F1693">
        <v>278.36</v>
      </c>
      <c r="G1693">
        <v>113.92</v>
      </c>
      <c r="H1693">
        <v>36.249386000000001</v>
      </c>
      <c r="J1693">
        <v>4.66</v>
      </c>
      <c r="K1693">
        <v>347</v>
      </c>
      <c r="L1693">
        <v>100</v>
      </c>
      <c r="M1693">
        <v>100</v>
      </c>
      <c r="N1693">
        <v>5.6848840000000003</v>
      </c>
      <c r="P1693">
        <v>4.0979179190000004</v>
      </c>
      <c r="Q1693">
        <v>44968.156230000001</v>
      </c>
      <c r="R1693">
        <v>4.3499999999999996</v>
      </c>
      <c r="S1693">
        <v>377944</v>
      </c>
      <c r="T1693">
        <v>36.204824000000002</v>
      </c>
      <c r="U1693">
        <v>138.25292400000001</v>
      </c>
    </row>
    <row r="1694" spans="1:21">
      <c r="A1694" t="s">
        <v>102</v>
      </c>
      <c r="B1694">
        <v>2011</v>
      </c>
      <c r="C1694">
        <v>43712.98</v>
      </c>
      <c r="D1694">
        <v>1213520.02</v>
      </c>
      <c r="E1694">
        <v>777.1</v>
      </c>
      <c r="F1694">
        <v>153.38</v>
      </c>
      <c r="G1694">
        <v>116.5</v>
      </c>
      <c r="H1694">
        <v>25.776997000000001</v>
      </c>
      <c r="J1694">
        <v>4.82</v>
      </c>
      <c r="K1694">
        <v>347</v>
      </c>
      <c r="L1694">
        <v>100</v>
      </c>
      <c r="M1694">
        <v>100</v>
      </c>
      <c r="N1694">
        <v>5.7331570000000003</v>
      </c>
      <c r="P1694">
        <v>2.3809523999999999E-2</v>
      </c>
      <c r="Q1694">
        <v>48760.078950000003</v>
      </c>
      <c r="R1694">
        <v>4.03</v>
      </c>
      <c r="S1694">
        <v>377944</v>
      </c>
      <c r="T1694">
        <v>36.204824000000002</v>
      </c>
      <c r="U1694">
        <v>138.25292400000001</v>
      </c>
    </row>
    <row r="1695" spans="1:21">
      <c r="A1695" t="s">
        <v>102</v>
      </c>
      <c r="B1695">
        <v>2012</v>
      </c>
      <c r="C1695">
        <v>43428.843999999997</v>
      </c>
      <c r="D1695">
        <v>1253609.9850000001</v>
      </c>
      <c r="E1695">
        <v>920.39</v>
      </c>
      <c r="F1695">
        <v>15.12</v>
      </c>
      <c r="G1695">
        <v>111.09</v>
      </c>
      <c r="H1695">
        <v>12.059049</v>
      </c>
      <c r="J1695">
        <v>4.68</v>
      </c>
      <c r="K1695">
        <v>347</v>
      </c>
      <c r="L1695">
        <v>100</v>
      </c>
      <c r="M1695">
        <v>100</v>
      </c>
      <c r="N1695">
        <v>5.6502046999999997</v>
      </c>
      <c r="P1695">
        <v>1.374750999</v>
      </c>
      <c r="Q1695">
        <v>49145.280429999999</v>
      </c>
      <c r="R1695">
        <v>3.89</v>
      </c>
      <c r="S1695">
        <v>377944</v>
      </c>
      <c r="T1695">
        <v>36.204824000000002</v>
      </c>
      <c r="U1695">
        <v>138.25292400000001</v>
      </c>
    </row>
    <row r="1696" spans="1:21">
      <c r="A1696" t="s">
        <v>102</v>
      </c>
      <c r="B1696">
        <v>2013</v>
      </c>
      <c r="C1696">
        <v>43171.46</v>
      </c>
      <c r="D1696">
        <v>1262780.0290000001</v>
      </c>
      <c r="E1696">
        <v>897.88</v>
      </c>
      <c r="F1696">
        <v>10.43</v>
      </c>
      <c r="G1696">
        <v>121.48</v>
      </c>
      <c r="H1696">
        <v>12.809407</v>
      </c>
      <c r="J1696">
        <v>5.05</v>
      </c>
      <c r="K1696">
        <v>347</v>
      </c>
      <c r="L1696">
        <v>100</v>
      </c>
      <c r="M1696">
        <v>100</v>
      </c>
      <c r="N1696">
        <v>6.1299676999999999</v>
      </c>
      <c r="P1696">
        <v>2.0051001770000001</v>
      </c>
      <c r="Q1696">
        <v>40898.647900000004</v>
      </c>
      <c r="R1696">
        <v>3.82</v>
      </c>
      <c r="S1696">
        <v>377944</v>
      </c>
      <c r="T1696">
        <v>36.204824000000002</v>
      </c>
      <c r="U1696">
        <v>138.25292400000001</v>
      </c>
    </row>
    <row r="1697" spans="1:21">
      <c r="A1697" t="s">
        <v>102</v>
      </c>
      <c r="B1697">
        <v>2014</v>
      </c>
      <c r="C1697">
        <v>42146.167999999998</v>
      </c>
      <c r="D1697">
        <v>1217119.9950000001</v>
      </c>
      <c r="E1697">
        <v>892.18</v>
      </c>
      <c r="F1697">
        <v>0</v>
      </c>
      <c r="G1697">
        <v>136.53</v>
      </c>
      <c r="H1697">
        <v>13.271962</v>
      </c>
      <c r="J1697">
        <v>5.58</v>
      </c>
      <c r="K1697">
        <v>347</v>
      </c>
      <c r="L1697">
        <v>100</v>
      </c>
      <c r="M1697">
        <v>100</v>
      </c>
      <c r="N1697">
        <v>6.9359174000000001</v>
      </c>
      <c r="P1697">
        <v>0.296205514</v>
      </c>
      <c r="Q1697">
        <v>38475.395250000001</v>
      </c>
      <c r="R1697">
        <v>3.69</v>
      </c>
      <c r="S1697">
        <v>377944</v>
      </c>
      <c r="T1697">
        <v>36.204824000000002</v>
      </c>
      <c r="U1697">
        <v>138.25292400000001</v>
      </c>
    </row>
    <row r="1698" spans="1:21">
      <c r="A1698" t="s">
        <v>102</v>
      </c>
      <c r="B1698">
        <v>2015</v>
      </c>
      <c r="C1698">
        <v>41622.67</v>
      </c>
      <c r="D1698">
        <v>1179439.9410000001</v>
      </c>
      <c r="E1698">
        <v>844.23</v>
      </c>
      <c r="F1698">
        <v>3.24</v>
      </c>
      <c r="G1698">
        <v>157.34</v>
      </c>
      <c r="H1698">
        <v>15.981131</v>
      </c>
      <c r="J1698">
        <v>6.16</v>
      </c>
      <c r="K1698">
        <v>347</v>
      </c>
      <c r="L1698">
        <v>100</v>
      </c>
      <c r="M1698">
        <v>100</v>
      </c>
      <c r="N1698">
        <v>8.068797</v>
      </c>
      <c r="P1698">
        <v>1.560626697</v>
      </c>
      <c r="Q1698">
        <v>34960.639380000001</v>
      </c>
      <c r="R1698">
        <v>3.59</v>
      </c>
      <c r="S1698">
        <v>377944</v>
      </c>
      <c r="T1698">
        <v>36.204824000000002</v>
      </c>
      <c r="U1698">
        <v>138.25292400000001</v>
      </c>
    </row>
    <row r="1699" spans="1:21">
      <c r="A1699" t="s">
        <v>102</v>
      </c>
      <c r="B1699">
        <v>2016</v>
      </c>
      <c r="C1699">
        <v>41172.285000000003</v>
      </c>
      <c r="D1699">
        <v>1167790.0390000001</v>
      </c>
      <c r="E1699">
        <v>832.4</v>
      </c>
      <c r="F1699">
        <v>14.87</v>
      </c>
      <c r="G1699">
        <v>157.69999999999999</v>
      </c>
      <c r="H1699">
        <v>17.171658000000001</v>
      </c>
      <c r="J1699">
        <v>6.39</v>
      </c>
      <c r="K1699">
        <v>347</v>
      </c>
      <c r="L1699">
        <v>100</v>
      </c>
      <c r="M1699">
        <v>100</v>
      </c>
      <c r="N1699">
        <v>7.9758605999999999</v>
      </c>
      <c r="P1699">
        <v>0.75382674599999999</v>
      </c>
      <c r="Q1699">
        <v>39400.73936</v>
      </c>
      <c r="R1699">
        <v>3.54</v>
      </c>
      <c r="S1699">
        <v>377944</v>
      </c>
      <c r="T1699">
        <v>36.204824000000002</v>
      </c>
      <c r="U1699">
        <v>138.25292400000001</v>
      </c>
    </row>
    <row r="1700" spans="1:21">
      <c r="A1700" t="s">
        <v>102</v>
      </c>
      <c r="B1700">
        <v>2017</v>
      </c>
      <c r="C1700">
        <v>41783.035000000003</v>
      </c>
      <c r="D1700">
        <v>1155229.98</v>
      </c>
      <c r="E1700">
        <v>806.12</v>
      </c>
      <c r="F1700">
        <v>27.75</v>
      </c>
      <c r="G1700">
        <v>175.12</v>
      </c>
      <c r="H1700">
        <v>20.106245000000001</v>
      </c>
      <c r="J1700">
        <v>6.92</v>
      </c>
      <c r="K1700">
        <v>347</v>
      </c>
      <c r="L1700">
        <v>100</v>
      </c>
      <c r="M1700">
        <v>100</v>
      </c>
      <c r="N1700">
        <v>8.6340039999999991</v>
      </c>
      <c r="P1700">
        <v>1.675331752</v>
      </c>
      <c r="Q1700">
        <v>38891.08627</v>
      </c>
      <c r="R1700">
        <v>3.5</v>
      </c>
      <c r="S1700">
        <v>377944</v>
      </c>
      <c r="T1700">
        <v>36.204824000000002</v>
      </c>
      <c r="U1700">
        <v>138.25292400000001</v>
      </c>
    </row>
    <row r="1701" spans="1:21">
      <c r="A1701" t="s">
        <v>102</v>
      </c>
      <c r="B1701">
        <v>2018</v>
      </c>
      <c r="C1701">
        <v>41694.160000000003</v>
      </c>
      <c r="D1701">
        <v>1116150.024</v>
      </c>
      <c r="E1701">
        <v>780.61</v>
      </c>
      <c r="F1701">
        <v>47.82</v>
      </c>
      <c r="G1701">
        <v>183.63</v>
      </c>
      <c r="H1701">
        <v>22.869198000000001</v>
      </c>
      <c r="J1701">
        <v>7.22</v>
      </c>
      <c r="K1701">
        <v>347</v>
      </c>
      <c r="L1701">
        <v>100</v>
      </c>
      <c r="M1701">
        <v>100</v>
      </c>
      <c r="N1701">
        <v>9.3223050000000001</v>
      </c>
      <c r="P1701">
        <v>0.55885127499999998</v>
      </c>
      <c r="Q1701">
        <v>39808.168559999998</v>
      </c>
      <c r="R1701">
        <v>3.45</v>
      </c>
      <c r="S1701">
        <v>377944</v>
      </c>
      <c r="T1701">
        <v>36.204824000000002</v>
      </c>
      <c r="U1701">
        <v>138.25292400000001</v>
      </c>
    </row>
    <row r="1702" spans="1:21">
      <c r="A1702" t="s">
        <v>102</v>
      </c>
      <c r="B1702">
        <v>2019</v>
      </c>
      <c r="C1702">
        <v>40868.688000000002</v>
      </c>
      <c r="D1702">
        <v>1081569.946</v>
      </c>
      <c r="E1702">
        <v>735.66</v>
      </c>
      <c r="F1702">
        <v>63.88</v>
      </c>
      <c r="G1702">
        <v>192.72</v>
      </c>
      <c r="H1702">
        <v>25.860157000000001</v>
      </c>
      <c r="J1702">
        <v>7.69</v>
      </c>
      <c r="K1702">
        <v>347</v>
      </c>
      <c r="L1702">
        <v>100</v>
      </c>
      <c r="M1702">
        <v>100</v>
      </c>
      <c r="N1702">
        <v>9.5659270000000003</v>
      </c>
      <c r="P1702">
        <v>0.27030464500000001</v>
      </c>
      <c r="Q1702">
        <v>40777.608699999997</v>
      </c>
      <c r="R1702">
        <v>3.33</v>
      </c>
      <c r="S1702">
        <v>377944</v>
      </c>
      <c r="T1702">
        <v>36.204824000000002</v>
      </c>
      <c r="U1702">
        <v>138.25292400000001</v>
      </c>
    </row>
    <row r="1703" spans="1:21">
      <c r="A1703" t="s">
        <v>102</v>
      </c>
      <c r="B1703">
        <v>2020</v>
      </c>
      <c r="C1703">
        <v>38029.269999999997</v>
      </c>
      <c r="E1703">
        <v>716.67</v>
      </c>
      <c r="F1703">
        <v>41.86</v>
      </c>
      <c r="G1703">
        <v>205.6</v>
      </c>
      <c r="H1703">
        <v>25.666661999999999</v>
      </c>
      <c r="K1703">
        <v>347</v>
      </c>
      <c r="L1703">
        <v>100</v>
      </c>
      <c r="M1703">
        <v>100</v>
      </c>
      <c r="N1703">
        <v>11.155339</v>
      </c>
      <c r="P1703">
        <v>-4.5855082810000001</v>
      </c>
      <c r="Q1703">
        <v>40193.252439999997</v>
      </c>
      <c r="S1703">
        <v>377944</v>
      </c>
      <c r="T1703">
        <v>36.204824000000002</v>
      </c>
      <c r="U1703">
        <v>138.25292400000001</v>
      </c>
    </row>
    <row r="1704" spans="1:21">
      <c r="A1704" t="s">
        <v>103</v>
      </c>
      <c r="B1704">
        <v>2000</v>
      </c>
      <c r="C1704">
        <v>13120.57</v>
      </c>
      <c r="D1704">
        <v>16270</v>
      </c>
      <c r="E1704">
        <v>6.89</v>
      </c>
      <c r="F1704">
        <v>0</v>
      </c>
      <c r="G1704">
        <v>0.05</v>
      </c>
      <c r="H1704">
        <v>0.72046109999999997</v>
      </c>
      <c r="I1704">
        <v>2.81</v>
      </c>
      <c r="J1704">
        <v>2.09</v>
      </c>
      <c r="K1704">
        <v>115</v>
      </c>
      <c r="L1704">
        <v>98.934269999999998</v>
      </c>
      <c r="M1704">
        <v>99.6</v>
      </c>
      <c r="P1704">
        <v>4.2457123440000002</v>
      </c>
      <c r="Q1704">
        <v>1651.6217979999999</v>
      </c>
      <c r="R1704">
        <v>4.55</v>
      </c>
      <c r="S1704">
        <v>89342</v>
      </c>
      <c r="T1704">
        <v>30.585163999999999</v>
      </c>
      <c r="U1704">
        <v>36.238413999999999</v>
      </c>
    </row>
    <row r="1705" spans="1:21">
      <c r="A1705" t="s">
        <v>103</v>
      </c>
      <c r="B1705">
        <v>2001</v>
      </c>
      <c r="C1705">
        <v>12340.564</v>
      </c>
      <c r="D1705">
        <v>16250</v>
      </c>
      <c r="E1705">
        <v>7.04</v>
      </c>
      <c r="F1705">
        <v>0</v>
      </c>
      <c r="G1705">
        <v>0.05</v>
      </c>
      <c r="H1705">
        <v>0.70521860000000003</v>
      </c>
      <c r="I1705">
        <v>2.76</v>
      </c>
      <c r="J1705">
        <v>2.12</v>
      </c>
      <c r="K1705">
        <v>115</v>
      </c>
      <c r="L1705">
        <v>98.978065000000001</v>
      </c>
      <c r="M1705">
        <v>99.7</v>
      </c>
      <c r="P1705">
        <v>5.2699573769999999</v>
      </c>
      <c r="Q1705">
        <v>1720.361427</v>
      </c>
      <c r="R1705">
        <v>4.28</v>
      </c>
      <c r="S1705">
        <v>89342</v>
      </c>
      <c r="T1705">
        <v>30.585163999999999</v>
      </c>
      <c r="U1705">
        <v>36.238413999999999</v>
      </c>
    </row>
    <row r="1706" spans="1:21">
      <c r="A1706" t="s">
        <v>103</v>
      </c>
      <c r="B1706">
        <v>2002</v>
      </c>
      <c r="C1706">
        <v>12667.007</v>
      </c>
      <c r="D1706">
        <v>16870.000840000001</v>
      </c>
      <c r="E1706">
        <v>7.59</v>
      </c>
      <c r="F1706">
        <v>0</v>
      </c>
      <c r="G1706">
        <v>0.06</v>
      </c>
      <c r="H1706">
        <v>0.78431373999999998</v>
      </c>
      <c r="I1706">
        <v>2.71</v>
      </c>
      <c r="J1706">
        <v>2.09</v>
      </c>
      <c r="K1706">
        <v>115</v>
      </c>
      <c r="L1706">
        <v>99.5</v>
      </c>
      <c r="M1706">
        <v>99.8</v>
      </c>
      <c r="O1706">
        <v>30000</v>
      </c>
      <c r="P1706">
        <v>5.7838081130000001</v>
      </c>
      <c r="Q1706">
        <v>1802.0550639999999</v>
      </c>
      <c r="R1706">
        <v>4.25</v>
      </c>
      <c r="S1706">
        <v>89342</v>
      </c>
      <c r="T1706">
        <v>30.585163999999999</v>
      </c>
      <c r="U1706">
        <v>36.238413999999999</v>
      </c>
    </row>
    <row r="1707" spans="1:21">
      <c r="A1707" t="s">
        <v>103</v>
      </c>
      <c r="B1707">
        <v>2003</v>
      </c>
      <c r="C1707">
        <v>13522.985000000001</v>
      </c>
      <c r="D1707">
        <v>17309.999469999999</v>
      </c>
      <c r="E1707">
        <v>7.47</v>
      </c>
      <c r="F1707">
        <v>0</v>
      </c>
      <c r="G1707">
        <v>0.05</v>
      </c>
      <c r="H1707">
        <v>0.66489359999999997</v>
      </c>
      <c r="I1707">
        <v>2.65</v>
      </c>
      <c r="J1707">
        <v>1.98</v>
      </c>
      <c r="K1707">
        <v>115</v>
      </c>
      <c r="L1707">
        <v>99.045249999999996</v>
      </c>
      <c r="M1707">
        <v>99.8</v>
      </c>
      <c r="O1707">
        <v>250000</v>
      </c>
      <c r="P1707">
        <v>4.1616669990000004</v>
      </c>
      <c r="Q1707">
        <v>1876.2593380000001</v>
      </c>
      <c r="R1707">
        <v>4.17</v>
      </c>
      <c r="S1707">
        <v>89342</v>
      </c>
      <c r="T1707">
        <v>30.585163999999999</v>
      </c>
      <c r="U1707">
        <v>36.238413999999999</v>
      </c>
    </row>
    <row r="1708" spans="1:21">
      <c r="A1708" t="s">
        <v>103</v>
      </c>
      <c r="B1708">
        <v>2004</v>
      </c>
      <c r="C1708">
        <v>14329.477999999999</v>
      </c>
      <c r="D1708">
        <v>18579.999919999998</v>
      </c>
      <c r="E1708">
        <v>8.3699999999999992</v>
      </c>
      <c r="F1708">
        <v>0</v>
      </c>
      <c r="G1708">
        <v>0.06</v>
      </c>
      <c r="H1708">
        <v>0.71174380000000004</v>
      </c>
      <c r="I1708">
        <v>2.58</v>
      </c>
      <c r="J1708">
        <v>1.83</v>
      </c>
      <c r="K1708">
        <v>115</v>
      </c>
      <c r="L1708">
        <v>99.173439999999999</v>
      </c>
      <c r="M1708">
        <v>99.8</v>
      </c>
      <c r="P1708">
        <v>8.5672147980000002</v>
      </c>
      <c r="Q1708">
        <v>2044.9637230000001</v>
      </c>
      <c r="R1708">
        <v>4.62</v>
      </c>
      <c r="S1708">
        <v>89342</v>
      </c>
      <c r="T1708">
        <v>30.585163999999999</v>
      </c>
      <c r="U1708">
        <v>36.238413999999999</v>
      </c>
    </row>
    <row r="1709" spans="1:21">
      <c r="A1709" t="s">
        <v>103</v>
      </c>
      <c r="B1709">
        <v>2005</v>
      </c>
      <c r="C1709">
        <v>15157.3</v>
      </c>
      <c r="D1709">
        <v>19870.000840000001</v>
      </c>
      <c r="E1709">
        <v>9.01</v>
      </c>
      <c r="F1709">
        <v>0</v>
      </c>
      <c r="G1709">
        <v>7.0000000000000007E-2</v>
      </c>
      <c r="H1709">
        <v>0.77092510000000003</v>
      </c>
      <c r="I1709">
        <v>2.5</v>
      </c>
      <c r="J1709">
        <v>1.69</v>
      </c>
      <c r="K1709">
        <v>115</v>
      </c>
      <c r="L1709">
        <v>99.100890000000007</v>
      </c>
      <c r="M1709">
        <v>99.8</v>
      </c>
      <c r="O1709">
        <v>20000</v>
      </c>
      <c r="P1709">
        <v>8.1465948909999994</v>
      </c>
      <c r="Q1709">
        <v>2183.3946430000001</v>
      </c>
      <c r="R1709">
        <v>4.58</v>
      </c>
      <c r="S1709">
        <v>89342</v>
      </c>
      <c r="T1709">
        <v>30.585163999999999</v>
      </c>
      <c r="U1709">
        <v>36.238413999999999</v>
      </c>
    </row>
    <row r="1710" spans="1:21">
      <c r="A1710" t="s">
        <v>103</v>
      </c>
      <c r="B1710">
        <v>2006</v>
      </c>
      <c r="C1710">
        <v>14647.870999999999</v>
      </c>
      <c r="D1710">
        <v>20170.000080000002</v>
      </c>
      <c r="E1710">
        <v>10.38</v>
      </c>
      <c r="F1710">
        <v>0</v>
      </c>
      <c r="G1710">
        <v>7.0000000000000007E-2</v>
      </c>
      <c r="H1710">
        <v>0.66985649999999997</v>
      </c>
      <c r="I1710">
        <v>2.82</v>
      </c>
      <c r="J1710">
        <v>2.2799999999999998</v>
      </c>
      <c r="K1710">
        <v>115</v>
      </c>
      <c r="L1710">
        <v>100</v>
      </c>
      <c r="M1710">
        <v>99.9</v>
      </c>
      <c r="P1710">
        <v>8.0929749439999998</v>
      </c>
      <c r="Q1710">
        <v>2513.0287320000002</v>
      </c>
      <c r="R1710">
        <v>4.3499999999999996</v>
      </c>
      <c r="S1710">
        <v>89342</v>
      </c>
      <c r="T1710">
        <v>30.585163999999999</v>
      </c>
      <c r="U1710">
        <v>36.238413999999999</v>
      </c>
    </row>
    <row r="1711" spans="1:21">
      <c r="A1711" t="s">
        <v>103</v>
      </c>
      <c r="B1711">
        <v>2007</v>
      </c>
      <c r="C1711">
        <v>13221.179</v>
      </c>
      <c r="D1711">
        <v>21090.00015</v>
      </c>
      <c r="E1711">
        <v>12.14</v>
      </c>
      <c r="F1711">
        <v>0</v>
      </c>
      <c r="G1711">
        <v>0.09</v>
      </c>
      <c r="H1711">
        <v>0.73589539999999998</v>
      </c>
      <c r="I1711">
        <v>2.7</v>
      </c>
      <c r="J1711">
        <v>2.3199999999999998</v>
      </c>
      <c r="K1711">
        <v>115</v>
      </c>
      <c r="L1711">
        <v>98.8</v>
      </c>
      <c r="M1711">
        <v>99.9</v>
      </c>
      <c r="O1711">
        <v>190000</v>
      </c>
      <c r="P1711">
        <v>8.1761703509999997</v>
      </c>
      <c r="Q1711">
        <v>2735.3787670000002</v>
      </c>
      <c r="R1711">
        <v>4.2300000000000004</v>
      </c>
      <c r="S1711">
        <v>89342</v>
      </c>
      <c r="T1711">
        <v>30.585163999999999</v>
      </c>
      <c r="U1711">
        <v>36.238413999999999</v>
      </c>
    </row>
    <row r="1712" spans="1:21">
      <c r="A1712" t="s">
        <v>103</v>
      </c>
      <c r="B1712">
        <v>2008</v>
      </c>
      <c r="C1712">
        <v>12430.374</v>
      </c>
      <c r="D1712">
        <v>20010.000230000001</v>
      </c>
      <c r="E1712">
        <v>12.92</v>
      </c>
      <c r="F1712">
        <v>0</v>
      </c>
      <c r="G1712">
        <v>0.09</v>
      </c>
      <c r="H1712">
        <v>0.69177555999999996</v>
      </c>
      <c r="I1712">
        <v>2.58</v>
      </c>
      <c r="J1712">
        <v>2.74</v>
      </c>
      <c r="K1712">
        <v>115</v>
      </c>
      <c r="L1712">
        <v>100</v>
      </c>
      <c r="M1712">
        <v>99.9</v>
      </c>
      <c r="O1712">
        <v>80000</v>
      </c>
      <c r="P1712">
        <v>7.2323189640000001</v>
      </c>
      <c r="Q1712">
        <v>3455.769953</v>
      </c>
      <c r="R1712">
        <v>3.87</v>
      </c>
      <c r="S1712">
        <v>89342</v>
      </c>
      <c r="T1712">
        <v>30.585163999999999</v>
      </c>
      <c r="U1712">
        <v>36.238413999999999</v>
      </c>
    </row>
    <row r="1713" spans="1:21">
      <c r="A1713" t="s">
        <v>103</v>
      </c>
      <c r="B1713">
        <v>2009</v>
      </c>
      <c r="C1713">
        <v>12645.594999999999</v>
      </c>
      <c r="D1713">
        <v>20659.99985</v>
      </c>
      <c r="E1713">
        <v>13.33</v>
      </c>
      <c r="F1713">
        <v>0</v>
      </c>
      <c r="G1713">
        <v>0.08</v>
      </c>
      <c r="H1713">
        <v>0.59656969999999998</v>
      </c>
      <c r="I1713">
        <v>2.4500000000000002</v>
      </c>
      <c r="J1713">
        <v>2.78</v>
      </c>
      <c r="K1713">
        <v>115</v>
      </c>
      <c r="L1713">
        <v>99.4</v>
      </c>
      <c r="M1713">
        <v>99.9</v>
      </c>
      <c r="O1713">
        <v>14160000</v>
      </c>
      <c r="P1713">
        <v>5.0237100730000002</v>
      </c>
      <c r="Q1713">
        <v>3559.692102</v>
      </c>
      <c r="R1713">
        <v>3.89</v>
      </c>
      <c r="S1713">
        <v>89342</v>
      </c>
      <c r="T1713">
        <v>30.585163999999999</v>
      </c>
      <c r="U1713">
        <v>36.238413999999999</v>
      </c>
    </row>
    <row r="1714" spans="1:21">
      <c r="A1714" t="s">
        <v>103</v>
      </c>
      <c r="B1714">
        <v>2010</v>
      </c>
      <c r="C1714">
        <v>12875.821</v>
      </c>
      <c r="D1714">
        <v>20200.000759999999</v>
      </c>
      <c r="E1714">
        <v>13.81</v>
      </c>
      <c r="F1714">
        <v>0</v>
      </c>
      <c r="G1714">
        <v>0.08</v>
      </c>
      <c r="H1714">
        <v>0.57595390000000002</v>
      </c>
      <c r="I1714">
        <v>2.33</v>
      </c>
      <c r="J1714">
        <v>2.95</v>
      </c>
      <c r="K1714">
        <v>115</v>
      </c>
      <c r="L1714">
        <v>100</v>
      </c>
      <c r="M1714">
        <v>99.9</v>
      </c>
      <c r="O1714">
        <v>6880000</v>
      </c>
      <c r="P1714">
        <v>2.3148342209999999</v>
      </c>
      <c r="Q1714">
        <v>3736.645462</v>
      </c>
      <c r="R1714">
        <v>3.62</v>
      </c>
      <c r="S1714">
        <v>89342</v>
      </c>
      <c r="T1714">
        <v>30.585163999999999</v>
      </c>
      <c r="U1714">
        <v>36.238413999999999</v>
      </c>
    </row>
    <row r="1715" spans="1:21">
      <c r="A1715" t="s">
        <v>103</v>
      </c>
      <c r="B1715">
        <v>2011</v>
      </c>
      <c r="C1715">
        <v>13144.025</v>
      </c>
      <c r="D1715">
        <v>20760.000230000001</v>
      </c>
      <c r="E1715">
        <v>13.7</v>
      </c>
      <c r="F1715">
        <v>0</v>
      </c>
      <c r="G1715">
        <v>7.0000000000000007E-2</v>
      </c>
      <c r="H1715">
        <v>0.50835145000000004</v>
      </c>
      <c r="I1715">
        <v>2.21</v>
      </c>
      <c r="J1715">
        <v>3</v>
      </c>
      <c r="K1715">
        <v>115</v>
      </c>
      <c r="L1715">
        <v>99.651566000000003</v>
      </c>
      <c r="M1715">
        <v>99.9</v>
      </c>
      <c r="O1715">
        <v>46930000</v>
      </c>
      <c r="P1715">
        <v>2.7371798859999998</v>
      </c>
      <c r="Q1715">
        <v>3852.8900250000002</v>
      </c>
      <c r="R1715">
        <v>3.5</v>
      </c>
      <c r="S1715">
        <v>89342</v>
      </c>
      <c r="T1715">
        <v>30.585163999999999</v>
      </c>
      <c r="U1715">
        <v>36.238413999999999</v>
      </c>
    </row>
    <row r="1716" spans="1:21">
      <c r="A1716" t="s">
        <v>103</v>
      </c>
      <c r="B1716">
        <v>2012</v>
      </c>
      <c r="C1716">
        <v>13750.912</v>
      </c>
      <c r="D1716">
        <v>24120.000840000001</v>
      </c>
      <c r="E1716">
        <v>15.52</v>
      </c>
      <c r="F1716">
        <v>0</v>
      </c>
      <c r="G1716">
        <v>0.08</v>
      </c>
      <c r="H1716">
        <v>0.51282050000000001</v>
      </c>
      <c r="I1716">
        <v>2.1</v>
      </c>
      <c r="J1716">
        <v>2.91</v>
      </c>
      <c r="K1716">
        <v>115</v>
      </c>
      <c r="L1716">
        <v>99.5</v>
      </c>
      <c r="M1716">
        <v>99.9</v>
      </c>
      <c r="O1716">
        <v>10000</v>
      </c>
      <c r="P1716">
        <v>2.4293580010000002</v>
      </c>
      <c r="Q1716">
        <v>3910.3468939999998</v>
      </c>
      <c r="R1716">
        <v>3.8</v>
      </c>
      <c r="S1716">
        <v>89342</v>
      </c>
      <c r="T1716">
        <v>30.585163999999999</v>
      </c>
      <c r="U1716">
        <v>36.238413999999999</v>
      </c>
    </row>
    <row r="1717" spans="1:21">
      <c r="A1717" t="s">
        <v>103</v>
      </c>
      <c r="B1717">
        <v>2013</v>
      </c>
      <c r="C1717">
        <v>12796.636</v>
      </c>
      <c r="D1717">
        <v>23799.999240000001</v>
      </c>
      <c r="E1717">
        <v>16.149999999999999</v>
      </c>
      <c r="F1717">
        <v>0</v>
      </c>
      <c r="G1717">
        <v>7.0000000000000007E-2</v>
      </c>
      <c r="H1717">
        <v>0.43156600000000001</v>
      </c>
      <c r="I1717">
        <v>2</v>
      </c>
      <c r="J1717">
        <v>3.12</v>
      </c>
      <c r="K1717">
        <v>115</v>
      </c>
      <c r="L1717">
        <v>99.701440000000005</v>
      </c>
      <c r="M1717">
        <v>99.9</v>
      </c>
      <c r="O1717">
        <v>212100000</v>
      </c>
      <c r="P1717">
        <v>2.609947375</v>
      </c>
      <c r="Q1717">
        <v>4044.4268689999999</v>
      </c>
      <c r="R1717">
        <v>3.65</v>
      </c>
      <c r="S1717">
        <v>89342</v>
      </c>
      <c r="T1717">
        <v>30.585163999999999</v>
      </c>
      <c r="U1717">
        <v>36.238413999999999</v>
      </c>
    </row>
    <row r="1718" spans="1:21">
      <c r="A1718" t="s">
        <v>103</v>
      </c>
      <c r="B1718">
        <v>2014</v>
      </c>
      <c r="C1718">
        <v>11669.371999999999</v>
      </c>
      <c r="D1718">
        <v>25549.999240000001</v>
      </c>
      <c r="E1718">
        <v>17.100000000000001</v>
      </c>
      <c r="F1718">
        <v>0</v>
      </c>
      <c r="G1718">
        <v>0.08</v>
      </c>
      <c r="H1718">
        <v>0.46565773999999999</v>
      </c>
      <c r="I1718">
        <v>1.92</v>
      </c>
      <c r="J1718">
        <v>3.1</v>
      </c>
      <c r="K1718">
        <v>115</v>
      </c>
      <c r="L1718">
        <v>99.748500000000007</v>
      </c>
      <c r="M1718">
        <v>99.9</v>
      </c>
      <c r="O1718">
        <v>156210000</v>
      </c>
      <c r="P1718">
        <v>3.3840780989999999</v>
      </c>
      <c r="Q1718">
        <v>4131.4473500000004</v>
      </c>
      <c r="R1718">
        <v>3.73</v>
      </c>
      <c r="S1718">
        <v>89342</v>
      </c>
      <c r="T1718">
        <v>30.585163999999999</v>
      </c>
      <c r="U1718">
        <v>36.238413999999999</v>
      </c>
    </row>
    <row r="1719" spans="1:21">
      <c r="A1719" t="s">
        <v>103</v>
      </c>
      <c r="B1719">
        <v>2015</v>
      </c>
      <c r="C1719">
        <v>11497.137000000001</v>
      </c>
      <c r="D1719">
        <v>25309.999469999999</v>
      </c>
      <c r="E1719">
        <v>17.63</v>
      </c>
      <c r="F1719">
        <v>0</v>
      </c>
      <c r="G1719">
        <v>0.28999999999999998</v>
      </c>
      <c r="H1719">
        <v>1.6183034999999999</v>
      </c>
      <c r="I1719">
        <v>16.53</v>
      </c>
      <c r="J1719">
        <v>3.19</v>
      </c>
      <c r="K1719">
        <v>115</v>
      </c>
      <c r="L1719">
        <v>99.898169999999993</v>
      </c>
      <c r="M1719">
        <v>99.9</v>
      </c>
      <c r="O1719">
        <v>252190000</v>
      </c>
      <c r="P1719">
        <v>2.496528793</v>
      </c>
      <c r="Q1719">
        <v>4164.1087690000004</v>
      </c>
      <c r="R1719">
        <v>3.84</v>
      </c>
      <c r="S1719">
        <v>89342</v>
      </c>
      <c r="T1719">
        <v>30.585163999999999</v>
      </c>
      <c r="U1719">
        <v>36.238413999999999</v>
      </c>
    </row>
    <row r="1720" spans="1:21">
      <c r="A1720" t="s">
        <v>103</v>
      </c>
      <c r="B1720">
        <v>2016</v>
      </c>
      <c r="C1720">
        <v>11675.888999999999</v>
      </c>
      <c r="D1720">
        <v>24819.999690000001</v>
      </c>
      <c r="E1720">
        <v>17.61</v>
      </c>
      <c r="F1720">
        <v>0</v>
      </c>
      <c r="G1720">
        <v>0.93</v>
      </c>
      <c r="H1720">
        <v>5.0161809999999996</v>
      </c>
      <c r="I1720">
        <v>54.81</v>
      </c>
      <c r="J1720">
        <v>4.67</v>
      </c>
      <c r="K1720">
        <v>115</v>
      </c>
      <c r="L1720">
        <v>99.958824000000007</v>
      </c>
      <c r="M1720">
        <v>99.9</v>
      </c>
      <c r="O1720">
        <v>509070000</v>
      </c>
      <c r="P1720">
        <v>1.9941808489999999</v>
      </c>
      <c r="Q1720">
        <v>4175.3566019999998</v>
      </c>
      <c r="R1720">
        <v>3.88</v>
      </c>
      <c r="S1720">
        <v>89342</v>
      </c>
      <c r="T1720">
        <v>30.585163999999999</v>
      </c>
      <c r="U1720">
        <v>36.238413999999999</v>
      </c>
    </row>
    <row r="1721" spans="1:21">
      <c r="A1721" t="s">
        <v>103</v>
      </c>
      <c r="B1721">
        <v>2017</v>
      </c>
      <c r="C1721">
        <v>11783.324000000001</v>
      </c>
      <c r="D1721">
        <v>26149.999619999999</v>
      </c>
      <c r="E1721">
        <v>18.100000000000001</v>
      </c>
      <c r="F1721">
        <v>0</v>
      </c>
      <c r="G1721">
        <v>1.48</v>
      </c>
      <c r="H1721">
        <v>7.5587334999999998</v>
      </c>
      <c r="I1721">
        <v>64.75</v>
      </c>
      <c r="J1721">
        <v>5.26</v>
      </c>
      <c r="K1721">
        <v>115</v>
      </c>
      <c r="L1721">
        <v>100</v>
      </c>
      <c r="M1721">
        <v>99.9</v>
      </c>
      <c r="O1721">
        <v>436080000</v>
      </c>
      <c r="P1721">
        <v>2.087114551</v>
      </c>
      <c r="Q1721">
        <v>4231.5182800000002</v>
      </c>
      <c r="R1721">
        <v>4.01</v>
      </c>
      <c r="S1721">
        <v>89342</v>
      </c>
      <c r="T1721">
        <v>30.585163999999999</v>
      </c>
      <c r="U1721">
        <v>36.238413999999999</v>
      </c>
    </row>
    <row r="1722" spans="1:21">
      <c r="A1722" t="s">
        <v>103</v>
      </c>
      <c r="B1722">
        <v>2018</v>
      </c>
      <c r="C1722">
        <v>11233.428</v>
      </c>
      <c r="D1722">
        <v>24780.000690000001</v>
      </c>
      <c r="E1722">
        <v>17.04</v>
      </c>
      <c r="F1722">
        <v>0</v>
      </c>
      <c r="G1722">
        <v>2.2200000000000002</v>
      </c>
      <c r="H1722">
        <v>11.526479999999999</v>
      </c>
      <c r="I1722">
        <v>112.25</v>
      </c>
      <c r="J1722">
        <v>7.2</v>
      </c>
      <c r="K1722">
        <v>115</v>
      </c>
      <c r="L1722">
        <v>99.9</v>
      </c>
      <c r="M1722">
        <v>99.9</v>
      </c>
      <c r="O1722">
        <v>89000000</v>
      </c>
      <c r="P1722">
        <v>1.9340917010000001</v>
      </c>
      <c r="Q1722">
        <v>4308.1510740000003</v>
      </c>
      <c r="R1722">
        <v>3.82</v>
      </c>
      <c r="S1722">
        <v>89342</v>
      </c>
      <c r="T1722">
        <v>30.585163999999999</v>
      </c>
      <c r="U1722">
        <v>36.238413999999999</v>
      </c>
    </row>
    <row r="1723" spans="1:21">
      <c r="A1723" t="s">
        <v>103</v>
      </c>
      <c r="B1723">
        <v>2019</v>
      </c>
      <c r="C1723">
        <v>11258.242</v>
      </c>
      <c r="D1723">
        <v>24629.999159999999</v>
      </c>
      <c r="E1723">
        <v>16.41</v>
      </c>
      <c r="F1723">
        <v>0</v>
      </c>
      <c r="G1723">
        <v>3.02</v>
      </c>
      <c r="H1723">
        <v>15.542973999999999</v>
      </c>
      <c r="I1723">
        <v>148.47999999999999</v>
      </c>
      <c r="J1723">
        <v>8.17</v>
      </c>
      <c r="K1723">
        <v>115</v>
      </c>
      <c r="L1723">
        <v>100</v>
      </c>
      <c r="M1723">
        <v>99.9</v>
      </c>
      <c r="O1723">
        <v>73760000</v>
      </c>
      <c r="P1723">
        <v>1.955466358</v>
      </c>
      <c r="Q1723">
        <v>4405.4871089999997</v>
      </c>
      <c r="R1723">
        <v>3.8</v>
      </c>
      <c r="S1723">
        <v>89342</v>
      </c>
      <c r="T1723">
        <v>30.585163999999999</v>
      </c>
      <c r="U1723">
        <v>36.238413999999999</v>
      </c>
    </row>
    <row r="1724" spans="1:21">
      <c r="A1724" t="s">
        <v>103</v>
      </c>
      <c r="B1724">
        <v>2020</v>
      </c>
      <c r="C1724">
        <v>9838.0429999999997</v>
      </c>
      <c r="E1724">
        <v>15.72</v>
      </c>
      <c r="F1724">
        <v>0</v>
      </c>
      <c r="G1724">
        <v>4.32</v>
      </c>
      <c r="H1724">
        <v>21.556887</v>
      </c>
      <c r="I1724">
        <v>186.5</v>
      </c>
      <c r="K1724">
        <v>115</v>
      </c>
      <c r="L1724">
        <v>99.9</v>
      </c>
      <c r="M1724">
        <v>99.9</v>
      </c>
      <c r="P1724">
        <v>-1.551384466</v>
      </c>
      <c r="Q1724">
        <v>4282.7658250000004</v>
      </c>
      <c r="S1724">
        <v>89342</v>
      </c>
      <c r="T1724">
        <v>30.585163999999999</v>
      </c>
      <c r="U1724">
        <v>36.238413999999999</v>
      </c>
    </row>
    <row r="1725" spans="1:21">
      <c r="A1725" t="s">
        <v>104</v>
      </c>
      <c r="B1725">
        <v>2000</v>
      </c>
      <c r="C1725">
        <v>24267.601999999999</v>
      </c>
      <c r="D1725">
        <v>120150</v>
      </c>
      <c r="E1725">
        <v>44.11</v>
      </c>
      <c r="G1725">
        <v>7.53</v>
      </c>
      <c r="H1725">
        <v>14.581719</v>
      </c>
      <c r="I1725">
        <v>151.44999999999999</v>
      </c>
      <c r="J1725">
        <v>2.5</v>
      </c>
      <c r="K1725">
        <v>7</v>
      </c>
      <c r="L1725">
        <v>99.509559999999993</v>
      </c>
      <c r="M1725">
        <v>84.4</v>
      </c>
      <c r="N1725">
        <v>6.0228242999999999</v>
      </c>
      <c r="P1725">
        <v>9.8000000020000009</v>
      </c>
      <c r="Q1725">
        <v>1229.0012469999999</v>
      </c>
      <c r="R1725">
        <v>9.77</v>
      </c>
      <c r="S1725">
        <v>2724900</v>
      </c>
      <c r="T1725">
        <v>48.019573000000001</v>
      </c>
      <c r="U1725">
        <v>66.923683999999994</v>
      </c>
    </row>
    <row r="1726" spans="1:21">
      <c r="A1726" t="s">
        <v>104</v>
      </c>
      <c r="B1726">
        <v>2001</v>
      </c>
      <c r="C1726">
        <v>27235.379000000001</v>
      </c>
      <c r="D1726">
        <v>117440</v>
      </c>
      <c r="E1726">
        <v>47.3</v>
      </c>
      <c r="G1726">
        <v>8.08</v>
      </c>
      <c r="H1726">
        <v>14.590104</v>
      </c>
      <c r="I1726">
        <v>151.57</v>
      </c>
      <c r="J1726">
        <v>2.41</v>
      </c>
      <c r="K1726">
        <v>7</v>
      </c>
      <c r="L1726">
        <v>99.65</v>
      </c>
      <c r="M1726">
        <v>85.7</v>
      </c>
      <c r="N1726">
        <v>5.7042640000000002</v>
      </c>
      <c r="P1726">
        <v>13.5</v>
      </c>
      <c r="Q1726">
        <v>1490.9270899999999</v>
      </c>
      <c r="R1726">
        <v>8.33</v>
      </c>
      <c r="S1726">
        <v>2724900</v>
      </c>
      <c r="T1726">
        <v>48.019573000000001</v>
      </c>
      <c r="U1726">
        <v>66.923683999999994</v>
      </c>
    </row>
    <row r="1727" spans="1:21">
      <c r="A1727" t="s">
        <v>104</v>
      </c>
      <c r="B1727">
        <v>2002</v>
      </c>
      <c r="C1727">
        <v>27638.351999999999</v>
      </c>
      <c r="D1727">
        <v>131059.9976</v>
      </c>
      <c r="E1727">
        <v>49.44</v>
      </c>
      <c r="G1727">
        <v>8.89</v>
      </c>
      <c r="H1727">
        <v>15.240871</v>
      </c>
      <c r="I1727">
        <v>150.91</v>
      </c>
      <c r="J1727">
        <v>2.77</v>
      </c>
      <c r="K1727">
        <v>7</v>
      </c>
      <c r="L1727">
        <v>99.81</v>
      </c>
      <c r="M1727">
        <v>86.5</v>
      </c>
      <c r="N1727">
        <v>6.1204140000000002</v>
      </c>
      <c r="P1727">
        <v>9.8000000000000007</v>
      </c>
      <c r="Q1727">
        <v>1658.0307849999999</v>
      </c>
      <c r="R1727">
        <v>8.73</v>
      </c>
      <c r="S1727">
        <v>2724900</v>
      </c>
      <c r="T1727">
        <v>48.019573000000001</v>
      </c>
      <c r="U1727">
        <v>66.923683999999994</v>
      </c>
    </row>
    <row r="1728" spans="1:21">
      <c r="A1728" t="s">
        <v>104</v>
      </c>
      <c r="B1728">
        <v>2003</v>
      </c>
      <c r="C1728">
        <v>30142.02</v>
      </c>
      <c r="D1728">
        <v>146139.9994</v>
      </c>
      <c r="E1728">
        <v>55.24</v>
      </c>
      <c r="G1728">
        <v>8.6199999999999992</v>
      </c>
      <c r="H1728">
        <v>13.498278000000001</v>
      </c>
      <c r="I1728">
        <v>149.66999999999999</v>
      </c>
      <c r="J1728">
        <v>2.2799999999999998</v>
      </c>
      <c r="K1728">
        <v>7</v>
      </c>
      <c r="L1728">
        <v>99.92</v>
      </c>
      <c r="M1728">
        <v>87.4</v>
      </c>
      <c r="N1728">
        <v>5.3825554999999996</v>
      </c>
      <c r="P1728">
        <v>9.3000000000000007</v>
      </c>
      <c r="Q1728">
        <v>2068.123979</v>
      </c>
      <c r="R1728">
        <v>8.66</v>
      </c>
      <c r="S1728">
        <v>2724900</v>
      </c>
      <c r="T1728">
        <v>48.019573000000001</v>
      </c>
      <c r="U1728">
        <v>66.923683999999994</v>
      </c>
    </row>
    <row r="1729" spans="1:21">
      <c r="A1729" t="s">
        <v>104</v>
      </c>
      <c r="B1729">
        <v>2004</v>
      </c>
      <c r="C1729">
        <v>31813.24</v>
      </c>
      <c r="D1729">
        <v>158029.9988</v>
      </c>
      <c r="E1729">
        <v>58.89</v>
      </c>
      <c r="G1729">
        <v>8.06</v>
      </c>
      <c r="H1729">
        <v>12.0388365</v>
      </c>
      <c r="I1729">
        <v>148.38999999999999</v>
      </c>
      <c r="J1729">
        <v>1.89</v>
      </c>
      <c r="K1729">
        <v>7</v>
      </c>
      <c r="L1729">
        <v>99.96</v>
      </c>
      <c r="M1729">
        <v>87.8</v>
      </c>
      <c r="N1729">
        <v>4.7015760000000002</v>
      </c>
      <c r="P1729">
        <v>9.6000000009999997</v>
      </c>
      <c r="Q1729">
        <v>2874.2884829999998</v>
      </c>
      <c r="R1729">
        <v>9.31</v>
      </c>
      <c r="S1729">
        <v>2724900</v>
      </c>
      <c r="T1729">
        <v>48.019573000000001</v>
      </c>
      <c r="U1729">
        <v>66.923683999999994</v>
      </c>
    </row>
    <row r="1730" spans="1:21">
      <c r="A1730" t="s">
        <v>104</v>
      </c>
      <c r="B1730">
        <v>2005</v>
      </c>
      <c r="C1730">
        <v>32415.734</v>
      </c>
      <c r="D1730">
        <v>169210.0067</v>
      </c>
      <c r="E1730">
        <v>60.06</v>
      </c>
      <c r="G1730">
        <v>7.86</v>
      </c>
      <c r="H1730">
        <v>11.572438</v>
      </c>
      <c r="I1730">
        <v>146.02000000000001</v>
      </c>
      <c r="J1730">
        <v>2.09</v>
      </c>
      <c r="K1730">
        <v>7</v>
      </c>
      <c r="L1730">
        <v>100</v>
      </c>
      <c r="M1730">
        <v>88.7</v>
      </c>
      <c r="N1730">
        <v>4.4324117000000003</v>
      </c>
      <c r="P1730">
        <v>9.6999999989999992</v>
      </c>
      <c r="Q1730">
        <v>3771.278957</v>
      </c>
      <c r="R1730">
        <v>8.51</v>
      </c>
      <c r="S1730">
        <v>2724900</v>
      </c>
      <c r="T1730">
        <v>48.019573000000001</v>
      </c>
      <c r="U1730">
        <v>66.923683999999994</v>
      </c>
    </row>
    <row r="1731" spans="1:21">
      <c r="A1731" t="s">
        <v>104</v>
      </c>
      <c r="B1731">
        <v>2006</v>
      </c>
      <c r="C1731">
        <v>34517.495999999999</v>
      </c>
      <c r="D1731">
        <v>185300.0031</v>
      </c>
      <c r="E1731">
        <v>63.89</v>
      </c>
      <c r="G1731">
        <v>7.77</v>
      </c>
      <c r="H1731">
        <v>10.842869</v>
      </c>
      <c r="I1731">
        <v>144.76</v>
      </c>
      <c r="J1731">
        <v>2.13</v>
      </c>
      <c r="K1731">
        <v>7</v>
      </c>
      <c r="L1731">
        <v>99.766549999999995</v>
      </c>
      <c r="M1731">
        <v>89.3</v>
      </c>
      <c r="N1731">
        <v>4.0470249999999997</v>
      </c>
      <c r="O1731">
        <v>361570000</v>
      </c>
      <c r="P1731">
        <v>10.7</v>
      </c>
      <c r="Q1731">
        <v>5291.5753050000003</v>
      </c>
      <c r="R1731">
        <v>9.15</v>
      </c>
      <c r="S1731">
        <v>2724900</v>
      </c>
      <c r="T1731">
        <v>48.019573000000001</v>
      </c>
      <c r="U1731">
        <v>66.923683999999994</v>
      </c>
    </row>
    <row r="1732" spans="1:21">
      <c r="A1732" t="s">
        <v>104</v>
      </c>
      <c r="B1732">
        <v>2007</v>
      </c>
      <c r="C1732">
        <v>37807.300000000003</v>
      </c>
      <c r="D1732">
        <v>198389.9994</v>
      </c>
      <c r="E1732">
        <v>68.45</v>
      </c>
      <c r="G1732">
        <v>8.17</v>
      </c>
      <c r="H1732">
        <v>10.663012</v>
      </c>
      <c r="I1732">
        <v>143.4</v>
      </c>
      <c r="J1732">
        <v>1.83</v>
      </c>
      <c r="K1732">
        <v>7</v>
      </c>
      <c r="L1732">
        <v>100</v>
      </c>
      <c r="M1732">
        <v>89.9</v>
      </c>
      <c r="N1732">
        <v>3.8181744000000002</v>
      </c>
      <c r="O1732">
        <v>57660000</v>
      </c>
      <c r="P1732">
        <v>8.9</v>
      </c>
      <c r="Q1732">
        <v>6771.4147970000004</v>
      </c>
      <c r="R1732">
        <v>9.16</v>
      </c>
      <c r="S1732">
        <v>2724900</v>
      </c>
      <c r="T1732">
        <v>48.019573000000001</v>
      </c>
      <c r="U1732">
        <v>66.923683999999994</v>
      </c>
    </row>
    <row r="1733" spans="1:21">
      <c r="A1733" t="s">
        <v>104</v>
      </c>
      <c r="B1733">
        <v>2008</v>
      </c>
      <c r="C1733">
        <v>39400.226999999999</v>
      </c>
      <c r="D1733">
        <v>242029.9988</v>
      </c>
      <c r="E1733">
        <v>72.89</v>
      </c>
      <c r="G1733">
        <v>7.46</v>
      </c>
      <c r="H1733">
        <v>9.2843809999999998</v>
      </c>
      <c r="I1733">
        <v>142.74</v>
      </c>
      <c r="J1733">
        <v>1.1499999999999999</v>
      </c>
      <c r="K1733">
        <v>7</v>
      </c>
      <c r="L1733">
        <v>100</v>
      </c>
      <c r="M1733">
        <v>90.55</v>
      </c>
      <c r="N1733">
        <v>3.2849119</v>
      </c>
      <c r="O1733">
        <v>2670000</v>
      </c>
      <c r="P1733">
        <v>3.3</v>
      </c>
      <c r="Q1733">
        <v>8458.0171539999992</v>
      </c>
      <c r="R1733">
        <v>9.3800000000000008</v>
      </c>
      <c r="S1733">
        <v>2724900</v>
      </c>
      <c r="T1733">
        <v>48.019573000000001</v>
      </c>
      <c r="U1733">
        <v>66.923683999999994</v>
      </c>
    </row>
    <row r="1734" spans="1:21">
      <c r="A1734" t="s">
        <v>104</v>
      </c>
      <c r="B1734">
        <v>2009</v>
      </c>
      <c r="C1734">
        <v>34913.5</v>
      </c>
      <c r="D1734">
        <v>213610.0006</v>
      </c>
      <c r="E1734">
        <v>71.849999999999994</v>
      </c>
      <c r="G1734">
        <v>6.88</v>
      </c>
      <c r="H1734">
        <v>8.7387270000000008</v>
      </c>
      <c r="I1734">
        <v>141.26</v>
      </c>
      <c r="J1734">
        <v>1.31</v>
      </c>
      <c r="K1734">
        <v>7</v>
      </c>
      <c r="L1734">
        <v>100</v>
      </c>
      <c r="M1734">
        <v>91.2</v>
      </c>
      <c r="N1734">
        <v>3.3547346999999998</v>
      </c>
      <c r="P1734">
        <v>1.1999999990000001</v>
      </c>
      <c r="Q1734">
        <v>7165.2231750000001</v>
      </c>
      <c r="R1734">
        <v>8.42</v>
      </c>
      <c r="S1734">
        <v>2724900</v>
      </c>
      <c r="T1734">
        <v>48.019573000000001</v>
      </c>
      <c r="U1734">
        <v>66.923683999999994</v>
      </c>
    </row>
    <row r="1735" spans="1:21">
      <c r="A1735" t="s">
        <v>104</v>
      </c>
      <c r="B1735">
        <v>2010</v>
      </c>
      <c r="C1735">
        <v>36949.332000000002</v>
      </c>
      <c r="D1735">
        <v>229699.9969</v>
      </c>
      <c r="E1735">
        <v>74.63</v>
      </c>
      <c r="G1735">
        <v>8.02</v>
      </c>
      <c r="H1735">
        <v>9.7035689999999999</v>
      </c>
      <c r="I1735">
        <v>140.02000000000001</v>
      </c>
      <c r="J1735">
        <v>1.38</v>
      </c>
      <c r="K1735">
        <v>7</v>
      </c>
      <c r="L1735">
        <v>100</v>
      </c>
      <c r="M1735">
        <v>91.7</v>
      </c>
      <c r="N1735">
        <v>3.6240573</v>
      </c>
      <c r="O1735">
        <v>1360000</v>
      </c>
      <c r="P1735">
        <v>7.3</v>
      </c>
      <c r="Q1735">
        <v>9070.4882529999995</v>
      </c>
      <c r="R1735">
        <v>8.5500000000000007</v>
      </c>
      <c r="S1735">
        <v>2724900</v>
      </c>
      <c r="T1735">
        <v>48.019573000000001</v>
      </c>
      <c r="U1735">
        <v>66.923683999999994</v>
      </c>
    </row>
    <row r="1736" spans="1:21">
      <c r="A1736" t="s">
        <v>104</v>
      </c>
      <c r="B1736">
        <v>2011</v>
      </c>
      <c r="C1736">
        <v>41342.99</v>
      </c>
      <c r="D1736">
        <v>245449.9969</v>
      </c>
      <c r="E1736">
        <v>78.7</v>
      </c>
      <c r="G1736">
        <v>7.88</v>
      </c>
      <c r="H1736">
        <v>9.1014090000000003</v>
      </c>
      <c r="I1736">
        <v>138.11000000000001</v>
      </c>
      <c r="J1736">
        <v>1.38</v>
      </c>
      <c r="K1736">
        <v>7</v>
      </c>
      <c r="L1736">
        <v>99.797470000000004</v>
      </c>
      <c r="M1736">
        <v>92.3</v>
      </c>
      <c r="N1736">
        <v>3.1190945999999999</v>
      </c>
      <c r="O1736">
        <v>1710000</v>
      </c>
      <c r="P1736">
        <v>7.4000000010000004</v>
      </c>
      <c r="Q1736">
        <v>11634.001200000001</v>
      </c>
      <c r="R1736">
        <v>8.9</v>
      </c>
      <c r="S1736">
        <v>2724900</v>
      </c>
      <c r="T1736">
        <v>48.019573000000001</v>
      </c>
      <c r="U1736">
        <v>66.923683999999994</v>
      </c>
    </row>
    <row r="1737" spans="1:21">
      <c r="A1737" t="s">
        <v>104</v>
      </c>
      <c r="B1737">
        <v>2012</v>
      </c>
      <c r="C1737">
        <v>42868.23</v>
      </c>
      <c r="D1737">
        <v>244600.0061</v>
      </c>
      <c r="E1737">
        <v>82.98</v>
      </c>
      <c r="G1737">
        <v>7.64</v>
      </c>
      <c r="H1737">
        <v>8.4308099999999992</v>
      </c>
      <c r="I1737">
        <v>154.11000000000001</v>
      </c>
      <c r="J1737">
        <v>1.33</v>
      </c>
      <c r="K1737">
        <v>7</v>
      </c>
      <c r="L1737">
        <v>100</v>
      </c>
      <c r="M1737">
        <v>92.4</v>
      </c>
      <c r="N1737">
        <v>2.8572172999999998</v>
      </c>
      <c r="O1737">
        <v>27490000</v>
      </c>
      <c r="P1737">
        <v>4.8</v>
      </c>
      <c r="Q1737">
        <v>12386.699269999999</v>
      </c>
      <c r="R1737">
        <v>8.1199999999999992</v>
      </c>
      <c r="S1737">
        <v>2724900</v>
      </c>
      <c r="T1737">
        <v>48.019573000000001</v>
      </c>
      <c r="U1737">
        <v>66.923683999999994</v>
      </c>
    </row>
    <row r="1738" spans="1:21">
      <c r="A1738" t="s">
        <v>104</v>
      </c>
      <c r="B1738">
        <v>2013</v>
      </c>
      <c r="C1738">
        <v>42457.91</v>
      </c>
      <c r="D1738">
        <v>260010.0098</v>
      </c>
      <c r="E1738">
        <v>84.88</v>
      </c>
      <c r="G1738">
        <v>7.73</v>
      </c>
      <c r="H1738">
        <v>8.3468300000000006</v>
      </c>
      <c r="I1738">
        <v>153.18</v>
      </c>
      <c r="J1738">
        <v>1.1599999999999999</v>
      </c>
      <c r="K1738">
        <v>7</v>
      </c>
      <c r="L1738">
        <v>100</v>
      </c>
      <c r="M1738">
        <v>92.6</v>
      </c>
      <c r="N1738">
        <v>2.8628833</v>
      </c>
      <c r="O1738">
        <v>20000</v>
      </c>
      <c r="P1738">
        <v>5.9999999989999999</v>
      </c>
      <c r="Q1738">
        <v>13890.63096</v>
      </c>
      <c r="R1738">
        <v>8.4499999999999993</v>
      </c>
      <c r="S1738">
        <v>2724900</v>
      </c>
      <c r="T1738">
        <v>48.019573000000001</v>
      </c>
      <c r="U1738">
        <v>66.923683999999994</v>
      </c>
    </row>
    <row r="1739" spans="1:21">
      <c r="A1739" t="s">
        <v>104</v>
      </c>
      <c r="B1739">
        <v>2014</v>
      </c>
      <c r="C1739">
        <v>43947.972999999998</v>
      </c>
      <c r="D1739">
        <v>209229.9957</v>
      </c>
      <c r="E1739">
        <v>86.37</v>
      </c>
      <c r="G1739">
        <v>8.27</v>
      </c>
      <c r="H1739">
        <v>8.7383780000000009</v>
      </c>
      <c r="I1739">
        <v>162.11000000000001</v>
      </c>
      <c r="J1739">
        <v>1.34</v>
      </c>
      <c r="K1739">
        <v>7</v>
      </c>
      <c r="L1739">
        <v>100</v>
      </c>
      <c r="M1739">
        <v>92.9</v>
      </c>
      <c r="N1739">
        <v>2.9824519999999999</v>
      </c>
      <c r="O1739">
        <v>37380000</v>
      </c>
      <c r="P1739">
        <v>4.2000000010000003</v>
      </c>
      <c r="Q1739">
        <v>12807.260689999999</v>
      </c>
      <c r="R1739">
        <v>6.48</v>
      </c>
      <c r="S1739">
        <v>2724900</v>
      </c>
      <c r="T1739">
        <v>48.019573000000001</v>
      </c>
      <c r="U1739">
        <v>66.923683999999994</v>
      </c>
    </row>
    <row r="1740" spans="1:21">
      <c r="A1740" t="s">
        <v>104</v>
      </c>
      <c r="B1740">
        <v>2015</v>
      </c>
      <c r="C1740">
        <v>36005.64</v>
      </c>
      <c r="D1740">
        <v>190729.9957</v>
      </c>
      <c r="E1740">
        <v>82.2</v>
      </c>
      <c r="G1740">
        <v>9.4499999999999993</v>
      </c>
      <c r="H1740">
        <v>10.310966000000001</v>
      </c>
      <c r="I1740">
        <v>164.65</v>
      </c>
      <c r="J1740">
        <v>1.72</v>
      </c>
      <c r="K1740">
        <v>7</v>
      </c>
      <c r="L1740">
        <v>100</v>
      </c>
      <c r="M1740">
        <v>93.3</v>
      </c>
      <c r="N1740">
        <v>3.5664272000000001</v>
      </c>
      <c r="O1740">
        <v>48470000</v>
      </c>
      <c r="P1740">
        <v>1.2</v>
      </c>
      <c r="Q1740">
        <v>10510.77189</v>
      </c>
      <c r="R1740">
        <v>5.38</v>
      </c>
      <c r="S1740">
        <v>2724900</v>
      </c>
      <c r="T1740">
        <v>48.019573000000001</v>
      </c>
      <c r="U1740">
        <v>66.923683999999994</v>
      </c>
    </row>
    <row r="1741" spans="1:21">
      <c r="A1741" t="s">
        <v>104</v>
      </c>
      <c r="B1741">
        <v>2016</v>
      </c>
      <c r="C1741">
        <v>39906.78</v>
      </c>
      <c r="D1741">
        <v>202149.9939</v>
      </c>
      <c r="E1741">
        <v>82.65</v>
      </c>
      <c r="G1741">
        <v>11.98</v>
      </c>
      <c r="H1741">
        <v>12.659833000000001</v>
      </c>
      <c r="I1741">
        <v>165.5</v>
      </c>
      <c r="J1741">
        <v>2.0699999999999998</v>
      </c>
      <c r="K1741">
        <v>7</v>
      </c>
      <c r="L1741">
        <v>100</v>
      </c>
      <c r="M1741">
        <v>93.1</v>
      </c>
      <c r="N1741">
        <v>4.4041132999999997</v>
      </c>
      <c r="O1741">
        <v>45870000</v>
      </c>
      <c r="P1741">
        <v>1.1000000000000001</v>
      </c>
      <c r="Q1741">
        <v>7714.8418439999996</v>
      </c>
      <c r="R1741">
        <v>6.22</v>
      </c>
      <c r="S1741">
        <v>2724900</v>
      </c>
      <c r="T1741">
        <v>48.019573000000001</v>
      </c>
      <c r="U1741">
        <v>66.923683999999994</v>
      </c>
    </row>
    <row r="1742" spans="1:21">
      <c r="A1742" t="s">
        <v>104</v>
      </c>
      <c r="B1742">
        <v>2017</v>
      </c>
      <c r="C1742">
        <v>42406.99</v>
      </c>
      <c r="D1742">
        <v>214580.0018</v>
      </c>
      <c r="E1742">
        <v>91.48</v>
      </c>
      <c r="G1742">
        <v>11.64</v>
      </c>
      <c r="H1742">
        <v>11.28782</v>
      </c>
      <c r="I1742">
        <v>166.77</v>
      </c>
      <c r="J1742">
        <v>2.02</v>
      </c>
      <c r="K1742">
        <v>7</v>
      </c>
      <c r="L1742">
        <v>100</v>
      </c>
      <c r="M1742">
        <v>93.1</v>
      </c>
      <c r="N1742">
        <v>4.0426663999999999</v>
      </c>
      <c r="O1742">
        <v>150150000</v>
      </c>
      <c r="P1742">
        <v>4.0999999999999996</v>
      </c>
      <c r="Q1742">
        <v>9247.5813309999994</v>
      </c>
      <c r="R1742">
        <v>6.08</v>
      </c>
      <c r="S1742">
        <v>2724900</v>
      </c>
      <c r="T1742">
        <v>48.019573000000001</v>
      </c>
      <c r="U1742">
        <v>66.923683999999994</v>
      </c>
    </row>
    <row r="1743" spans="1:21">
      <c r="A1743" t="s">
        <v>104</v>
      </c>
      <c r="B1743">
        <v>2018</v>
      </c>
      <c r="C1743">
        <v>43320.58</v>
      </c>
      <c r="D1743">
        <v>216600.0061</v>
      </c>
      <c r="E1743">
        <v>96.36</v>
      </c>
      <c r="G1743">
        <v>10.91</v>
      </c>
      <c r="H1743">
        <v>10.170598</v>
      </c>
      <c r="I1743">
        <v>183.89</v>
      </c>
      <c r="J1743">
        <v>1.88</v>
      </c>
      <c r="K1743">
        <v>7</v>
      </c>
      <c r="L1743">
        <v>100</v>
      </c>
      <c r="M1743">
        <v>92.9</v>
      </c>
      <c r="N1743">
        <v>3.3888384999999999</v>
      </c>
      <c r="O1743">
        <v>250340000</v>
      </c>
      <c r="P1743">
        <v>4.0999999999999996</v>
      </c>
      <c r="Q1743">
        <v>9812.6263710000003</v>
      </c>
      <c r="R1743">
        <v>6.65</v>
      </c>
      <c r="S1743">
        <v>2724900</v>
      </c>
      <c r="T1743">
        <v>48.019573000000001</v>
      </c>
      <c r="U1743">
        <v>66.923683999999994</v>
      </c>
    </row>
    <row r="1744" spans="1:21">
      <c r="A1744" t="s">
        <v>104</v>
      </c>
      <c r="B1744">
        <v>2019</v>
      </c>
      <c r="C1744">
        <v>43404.29</v>
      </c>
      <c r="D1744">
        <v>212110.0006</v>
      </c>
      <c r="E1744">
        <v>95.39</v>
      </c>
      <c r="G1744">
        <v>11.09</v>
      </c>
      <c r="H1744">
        <v>10.415101</v>
      </c>
      <c r="I1744">
        <v>227.14</v>
      </c>
      <c r="J1744">
        <v>1.7</v>
      </c>
      <c r="K1744">
        <v>7</v>
      </c>
      <c r="L1744">
        <v>100</v>
      </c>
      <c r="M1744">
        <v>92.8</v>
      </c>
      <c r="N1744">
        <v>3.468928</v>
      </c>
      <c r="O1744">
        <v>279670000</v>
      </c>
      <c r="P1744">
        <v>4.5</v>
      </c>
      <c r="Q1744">
        <v>9812.595808</v>
      </c>
      <c r="R1744">
        <v>6.27</v>
      </c>
      <c r="S1744">
        <v>2724900</v>
      </c>
      <c r="T1744">
        <v>48.019573000000001</v>
      </c>
      <c r="U1744">
        <v>66.923683999999994</v>
      </c>
    </row>
    <row r="1745" spans="1:21">
      <c r="A1745" t="s">
        <v>104</v>
      </c>
      <c r="B1745">
        <v>2020</v>
      </c>
      <c r="C1745">
        <v>39590.597999999998</v>
      </c>
      <c r="E1745">
        <v>96.7</v>
      </c>
      <c r="G1745">
        <v>11.94</v>
      </c>
      <c r="H1745">
        <v>10.990427</v>
      </c>
      <c r="I1745">
        <v>266.14999999999998</v>
      </c>
      <c r="K1745">
        <v>7</v>
      </c>
      <c r="L1745">
        <v>100</v>
      </c>
      <c r="M1745">
        <v>92.7</v>
      </c>
      <c r="N1745">
        <v>3.9000363</v>
      </c>
      <c r="P1745">
        <v>-2.5</v>
      </c>
      <c r="Q1745">
        <v>9122.2334300000002</v>
      </c>
      <c r="S1745">
        <v>2724900</v>
      </c>
      <c r="T1745">
        <v>48.019573000000001</v>
      </c>
      <c r="U1745">
        <v>66.923683999999994</v>
      </c>
    </row>
    <row r="1746" spans="1:21">
      <c r="A1746" t="s">
        <v>105</v>
      </c>
      <c r="B1746">
        <v>2000</v>
      </c>
      <c r="C1746">
        <v>1478.989</v>
      </c>
      <c r="D1746">
        <v>8320</v>
      </c>
      <c r="E1746">
        <v>2.02</v>
      </c>
      <c r="F1746">
        <v>0</v>
      </c>
      <c r="G1746">
        <v>2.0299999999999998</v>
      </c>
      <c r="H1746">
        <v>50.123455</v>
      </c>
      <c r="I1746">
        <v>24.07</v>
      </c>
      <c r="J1746">
        <v>78.86</v>
      </c>
      <c r="K1746">
        <v>94</v>
      </c>
      <c r="L1746">
        <v>15.131171</v>
      </c>
      <c r="M1746">
        <v>1.8</v>
      </c>
      <c r="O1746">
        <v>90000</v>
      </c>
      <c r="P1746">
        <v>0.59969539199999999</v>
      </c>
      <c r="Q1746">
        <v>397.48265880000002</v>
      </c>
      <c r="R1746">
        <v>6.4</v>
      </c>
      <c r="S1746">
        <v>580367</v>
      </c>
      <c r="T1746">
        <v>-2.3559E-2</v>
      </c>
      <c r="U1746">
        <v>37.906193000000002</v>
      </c>
    </row>
    <row r="1747" spans="1:21">
      <c r="A1747" t="s">
        <v>105</v>
      </c>
      <c r="B1747">
        <v>2001</v>
      </c>
      <c r="C1747">
        <v>1460.3776</v>
      </c>
      <c r="D1747">
        <v>7610</v>
      </c>
      <c r="E1747">
        <v>1.52</v>
      </c>
      <c r="F1747">
        <v>0</v>
      </c>
      <c r="G1747">
        <v>3.08</v>
      </c>
      <c r="H1747">
        <v>66.956519999999998</v>
      </c>
      <c r="I1747">
        <v>23.42</v>
      </c>
      <c r="J1747">
        <v>80.180000000000007</v>
      </c>
      <c r="K1747">
        <v>94</v>
      </c>
      <c r="L1747">
        <v>17.033085</v>
      </c>
      <c r="M1747">
        <v>2.2000000000000002</v>
      </c>
      <c r="P1747">
        <v>3.7799064960000002</v>
      </c>
      <c r="Q1747">
        <v>395.32947159999998</v>
      </c>
      <c r="R1747">
        <v>6.26</v>
      </c>
      <c r="S1747">
        <v>580367</v>
      </c>
      <c r="T1747">
        <v>-2.3559E-2</v>
      </c>
      <c r="U1747">
        <v>37.906193000000002</v>
      </c>
    </row>
    <row r="1748" spans="1:21">
      <c r="A1748" t="s">
        <v>105</v>
      </c>
      <c r="B1748">
        <v>2002</v>
      </c>
      <c r="C1748">
        <v>1429.8123000000001</v>
      </c>
      <c r="D1748">
        <v>7420.0000760000003</v>
      </c>
      <c r="E1748">
        <v>1.1000000000000001</v>
      </c>
      <c r="F1748">
        <v>0</v>
      </c>
      <c r="G1748">
        <v>3.65</v>
      </c>
      <c r="H1748">
        <v>76.842100000000002</v>
      </c>
      <c r="I1748">
        <v>22.79</v>
      </c>
      <c r="J1748">
        <v>80.59</v>
      </c>
      <c r="K1748">
        <v>94</v>
      </c>
      <c r="L1748">
        <v>18.927413999999999</v>
      </c>
      <c r="M1748">
        <v>2.6</v>
      </c>
      <c r="P1748">
        <v>0.54685952999999998</v>
      </c>
      <c r="Q1748">
        <v>389.54263020000002</v>
      </c>
      <c r="R1748">
        <v>6.32</v>
      </c>
      <c r="S1748">
        <v>580367</v>
      </c>
      <c r="T1748">
        <v>-2.3559E-2</v>
      </c>
      <c r="U1748">
        <v>37.906193000000002</v>
      </c>
    </row>
    <row r="1749" spans="1:21">
      <c r="A1749" t="s">
        <v>105</v>
      </c>
      <c r="B1749">
        <v>2003</v>
      </c>
      <c r="C1749">
        <v>1321.4634000000001</v>
      </c>
      <c r="D1749">
        <v>6530.0002100000002</v>
      </c>
      <c r="E1749">
        <v>0.99</v>
      </c>
      <c r="F1749">
        <v>0</v>
      </c>
      <c r="G1749">
        <v>4.1100000000000003</v>
      </c>
      <c r="H1749">
        <v>80.588234</v>
      </c>
      <c r="I1749">
        <v>22.18</v>
      </c>
      <c r="J1749">
        <v>83.25</v>
      </c>
      <c r="K1749">
        <v>94</v>
      </c>
      <c r="L1749">
        <v>16</v>
      </c>
      <c r="M1749">
        <v>3.1</v>
      </c>
      <c r="O1749">
        <v>330000</v>
      </c>
      <c r="P1749">
        <v>2.932475546</v>
      </c>
      <c r="Q1749">
        <v>429.78781900000001</v>
      </c>
      <c r="R1749">
        <v>6.28</v>
      </c>
      <c r="S1749">
        <v>580367</v>
      </c>
      <c r="T1749">
        <v>-2.3559E-2</v>
      </c>
      <c r="U1749">
        <v>37.906193000000002</v>
      </c>
    </row>
    <row r="1750" spans="1:21">
      <c r="A1750" t="s">
        <v>105</v>
      </c>
      <c r="B1750">
        <v>2004</v>
      </c>
      <c r="C1750">
        <v>1380.1079999999999</v>
      </c>
      <c r="D1750">
        <v>7440.0000570000002</v>
      </c>
      <c r="E1750">
        <v>1.45</v>
      </c>
      <c r="F1750">
        <v>0</v>
      </c>
      <c r="G1750">
        <v>4</v>
      </c>
      <c r="H1750">
        <v>73.394499999999994</v>
      </c>
      <c r="I1750">
        <v>23.55</v>
      </c>
      <c r="J1750">
        <v>82.31</v>
      </c>
      <c r="K1750">
        <v>94</v>
      </c>
      <c r="L1750">
        <v>22.702715000000001</v>
      </c>
      <c r="M1750">
        <v>3.6</v>
      </c>
      <c r="O1750">
        <v>135540000</v>
      </c>
      <c r="P1750">
        <v>5.1042997760000004</v>
      </c>
      <c r="Q1750">
        <v>451.66876660000003</v>
      </c>
      <c r="R1750">
        <v>6.28</v>
      </c>
      <c r="S1750">
        <v>580367</v>
      </c>
      <c r="T1750">
        <v>-2.3559E-2</v>
      </c>
      <c r="U1750">
        <v>37.906193000000002</v>
      </c>
    </row>
    <row r="1751" spans="1:21">
      <c r="A1751" t="s">
        <v>105</v>
      </c>
      <c r="B1751">
        <v>2005</v>
      </c>
      <c r="C1751">
        <v>1454.5236</v>
      </c>
      <c r="D1751">
        <v>8319.9996950000004</v>
      </c>
      <c r="E1751">
        <v>1.69</v>
      </c>
      <c r="F1751">
        <v>0</v>
      </c>
      <c r="G1751">
        <v>4.18</v>
      </c>
      <c r="H1751">
        <v>71.209530000000001</v>
      </c>
      <c r="I1751">
        <v>22.92</v>
      </c>
      <c r="J1751">
        <v>81.260000000000005</v>
      </c>
      <c r="K1751">
        <v>94</v>
      </c>
      <c r="L1751">
        <v>24.588387000000001</v>
      </c>
      <c r="M1751">
        <v>4.2</v>
      </c>
      <c r="O1751">
        <v>44010000</v>
      </c>
      <c r="P1751">
        <v>5.9066660820000001</v>
      </c>
      <c r="Q1751">
        <v>511.61639430000002</v>
      </c>
      <c r="R1751">
        <v>6.15</v>
      </c>
      <c r="S1751">
        <v>580367</v>
      </c>
      <c r="T1751">
        <v>-2.3559E-2</v>
      </c>
      <c r="U1751">
        <v>37.906193000000002</v>
      </c>
    </row>
    <row r="1752" spans="1:21">
      <c r="A1752" t="s">
        <v>105</v>
      </c>
      <c r="B1752">
        <v>2006</v>
      </c>
      <c r="C1752">
        <v>1549.1115</v>
      </c>
      <c r="D1752">
        <v>9300.0001909999992</v>
      </c>
      <c r="E1752">
        <v>1.84</v>
      </c>
      <c r="F1752">
        <v>0</v>
      </c>
      <c r="G1752">
        <v>4.4800000000000004</v>
      </c>
      <c r="H1752">
        <v>70.886070000000004</v>
      </c>
      <c r="I1752">
        <v>22.35</v>
      </c>
      <c r="J1752">
        <v>79.83</v>
      </c>
      <c r="K1752">
        <v>94</v>
      </c>
      <c r="L1752">
        <v>26.475930000000002</v>
      </c>
      <c r="M1752">
        <v>4.8</v>
      </c>
      <c r="O1752">
        <v>10000</v>
      </c>
      <c r="P1752">
        <v>6.4724942990000001</v>
      </c>
      <c r="Q1752">
        <v>685.95442290000005</v>
      </c>
      <c r="R1752">
        <v>6.03</v>
      </c>
      <c r="S1752">
        <v>580367</v>
      </c>
      <c r="T1752">
        <v>-2.3559E-2</v>
      </c>
      <c r="U1752">
        <v>37.906193000000002</v>
      </c>
    </row>
    <row r="1753" spans="1:21">
      <c r="A1753" t="s">
        <v>105</v>
      </c>
      <c r="B1753">
        <v>2007</v>
      </c>
      <c r="C1753">
        <v>1513.085</v>
      </c>
      <c r="D1753">
        <v>9369.9998859999996</v>
      </c>
      <c r="E1753">
        <v>1.87</v>
      </c>
      <c r="F1753">
        <v>0</v>
      </c>
      <c r="G1753">
        <v>4.6500000000000004</v>
      </c>
      <c r="H1753">
        <v>71.319016000000005</v>
      </c>
      <c r="I1753">
        <v>21.74</v>
      </c>
      <c r="J1753">
        <v>80.349999999999994</v>
      </c>
      <c r="K1753">
        <v>94</v>
      </c>
      <c r="L1753">
        <v>28.367993999999999</v>
      </c>
      <c r="M1753">
        <v>5.3</v>
      </c>
      <c r="O1753">
        <v>59020000</v>
      </c>
      <c r="P1753">
        <v>6.8507297710000001</v>
      </c>
      <c r="Q1753">
        <v>825.66655500000002</v>
      </c>
      <c r="R1753">
        <v>5.77</v>
      </c>
      <c r="S1753">
        <v>580367</v>
      </c>
      <c r="T1753">
        <v>-2.3559E-2</v>
      </c>
      <c r="U1753">
        <v>37.906193000000002</v>
      </c>
    </row>
    <row r="1754" spans="1:21">
      <c r="A1754" t="s">
        <v>105</v>
      </c>
      <c r="B1754">
        <v>2008</v>
      </c>
      <c r="C1754">
        <v>1449.5536999999999</v>
      </c>
      <c r="D1754">
        <v>9909.9998469999991</v>
      </c>
      <c r="E1754">
        <v>2.2200000000000002</v>
      </c>
      <c r="F1754">
        <v>0</v>
      </c>
      <c r="G1754">
        <v>4.18</v>
      </c>
      <c r="H1754">
        <v>65.312489999999997</v>
      </c>
      <c r="I1754">
        <v>22.65</v>
      </c>
      <c r="J1754">
        <v>80.64</v>
      </c>
      <c r="K1754">
        <v>94</v>
      </c>
      <c r="L1754">
        <v>30.267289999999999</v>
      </c>
      <c r="M1754">
        <v>6</v>
      </c>
      <c r="O1754">
        <v>29980000</v>
      </c>
      <c r="P1754">
        <v>0.23228274600000001</v>
      </c>
      <c r="Q1754">
        <v>902.0699578</v>
      </c>
      <c r="R1754">
        <v>5.97</v>
      </c>
      <c r="S1754">
        <v>580367</v>
      </c>
      <c r="T1754">
        <v>-2.3559E-2</v>
      </c>
      <c r="U1754">
        <v>37.906193000000002</v>
      </c>
    </row>
    <row r="1755" spans="1:21">
      <c r="A1755" t="s">
        <v>105</v>
      </c>
      <c r="B1755">
        <v>2009</v>
      </c>
      <c r="C1755">
        <v>1537.1414</v>
      </c>
      <c r="D1755">
        <v>11710.000040000001</v>
      </c>
      <c r="E1755">
        <v>2.73</v>
      </c>
      <c r="F1755">
        <v>0</v>
      </c>
      <c r="G1755">
        <v>3.84</v>
      </c>
      <c r="H1755">
        <v>58.447487000000002</v>
      </c>
      <c r="I1755">
        <v>23.19</v>
      </c>
      <c r="J1755">
        <v>78.349999999999994</v>
      </c>
      <c r="K1755">
        <v>94</v>
      </c>
      <c r="L1755">
        <v>23</v>
      </c>
      <c r="M1755">
        <v>6.6</v>
      </c>
      <c r="O1755">
        <v>35460000</v>
      </c>
      <c r="P1755">
        <v>3.3069398149999998</v>
      </c>
      <c r="Q1755">
        <v>1035.3387869999999</v>
      </c>
      <c r="R1755">
        <v>6.12</v>
      </c>
      <c r="S1755">
        <v>580367</v>
      </c>
      <c r="T1755">
        <v>-2.3559E-2</v>
      </c>
      <c r="U1755">
        <v>37.906193000000002</v>
      </c>
    </row>
    <row r="1756" spans="1:21">
      <c r="A1756" t="s">
        <v>105</v>
      </c>
      <c r="B1756">
        <v>2010</v>
      </c>
      <c r="C1756">
        <v>1622.7236</v>
      </c>
      <c r="D1756">
        <v>12640.000340000001</v>
      </c>
      <c r="E1756">
        <v>2.12</v>
      </c>
      <c r="F1756">
        <v>0</v>
      </c>
      <c r="G1756">
        <v>5.0999999999999996</v>
      </c>
      <c r="H1756">
        <v>70.637119999999996</v>
      </c>
      <c r="I1756">
        <v>24.74</v>
      </c>
      <c r="J1756">
        <v>76.5</v>
      </c>
      <c r="K1756">
        <v>94</v>
      </c>
      <c r="L1756">
        <v>19.2</v>
      </c>
      <c r="M1756">
        <v>7.2</v>
      </c>
      <c r="O1756">
        <v>729350000</v>
      </c>
      <c r="P1756">
        <v>8.0584736029999995</v>
      </c>
      <c r="Q1756">
        <v>1080.296184</v>
      </c>
      <c r="R1756">
        <v>5.9</v>
      </c>
      <c r="S1756">
        <v>580367</v>
      </c>
      <c r="T1756">
        <v>-2.3559E-2</v>
      </c>
      <c r="U1756">
        <v>37.906193000000002</v>
      </c>
    </row>
    <row r="1757" spans="1:21">
      <c r="A1757" t="s">
        <v>105</v>
      </c>
      <c r="B1757">
        <v>2011</v>
      </c>
      <c r="C1757">
        <v>1633.5077000000001</v>
      </c>
      <c r="D1757">
        <v>13029.99973</v>
      </c>
      <c r="E1757">
        <v>2.4</v>
      </c>
      <c r="F1757">
        <v>0</v>
      </c>
      <c r="G1757">
        <v>5.18</v>
      </c>
      <c r="H1757">
        <v>68.337729999999993</v>
      </c>
      <c r="I1757">
        <v>24.11</v>
      </c>
      <c r="J1757">
        <v>77.31</v>
      </c>
      <c r="K1757">
        <v>94</v>
      </c>
      <c r="L1757">
        <v>36.035656000000003</v>
      </c>
      <c r="M1757">
        <v>8</v>
      </c>
      <c r="O1757">
        <v>511180000</v>
      </c>
      <c r="P1757">
        <v>5.1211061200000003</v>
      </c>
      <c r="Q1757">
        <v>1085.4871519999999</v>
      </c>
      <c r="R1757">
        <v>5.67</v>
      </c>
      <c r="S1757">
        <v>580367</v>
      </c>
      <c r="T1757">
        <v>-2.3559E-2</v>
      </c>
      <c r="U1757">
        <v>37.906193000000002</v>
      </c>
    </row>
    <row r="1758" spans="1:21">
      <c r="A1758" t="s">
        <v>105</v>
      </c>
      <c r="B1758">
        <v>2012</v>
      </c>
      <c r="C1758">
        <v>1575.0422000000001</v>
      </c>
      <c r="D1758">
        <v>12149.999620000001</v>
      </c>
      <c r="E1758">
        <v>2.0299999999999998</v>
      </c>
      <c r="F1758">
        <v>0</v>
      </c>
      <c r="G1758">
        <v>6.06</v>
      </c>
      <c r="H1758">
        <v>74.907295000000005</v>
      </c>
      <c r="I1758">
        <v>24.7</v>
      </c>
      <c r="J1758">
        <v>78.709999999999994</v>
      </c>
      <c r="K1758">
        <v>94</v>
      </c>
      <c r="L1758">
        <v>37.990966999999998</v>
      </c>
      <c r="M1758">
        <v>8.6999999999999993</v>
      </c>
      <c r="O1758">
        <v>143990000</v>
      </c>
      <c r="P1758">
        <v>4.5686796139999997</v>
      </c>
      <c r="Q1758">
        <v>1271.8153830000001</v>
      </c>
      <c r="R1758">
        <v>5.49</v>
      </c>
      <c r="S1758">
        <v>580367</v>
      </c>
      <c r="T1758">
        <v>-2.3559E-2</v>
      </c>
      <c r="U1758">
        <v>37.906193000000002</v>
      </c>
    </row>
    <row r="1759" spans="1:21">
      <c r="A1759" t="s">
        <v>105</v>
      </c>
      <c r="B1759">
        <v>2013</v>
      </c>
      <c r="C1759">
        <v>1620.4467</v>
      </c>
      <c r="D1759">
        <v>14100.000379999999</v>
      </c>
      <c r="E1759">
        <v>2.58</v>
      </c>
      <c r="F1759">
        <v>0</v>
      </c>
      <c r="G1759">
        <v>6.11</v>
      </c>
      <c r="H1759">
        <v>70.31071</v>
      </c>
      <c r="I1759">
        <v>24.32</v>
      </c>
      <c r="J1759">
        <v>76.73</v>
      </c>
      <c r="K1759">
        <v>94</v>
      </c>
      <c r="L1759">
        <v>39.966106000000003</v>
      </c>
      <c r="M1759">
        <v>9.6</v>
      </c>
      <c r="O1759">
        <v>16250000</v>
      </c>
      <c r="P1759">
        <v>3.7978483930000002</v>
      </c>
      <c r="Q1759">
        <v>1354.820833</v>
      </c>
      <c r="R1759">
        <v>5.51</v>
      </c>
      <c r="S1759">
        <v>580367</v>
      </c>
      <c r="T1759">
        <v>-2.3559E-2</v>
      </c>
      <c r="U1759">
        <v>37.906193000000002</v>
      </c>
    </row>
    <row r="1760" spans="1:21">
      <c r="A1760" t="s">
        <v>105</v>
      </c>
      <c r="B1760">
        <v>2014</v>
      </c>
      <c r="C1760">
        <v>1655.0222000000001</v>
      </c>
      <c r="D1760">
        <v>15149.999620000001</v>
      </c>
      <c r="E1760">
        <v>1.67</v>
      </c>
      <c r="F1760">
        <v>0</v>
      </c>
      <c r="G1760">
        <v>6.7</v>
      </c>
      <c r="H1760">
        <v>80.047790000000006</v>
      </c>
      <c r="I1760">
        <v>27.38</v>
      </c>
      <c r="J1760">
        <v>74.95</v>
      </c>
      <c r="K1760">
        <v>94</v>
      </c>
      <c r="L1760">
        <v>36</v>
      </c>
      <c r="M1760">
        <v>10.6</v>
      </c>
      <c r="O1760">
        <v>719120000</v>
      </c>
      <c r="P1760">
        <v>5.0201110020000002</v>
      </c>
      <c r="Q1760">
        <v>1462.2200519999999</v>
      </c>
      <c r="R1760">
        <v>5.78</v>
      </c>
      <c r="S1760">
        <v>580367</v>
      </c>
      <c r="T1760">
        <v>-2.3559E-2</v>
      </c>
      <c r="U1760">
        <v>37.906193000000002</v>
      </c>
    </row>
    <row r="1761" spans="1:21">
      <c r="A1761" t="s">
        <v>105</v>
      </c>
      <c r="B1761">
        <v>2015</v>
      </c>
      <c r="C1761">
        <v>1911.9027000000001</v>
      </c>
      <c r="D1761">
        <v>17209.999080000001</v>
      </c>
      <c r="E1761">
        <v>1.43</v>
      </c>
      <c r="F1761">
        <v>0</v>
      </c>
      <c r="G1761">
        <v>8.44</v>
      </c>
      <c r="H1761">
        <v>85.511650000000003</v>
      </c>
      <c r="I1761">
        <v>32.94</v>
      </c>
      <c r="J1761">
        <v>72.040000000000006</v>
      </c>
      <c r="K1761">
        <v>94</v>
      </c>
      <c r="L1761">
        <v>41.6</v>
      </c>
      <c r="M1761">
        <v>11.6</v>
      </c>
      <c r="O1761">
        <v>546170000</v>
      </c>
      <c r="P1761">
        <v>4.967721128</v>
      </c>
      <c r="Q1761">
        <v>1464.554009</v>
      </c>
      <c r="R1761">
        <v>5.8</v>
      </c>
      <c r="S1761">
        <v>580367</v>
      </c>
      <c r="T1761">
        <v>-2.3559E-2</v>
      </c>
      <c r="U1761">
        <v>37.906193000000002</v>
      </c>
    </row>
    <row r="1762" spans="1:21">
      <c r="A1762" t="s">
        <v>105</v>
      </c>
      <c r="B1762">
        <v>2016</v>
      </c>
      <c r="C1762">
        <v>1966.5875000000001</v>
      </c>
      <c r="D1762">
        <v>19110.000609999999</v>
      </c>
      <c r="E1762">
        <v>1.43</v>
      </c>
      <c r="F1762">
        <v>0</v>
      </c>
      <c r="G1762">
        <v>8.26</v>
      </c>
      <c r="H1762">
        <v>85.242519999999999</v>
      </c>
      <c r="I1762">
        <v>32.880000000000003</v>
      </c>
      <c r="J1762">
        <v>70.94</v>
      </c>
      <c r="K1762">
        <v>94</v>
      </c>
      <c r="L1762">
        <v>53.1</v>
      </c>
      <c r="M1762">
        <v>13</v>
      </c>
      <c r="O1762">
        <v>701120000</v>
      </c>
      <c r="P1762">
        <v>4.2135170679999998</v>
      </c>
      <c r="Q1762">
        <v>1525.2351920000001</v>
      </c>
      <c r="R1762">
        <v>5.62</v>
      </c>
      <c r="S1762">
        <v>580367</v>
      </c>
      <c r="T1762">
        <v>-2.3559E-2</v>
      </c>
      <c r="U1762">
        <v>37.906193000000002</v>
      </c>
    </row>
    <row r="1763" spans="1:21">
      <c r="A1763" t="s">
        <v>105</v>
      </c>
      <c r="B1763">
        <v>2017</v>
      </c>
      <c r="C1763">
        <v>1939.6578</v>
      </c>
      <c r="D1763">
        <v>18979.999540000001</v>
      </c>
      <c r="E1763">
        <v>2.29</v>
      </c>
      <c r="F1763">
        <v>0</v>
      </c>
      <c r="G1763">
        <v>8.41</v>
      </c>
      <c r="H1763">
        <v>78.598129999999998</v>
      </c>
      <c r="I1763">
        <v>32.56</v>
      </c>
      <c r="J1763">
        <v>71.3</v>
      </c>
      <c r="K1763">
        <v>94</v>
      </c>
      <c r="L1763">
        <v>55.976410000000001</v>
      </c>
      <c r="M1763">
        <v>14.4</v>
      </c>
      <c r="O1763">
        <v>301210000</v>
      </c>
      <c r="P1763">
        <v>3.8155064269999999</v>
      </c>
      <c r="Q1763">
        <v>1633.4912159999999</v>
      </c>
      <c r="R1763">
        <v>5.56</v>
      </c>
      <c r="S1763">
        <v>580367</v>
      </c>
      <c r="T1763">
        <v>-2.3559E-2</v>
      </c>
      <c r="U1763">
        <v>37.906193000000002</v>
      </c>
    </row>
    <row r="1764" spans="1:21">
      <c r="A1764" t="s">
        <v>105</v>
      </c>
      <c r="B1764">
        <v>2018</v>
      </c>
      <c r="C1764">
        <v>2047.2719</v>
      </c>
      <c r="D1764">
        <v>17489.999769999999</v>
      </c>
      <c r="E1764">
        <v>1.46</v>
      </c>
      <c r="F1764">
        <v>0</v>
      </c>
      <c r="G1764">
        <v>9.7899999999999991</v>
      </c>
      <c r="H1764">
        <v>87.022223999999994</v>
      </c>
      <c r="I1764">
        <v>39.49</v>
      </c>
      <c r="J1764">
        <v>72.47</v>
      </c>
      <c r="K1764">
        <v>94</v>
      </c>
      <c r="L1764">
        <v>61.284573000000002</v>
      </c>
      <c r="M1764">
        <v>16</v>
      </c>
      <c r="O1764">
        <v>220980000</v>
      </c>
      <c r="P1764">
        <v>5.6291014400000003</v>
      </c>
      <c r="Q1764">
        <v>1794.091175</v>
      </c>
      <c r="R1764">
        <v>5.26</v>
      </c>
      <c r="S1764">
        <v>580367</v>
      </c>
      <c r="T1764">
        <v>-2.3559E-2</v>
      </c>
      <c r="U1764">
        <v>37.906193000000002</v>
      </c>
    </row>
    <row r="1765" spans="1:21">
      <c r="A1765" t="s">
        <v>105</v>
      </c>
      <c r="B1765">
        <v>2019</v>
      </c>
      <c r="C1765">
        <v>1946.3412000000001</v>
      </c>
      <c r="D1765">
        <v>22280.000690000001</v>
      </c>
      <c r="E1765">
        <v>1.25</v>
      </c>
      <c r="F1765">
        <v>0</v>
      </c>
      <c r="G1765">
        <v>10.24</v>
      </c>
      <c r="H1765">
        <v>89.120980000000003</v>
      </c>
      <c r="I1765">
        <v>41.67</v>
      </c>
      <c r="J1765">
        <v>68.08</v>
      </c>
      <c r="K1765">
        <v>94</v>
      </c>
      <c r="L1765">
        <v>69.7</v>
      </c>
      <c r="M1765">
        <v>17.7</v>
      </c>
      <c r="O1765">
        <v>165780000</v>
      </c>
      <c r="P1765">
        <v>4.9811326280000001</v>
      </c>
      <c r="Q1765">
        <v>1912.6478669999999</v>
      </c>
      <c r="R1765">
        <v>5.31</v>
      </c>
      <c r="S1765">
        <v>580367</v>
      </c>
      <c r="T1765">
        <v>-2.3559E-2</v>
      </c>
      <c r="U1765">
        <v>37.906193000000002</v>
      </c>
    </row>
    <row r="1766" spans="1:21">
      <c r="A1766" t="s">
        <v>105</v>
      </c>
      <c r="B1766">
        <v>2020</v>
      </c>
      <c r="C1766">
        <v>1902.1184000000001</v>
      </c>
      <c r="E1766">
        <v>0.92</v>
      </c>
      <c r="F1766">
        <v>0</v>
      </c>
      <c r="G1766">
        <v>10.83</v>
      </c>
      <c r="H1766">
        <v>92.170209999999997</v>
      </c>
      <c r="I1766">
        <v>40.74</v>
      </c>
      <c r="K1766">
        <v>94</v>
      </c>
      <c r="L1766">
        <v>71.437939999999998</v>
      </c>
      <c r="M1766">
        <v>19.5</v>
      </c>
      <c r="P1766">
        <v>-0.316182729</v>
      </c>
      <c r="Q1766">
        <v>1878.5807030000001</v>
      </c>
      <c r="S1766">
        <v>580367</v>
      </c>
      <c r="T1766">
        <v>-2.3559E-2</v>
      </c>
      <c r="U1766">
        <v>37.906193000000002</v>
      </c>
    </row>
    <row r="1767" spans="1:21">
      <c r="A1767" t="s">
        <v>106</v>
      </c>
      <c r="B1767">
        <v>2000</v>
      </c>
      <c r="C1767">
        <v>1636.9808</v>
      </c>
      <c r="D1767">
        <v>30</v>
      </c>
      <c r="E1767">
        <v>0.01</v>
      </c>
      <c r="F1767">
        <v>0</v>
      </c>
      <c r="G1767">
        <v>0</v>
      </c>
      <c r="H1767">
        <v>0</v>
      </c>
      <c r="I1767">
        <v>0.74</v>
      </c>
      <c r="J1767">
        <v>55.85</v>
      </c>
      <c r="K1767">
        <v>147</v>
      </c>
      <c r="L1767">
        <v>55.124896999999997</v>
      </c>
      <c r="M1767">
        <v>1.6</v>
      </c>
      <c r="P1767">
        <v>6.25</v>
      </c>
      <c r="Q1767">
        <v>796.80320359999996</v>
      </c>
      <c r="R1767">
        <v>5.07</v>
      </c>
      <c r="S1767">
        <v>811</v>
      </c>
      <c r="T1767">
        <v>1.8368975999999999</v>
      </c>
      <c r="U1767">
        <v>-157.3768317</v>
      </c>
    </row>
    <row r="1768" spans="1:21">
      <c r="A1768" t="s">
        <v>106</v>
      </c>
      <c r="B1768">
        <v>2001</v>
      </c>
      <c r="C1768">
        <v>1370.5415</v>
      </c>
      <c r="D1768">
        <v>30</v>
      </c>
      <c r="E1768">
        <v>0.01</v>
      </c>
      <c r="F1768">
        <v>0</v>
      </c>
      <c r="G1768">
        <v>0</v>
      </c>
      <c r="H1768">
        <v>0</v>
      </c>
      <c r="I1768">
        <v>0.72</v>
      </c>
      <c r="J1768">
        <v>55.6</v>
      </c>
      <c r="K1768">
        <v>147</v>
      </c>
      <c r="L1768">
        <v>56.919024999999998</v>
      </c>
      <c r="M1768">
        <v>1.7</v>
      </c>
      <c r="P1768">
        <v>-1.4705882349999999</v>
      </c>
      <c r="Q1768">
        <v>735.06910640000001</v>
      </c>
      <c r="R1768">
        <v>5</v>
      </c>
      <c r="S1768">
        <v>811</v>
      </c>
      <c r="T1768">
        <v>1.8368975999999999</v>
      </c>
      <c r="U1768">
        <v>-157.3768317</v>
      </c>
    </row>
    <row r="1769" spans="1:21">
      <c r="A1769" t="s">
        <v>106</v>
      </c>
      <c r="B1769">
        <v>2002</v>
      </c>
      <c r="C1769">
        <v>1968.1482000000001</v>
      </c>
      <c r="D1769">
        <v>39.999999109999997</v>
      </c>
      <c r="E1769">
        <v>0.01</v>
      </c>
      <c r="F1769">
        <v>0</v>
      </c>
      <c r="G1769">
        <v>0</v>
      </c>
      <c r="H1769">
        <v>0</v>
      </c>
      <c r="I1769">
        <v>0.71</v>
      </c>
      <c r="J1769">
        <v>49.11</v>
      </c>
      <c r="K1769">
        <v>147</v>
      </c>
      <c r="L1769">
        <v>58.705565999999997</v>
      </c>
      <c r="M1769">
        <v>1.7</v>
      </c>
      <c r="P1769">
        <v>3.7874626870000001</v>
      </c>
      <c r="Q1769">
        <v>826.91686530000004</v>
      </c>
      <c r="R1769">
        <v>5.64</v>
      </c>
      <c r="S1769">
        <v>811</v>
      </c>
      <c r="T1769">
        <v>1.8368975999999999</v>
      </c>
      <c r="U1769">
        <v>-157.3768317</v>
      </c>
    </row>
    <row r="1770" spans="1:21">
      <c r="A1770" t="s">
        <v>106</v>
      </c>
      <c r="B1770">
        <v>2003</v>
      </c>
      <c r="C1770">
        <v>2004.7972</v>
      </c>
      <c r="D1770">
        <v>39.999999109999997</v>
      </c>
      <c r="E1770">
        <v>0.02</v>
      </c>
      <c r="F1770">
        <v>0</v>
      </c>
      <c r="G1770">
        <v>0</v>
      </c>
      <c r="H1770">
        <v>0</v>
      </c>
      <c r="I1770">
        <v>0.7</v>
      </c>
      <c r="J1770">
        <v>48.78</v>
      </c>
      <c r="K1770">
        <v>147</v>
      </c>
      <c r="L1770">
        <v>60.486877</v>
      </c>
      <c r="M1770">
        <v>1.8</v>
      </c>
      <c r="P1770">
        <v>2.006324636</v>
      </c>
      <c r="Q1770">
        <v>1015.667006</v>
      </c>
      <c r="R1770">
        <v>5.75</v>
      </c>
      <c r="S1770">
        <v>811</v>
      </c>
      <c r="T1770">
        <v>1.8368975999999999</v>
      </c>
      <c r="U1770">
        <v>-157.3768317</v>
      </c>
    </row>
    <row r="1771" spans="1:21">
      <c r="A1771" t="s">
        <v>106</v>
      </c>
      <c r="B1771">
        <v>2004</v>
      </c>
      <c r="C1771">
        <v>2104.4171999999999</v>
      </c>
      <c r="D1771">
        <v>50.000000749999998</v>
      </c>
      <c r="E1771">
        <v>0.02</v>
      </c>
      <c r="F1771">
        <v>0</v>
      </c>
      <c r="G1771">
        <v>0</v>
      </c>
      <c r="H1771">
        <v>0</v>
      </c>
      <c r="I1771">
        <v>2.2400000000000002</v>
      </c>
      <c r="J1771">
        <v>46.99</v>
      </c>
      <c r="K1771">
        <v>147</v>
      </c>
      <c r="L1771">
        <v>62.265296999999997</v>
      </c>
      <c r="M1771">
        <v>1.9</v>
      </c>
      <c r="P1771">
        <v>-1.6293602039999999</v>
      </c>
      <c r="Q1771">
        <v>1131.1525039999999</v>
      </c>
      <c r="R1771">
        <v>6.16</v>
      </c>
      <c r="S1771">
        <v>811</v>
      </c>
      <c r="T1771">
        <v>1.8368975999999999</v>
      </c>
      <c r="U1771">
        <v>-157.3768317</v>
      </c>
    </row>
    <row r="1772" spans="1:21">
      <c r="A1772" t="s">
        <v>106</v>
      </c>
      <c r="B1772">
        <v>2005</v>
      </c>
      <c r="C1772">
        <v>2702.9735999999998</v>
      </c>
      <c r="D1772">
        <v>70.000000299999996</v>
      </c>
      <c r="E1772">
        <v>0.02</v>
      </c>
      <c r="F1772">
        <v>0</v>
      </c>
      <c r="G1772">
        <v>0</v>
      </c>
      <c r="H1772">
        <v>0</v>
      </c>
      <c r="I1772">
        <v>2.59</v>
      </c>
      <c r="J1772">
        <v>41.47</v>
      </c>
      <c r="K1772">
        <v>147</v>
      </c>
      <c r="L1772">
        <v>69.676410000000004</v>
      </c>
      <c r="M1772">
        <v>2</v>
      </c>
      <c r="P1772">
        <v>4.9516316260000002</v>
      </c>
      <c r="Q1772">
        <v>1214.6356029999999</v>
      </c>
      <c r="R1772">
        <v>6.64</v>
      </c>
      <c r="S1772">
        <v>811</v>
      </c>
      <c r="T1772">
        <v>1.8368975999999999</v>
      </c>
      <c r="U1772">
        <v>-157.3768317</v>
      </c>
    </row>
    <row r="1773" spans="1:21">
      <c r="A1773" t="s">
        <v>106</v>
      </c>
      <c r="B1773">
        <v>2006</v>
      </c>
      <c r="C1773">
        <v>2949.2143999999998</v>
      </c>
      <c r="D1773">
        <v>70.000000299999996</v>
      </c>
      <c r="E1773">
        <v>0.02</v>
      </c>
      <c r="F1773">
        <v>0</v>
      </c>
      <c r="G1773">
        <v>0</v>
      </c>
      <c r="H1773">
        <v>0</v>
      </c>
      <c r="I1773">
        <v>2.64</v>
      </c>
      <c r="J1773">
        <v>39.450000000000003</v>
      </c>
      <c r="K1773">
        <v>147</v>
      </c>
      <c r="L1773">
        <v>68.8</v>
      </c>
      <c r="M1773">
        <v>2.1</v>
      </c>
      <c r="P1773">
        <v>-4.9295323000000002E-2</v>
      </c>
      <c r="Q1773">
        <v>1168.4733020000001</v>
      </c>
      <c r="R1773">
        <v>7.11</v>
      </c>
      <c r="S1773">
        <v>811</v>
      </c>
      <c r="T1773">
        <v>1.8368975999999999</v>
      </c>
      <c r="U1773">
        <v>-157.3768317</v>
      </c>
    </row>
    <row r="1774" spans="1:21">
      <c r="A1774" t="s">
        <v>106</v>
      </c>
      <c r="B1774">
        <v>2007</v>
      </c>
      <c r="C1774">
        <v>2641.9128000000001</v>
      </c>
      <c r="D1774">
        <v>59.999998660000003</v>
      </c>
      <c r="E1774">
        <v>0.02</v>
      </c>
      <c r="F1774">
        <v>0</v>
      </c>
      <c r="G1774">
        <v>0</v>
      </c>
      <c r="H1774">
        <v>0</v>
      </c>
      <c r="I1774">
        <v>2.71</v>
      </c>
      <c r="J1774">
        <v>44.6</v>
      </c>
      <c r="K1774">
        <v>147</v>
      </c>
      <c r="L1774">
        <v>67.607219999999998</v>
      </c>
      <c r="M1774">
        <v>2.2999999999999998</v>
      </c>
      <c r="P1774">
        <v>2.034947265</v>
      </c>
      <c r="Q1774">
        <v>1374.395199</v>
      </c>
      <c r="R1774">
        <v>6.66</v>
      </c>
      <c r="S1774">
        <v>811</v>
      </c>
      <c r="T1774">
        <v>1.8368975999999999</v>
      </c>
      <c r="U1774">
        <v>-157.3768317</v>
      </c>
    </row>
    <row r="1775" spans="1:21">
      <c r="A1775" t="s">
        <v>106</v>
      </c>
      <c r="B1775">
        <v>2008</v>
      </c>
      <c r="C1775">
        <v>2903.1601999999998</v>
      </c>
      <c r="D1775">
        <v>59.999998660000003</v>
      </c>
      <c r="E1775">
        <v>0.02</v>
      </c>
      <c r="F1775">
        <v>0</v>
      </c>
      <c r="G1775">
        <v>0</v>
      </c>
      <c r="H1775">
        <v>0</v>
      </c>
      <c r="I1775">
        <v>2.74</v>
      </c>
      <c r="J1775">
        <v>41.53</v>
      </c>
      <c r="K1775">
        <v>147</v>
      </c>
      <c r="L1775">
        <v>69.39873</v>
      </c>
      <c r="M1775">
        <v>2.6</v>
      </c>
      <c r="P1775">
        <v>-2.091436758</v>
      </c>
      <c r="Q1775">
        <v>1428.1349769999999</v>
      </c>
      <c r="R1775">
        <v>7.37</v>
      </c>
      <c r="S1775">
        <v>811</v>
      </c>
      <c r="T1775">
        <v>1.8368975999999999</v>
      </c>
      <c r="U1775">
        <v>-157.3768317</v>
      </c>
    </row>
    <row r="1776" spans="1:21">
      <c r="A1776" t="s">
        <v>106</v>
      </c>
      <c r="B1776">
        <v>2009</v>
      </c>
      <c r="C1776">
        <v>2485.87</v>
      </c>
      <c r="D1776">
        <v>59.999998660000003</v>
      </c>
      <c r="E1776">
        <v>0.02</v>
      </c>
      <c r="F1776">
        <v>0</v>
      </c>
      <c r="G1776">
        <v>0</v>
      </c>
      <c r="H1776">
        <v>0</v>
      </c>
      <c r="I1776">
        <v>2.64</v>
      </c>
      <c r="J1776">
        <v>44.6</v>
      </c>
      <c r="K1776">
        <v>147</v>
      </c>
      <c r="L1776">
        <v>64.19</v>
      </c>
      <c r="M1776">
        <v>2.9</v>
      </c>
      <c r="O1776">
        <v>5150000</v>
      </c>
      <c r="P1776">
        <v>0.80280991199999996</v>
      </c>
      <c r="Q1776">
        <v>1312.023443</v>
      </c>
      <c r="R1776">
        <v>6.66</v>
      </c>
      <c r="S1776">
        <v>811</v>
      </c>
      <c r="T1776">
        <v>1.8368975999999999</v>
      </c>
      <c r="U1776">
        <v>-157.3768317</v>
      </c>
    </row>
    <row r="1777" spans="1:21">
      <c r="A1777" t="s">
        <v>106</v>
      </c>
      <c r="B1777">
        <v>2010</v>
      </c>
      <c r="C1777">
        <v>2429.8928000000001</v>
      </c>
      <c r="D1777">
        <v>50.000000749999998</v>
      </c>
      <c r="E1777">
        <v>0.02</v>
      </c>
      <c r="F1777">
        <v>0</v>
      </c>
      <c r="G1777">
        <v>0</v>
      </c>
      <c r="H1777">
        <v>0</v>
      </c>
      <c r="I1777">
        <v>3.81</v>
      </c>
      <c r="J1777">
        <v>48.38</v>
      </c>
      <c r="K1777">
        <v>147</v>
      </c>
      <c r="L1777">
        <v>63.167735999999998</v>
      </c>
      <c r="M1777">
        <v>3.2</v>
      </c>
      <c r="O1777">
        <v>980000</v>
      </c>
      <c r="P1777">
        <v>-0.92389927800000005</v>
      </c>
      <c r="Q1777">
        <v>1516.76323</v>
      </c>
      <c r="R1777">
        <v>6.77</v>
      </c>
      <c r="S1777">
        <v>811</v>
      </c>
      <c r="T1777">
        <v>1.8368975999999999</v>
      </c>
      <c r="U1777">
        <v>-157.3768317</v>
      </c>
    </row>
    <row r="1778" spans="1:21">
      <c r="A1778" t="s">
        <v>106</v>
      </c>
      <c r="B1778">
        <v>2011</v>
      </c>
      <c r="C1778">
        <v>2205.6329999999998</v>
      </c>
      <c r="D1778">
        <v>50.000000749999998</v>
      </c>
      <c r="E1778">
        <v>0.02</v>
      </c>
      <c r="F1778">
        <v>0</v>
      </c>
      <c r="G1778">
        <v>0</v>
      </c>
      <c r="H1778">
        <v>0</v>
      </c>
      <c r="I1778">
        <v>4.07</v>
      </c>
      <c r="J1778">
        <v>48.85</v>
      </c>
      <c r="K1778">
        <v>147</v>
      </c>
      <c r="L1778">
        <v>74.843734999999995</v>
      </c>
      <c r="M1778">
        <v>3.6</v>
      </c>
      <c r="P1778">
        <v>1.5943218109999999</v>
      </c>
      <c r="Q1778">
        <v>1734.9038390000001</v>
      </c>
      <c r="R1778">
        <v>6.47</v>
      </c>
      <c r="S1778">
        <v>811</v>
      </c>
      <c r="T1778">
        <v>1.8368975999999999</v>
      </c>
      <c r="U1778">
        <v>-157.3768317</v>
      </c>
    </row>
    <row r="1779" spans="1:21">
      <c r="A1779" t="s">
        <v>106</v>
      </c>
      <c r="B1779">
        <v>2012</v>
      </c>
      <c r="C1779">
        <v>2144.7710000000002</v>
      </c>
      <c r="D1779">
        <v>59.999998660000003</v>
      </c>
      <c r="E1779">
        <v>0.02</v>
      </c>
      <c r="F1779">
        <v>0</v>
      </c>
      <c r="G1779">
        <v>0</v>
      </c>
      <c r="H1779">
        <v>0</v>
      </c>
      <c r="I1779">
        <v>4.38</v>
      </c>
      <c r="J1779">
        <v>47.08</v>
      </c>
      <c r="K1779">
        <v>147</v>
      </c>
      <c r="L1779">
        <v>76.69126</v>
      </c>
      <c r="M1779">
        <v>4.0999999999999996</v>
      </c>
      <c r="P1779">
        <v>4.713645402</v>
      </c>
      <c r="Q1779">
        <v>1788.6914389999999</v>
      </c>
      <c r="R1779">
        <v>6.16</v>
      </c>
      <c r="S1779">
        <v>811</v>
      </c>
      <c r="T1779">
        <v>1.8368975999999999</v>
      </c>
      <c r="U1779">
        <v>-157.3768317</v>
      </c>
    </row>
    <row r="1780" spans="1:21">
      <c r="A1780" t="s">
        <v>106</v>
      </c>
      <c r="B1780">
        <v>2013</v>
      </c>
      <c r="C1780">
        <v>2137.1572000000001</v>
      </c>
      <c r="D1780">
        <v>59.999998660000003</v>
      </c>
      <c r="E1780">
        <v>0.02</v>
      </c>
      <c r="F1780">
        <v>0</v>
      </c>
      <c r="G1780">
        <v>0</v>
      </c>
      <c r="H1780">
        <v>0</v>
      </c>
      <c r="I1780">
        <v>4.6500000000000004</v>
      </c>
      <c r="J1780">
        <v>44.53</v>
      </c>
      <c r="K1780">
        <v>147</v>
      </c>
      <c r="L1780">
        <v>78.931060000000002</v>
      </c>
      <c r="M1780">
        <v>4.5</v>
      </c>
      <c r="O1780">
        <v>4700000</v>
      </c>
      <c r="P1780">
        <v>4.2148510870000004</v>
      </c>
      <c r="Q1780">
        <v>1715.8143210000001</v>
      </c>
      <c r="R1780">
        <v>5.97</v>
      </c>
      <c r="S1780">
        <v>811</v>
      </c>
      <c r="T1780">
        <v>1.8368975999999999</v>
      </c>
      <c r="U1780">
        <v>-157.3768317</v>
      </c>
    </row>
    <row r="1781" spans="1:21">
      <c r="A1781" t="s">
        <v>106</v>
      </c>
      <c r="B1781">
        <v>2014</v>
      </c>
      <c r="C1781">
        <v>2120.3180000000002</v>
      </c>
      <c r="D1781">
        <v>59.999998660000003</v>
      </c>
      <c r="E1781">
        <v>0.02</v>
      </c>
      <c r="F1781">
        <v>0</v>
      </c>
      <c r="G1781">
        <v>0</v>
      </c>
      <c r="H1781">
        <v>0</v>
      </c>
      <c r="I1781">
        <v>6.88</v>
      </c>
      <c r="J1781">
        <v>46.41</v>
      </c>
      <c r="K1781">
        <v>147</v>
      </c>
      <c r="L1781">
        <v>83.453950000000006</v>
      </c>
      <c r="M1781">
        <v>5.2</v>
      </c>
      <c r="O1781">
        <v>4340000</v>
      </c>
      <c r="P1781">
        <v>-0.69773774300000002</v>
      </c>
      <c r="Q1781">
        <v>1642.820129</v>
      </c>
      <c r="R1781">
        <v>6.13</v>
      </c>
      <c r="S1781">
        <v>811</v>
      </c>
      <c r="T1781">
        <v>1.8368975999999999</v>
      </c>
      <c r="U1781">
        <v>-157.3768317</v>
      </c>
    </row>
    <row r="1782" spans="1:21">
      <c r="A1782" t="s">
        <v>106</v>
      </c>
      <c r="B1782">
        <v>2015</v>
      </c>
      <c r="C1782">
        <v>2253.5444000000002</v>
      </c>
      <c r="D1782">
        <v>59.999998660000003</v>
      </c>
      <c r="E1782">
        <v>0.02</v>
      </c>
      <c r="F1782">
        <v>0</v>
      </c>
      <c r="G1782">
        <v>0</v>
      </c>
      <c r="H1782">
        <v>0</v>
      </c>
      <c r="I1782">
        <v>20.82</v>
      </c>
      <c r="J1782">
        <v>45.73</v>
      </c>
      <c r="K1782">
        <v>147</v>
      </c>
      <c r="L1782">
        <v>90.558179999999993</v>
      </c>
      <c r="M1782">
        <v>5.7</v>
      </c>
      <c r="P1782">
        <v>10.40486376</v>
      </c>
      <c r="Q1782">
        <v>1542.6164650000001</v>
      </c>
      <c r="R1782">
        <v>5.76</v>
      </c>
      <c r="S1782">
        <v>811</v>
      </c>
      <c r="T1782">
        <v>1.8368975999999999</v>
      </c>
      <c r="U1782">
        <v>-157.3768317</v>
      </c>
    </row>
    <row r="1783" spans="1:21">
      <c r="A1783" t="s">
        <v>106</v>
      </c>
      <c r="B1783">
        <v>2016</v>
      </c>
      <c r="C1783">
        <v>2381.1415999999999</v>
      </c>
      <c r="D1783">
        <v>70.000000299999996</v>
      </c>
      <c r="E1783">
        <v>0.03</v>
      </c>
      <c r="F1783">
        <v>0</v>
      </c>
      <c r="G1783">
        <v>0</v>
      </c>
      <c r="H1783">
        <v>0</v>
      </c>
      <c r="I1783">
        <v>25.43</v>
      </c>
      <c r="J1783">
        <v>46.49</v>
      </c>
      <c r="K1783">
        <v>147</v>
      </c>
      <c r="L1783">
        <v>92.799614000000005</v>
      </c>
      <c r="M1783">
        <v>6.5</v>
      </c>
      <c r="O1783">
        <v>0</v>
      </c>
      <c r="P1783">
        <v>5.1377192450000004</v>
      </c>
      <c r="Q1783">
        <v>1584.7380149999999</v>
      </c>
      <c r="R1783">
        <v>5.28</v>
      </c>
      <c r="S1783">
        <v>811</v>
      </c>
      <c r="T1783">
        <v>1.8368975999999999</v>
      </c>
      <c r="U1783">
        <v>-157.3768317</v>
      </c>
    </row>
    <row r="1784" spans="1:21">
      <c r="A1784" t="s">
        <v>106</v>
      </c>
      <c r="B1784">
        <v>2017</v>
      </c>
      <c r="C1784">
        <v>2644.3162000000002</v>
      </c>
      <c r="D1784">
        <v>90.000003579999998</v>
      </c>
      <c r="E1784">
        <v>0.03</v>
      </c>
      <c r="F1784">
        <v>0</v>
      </c>
      <c r="G1784">
        <v>0</v>
      </c>
      <c r="H1784">
        <v>0</v>
      </c>
      <c r="I1784">
        <v>25.07</v>
      </c>
      <c r="J1784">
        <v>41.15</v>
      </c>
      <c r="K1784">
        <v>147</v>
      </c>
      <c r="L1784">
        <v>86.176445000000001</v>
      </c>
      <c r="M1784">
        <v>7.2</v>
      </c>
      <c r="P1784">
        <v>0.88975753700000004</v>
      </c>
      <c r="Q1784">
        <v>1640.571205</v>
      </c>
      <c r="R1784">
        <v>6.14</v>
      </c>
      <c r="S1784">
        <v>811</v>
      </c>
      <c r="T1784">
        <v>1.8368975999999999</v>
      </c>
      <c r="U1784">
        <v>-157.3768317</v>
      </c>
    </row>
    <row r="1785" spans="1:21">
      <c r="A1785" t="s">
        <v>106</v>
      </c>
      <c r="B1785">
        <v>2018</v>
      </c>
      <c r="C1785">
        <v>2619.8926000000001</v>
      </c>
      <c r="D1785">
        <v>90.000003579999998</v>
      </c>
      <c r="E1785">
        <v>0.03</v>
      </c>
      <c r="F1785">
        <v>0</v>
      </c>
      <c r="G1785">
        <v>0</v>
      </c>
      <c r="H1785">
        <v>0</v>
      </c>
      <c r="I1785">
        <v>24.71</v>
      </c>
      <c r="J1785">
        <v>41.03</v>
      </c>
      <c r="K1785">
        <v>147</v>
      </c>
      <c r="L1785">
        <v>88.103165000000004</v>
      </c>
      <c r="M1785">
        <v>8.1999999999999993</v>
      </c>
      <c r="O1785">
        <v>860000</v>
      </c>
      <c r="P1785">
        <v>3.7759542860000002</v>
      </c>
      <c r="Q1785">
        <v>1727.8450009999999</v>
      </c>
      <c r="R1785">
        <v>6.03</v>
      </c>
      <c r="S1785">
        <v>811</v>
      </c>
      <c r="T1785">
        <v>1.8368975999999999</v>
      </c>
      <c r="U1785">
        <v>-157.3768317</v>
      </c>
    </row>
    <row r="1786" spans="1:21">
      <c r="A1786" t="s">
        <v>106</v>
      </c>
      <c r="B1786">
        <v>2019</v>
      </c>
      <c r="C1786">
        <v>2592.4326000000001</v>
      </c>
      <c r="D1786">
        <v>90.000003579999998</v>
      </c>
      <c r="E1786">
        <v>0.03</v>
      </c>
      <c r="F1786">
        <v>0</v>
      </c>
      <c r="G1786">
        <v>0</v>
      </c>
      <c r="H1786">
        <v>0</v>
      </c>
      <c r="I1786">
        <v>24.33</v>
      </c>
      <c r="J1786">
        <v>41.03</v>
      </c>
      <c r="K1786">
        <v>147</v>
      </c>
      <c r="L1786">
        <v>90.032849999999996</v>
      </c>
      <c r="M1786">
        <v>9.1</v>
      </c>
      <c r="P1786">
        <v>3.926445438</v>
      </c>
      <c r="Q1786">
        <v>1601.8618690000001</v>
      </c>
      <c r="R1786">
        <v>5.93</v>
      </c>
      <c r="S1786">
        <v>811</v>
      </c>
      <c r="T1786">
        <v>1.8368975999999999</v>
      </c>
      <c r="U1786">
        <v>-157.3768317</v>
      </c>
    </row>
    <row r="1787" spans="1:21">
      <c r="A1787" t="s">
        <v>106</v>
      </c>
      <c r="B1787">
        <v>2020</v>
      </c>
      <c r="C1787">
        <v>2417.654</v>
      </c>
      <c r="E1787">
        <v>0.03</v>
      </c>
      <c r="F1787">
        <v>0</v>
      </c>
      <c r="G1787">
        <v>0</v>
      </c>
      <c r="H1787">
        <v>0</v>
      </c>
      <c r="I1787">
        <v>23.96</v>
      </c>
      <c r="K1787">
        <v>147</v>
      </c>
      <c r="L1787">
        <v>91.963030000000003</v>
      </c>
      <c r="M1787">
        <v>9.9</v>
      </c>
      <c r="P1787">
        <v>-1.9475566470000001</v>
      </c>
      <c r="Q1787">
        <v>1653.540297</v>
      </c>
      <c r="S1787">
        <v>811</v>
      </c>
      <c r="T1787">
        <v>1.8368975999999999</v>
      </c>
      <c r="U1787">
        <v>-157.3768317</v>
      </c>
    </row>
    <row r="1788" spans="1:21">
      <c r="A1788" t="s">
        <v>107</v>
      </c>
      <c r="B1788">
        <v>2000</v>
      </c>
      <c r="C1788">
        <v>109536.43</v>
      </c>
      <c r="D1788">
        <v>49840</v>
      </c>
      <c r="E1788">
        <v>30.38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240</v>
      </c>
      <c r="L1788">
        <v>100</v>
      </c>
      <c r="M1788">
        <v>100</v>
      </c>
      <c r="N1788">
        <v>0</v>
      </c>
      <c r="P1788">
        <v>4.6945818709999996</v>
      </c>
      <c r="Q1788">
        <v>18440.378519999998</v>
      </c>
      <c r="R1788">
        <v>6.91</v>
      </c>
      <c r="S1788">
        <v>17818</v>
      </c>
      <c r="T1788">
        <v>29.31166</v>
      </c>
      <c r="U1788">
        <v>47.481766</v>
      </c>
    </row>
    <row r="1789" spans="1:21">
      <c r="A1789" t="s">
        <v>107</v>
      </c>
      <c r="B1789">
        <v>2001</v>
      </c>
      <c r="C1789">
        <v>107600.5</v>
      </c>
      <c r="D1789">
        <v>53190</v>
      </c>
      <c r="E1789">
        <v>32.24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240</v>
      </c>
      <c r="L1789">
        <v>100</v>
      </c>
      <c r="M1789">
        <v>100</v>
      </c>
      <c r="N1789">
        <v>0</v>
      </c>
      <c r="P1789">
        <v>0.213332576</v>
      </c>
      <c r="Q1789">
        <v>16587.248650000001</v>
      </c>
      <c r="R1789">
        <v>7.36</v>
      </c>
      <c r="S1789">
        <v>17818</v>
      </c>
      <c r="T1789">
        <v>29.31166</v>
      </c>
      <c r="U1789">
        <v>47.481766</v>
      </c>
    </row>
    <row r="1790" spans="1:21">
      <c r="A1790" t="s">
        <v>107</v>
      </c>
      <c r="B1790">
        <v>2002</v>
      </c>
      <c r="C1790">
        <v>110790.81</v>
      </c>
      <c r="D1790">
        <v>55590.00015</v>
      </c>
      <c r="E1790">
        <v>34.18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240</v>
      </c>
      <c r="L1790">
        <v>100</v>
      </c>
      <c r="M1790">
        <v>100</v>
      </c>
      <c r="N1790">
        <v>0</v>
      </c>
      <c r="P1790">
        <v>3.014283152</v>
      </c>
      <c r="Q1790">
        <v>17846.37616</v>
      </c>
      <c r="R1790">
        <v>7.21</v>
      </c>
      <c r="S1790">
        <v>17818</v>
      </c>
      <c r="T1790">
        <v>29.31166</v>
      </c>
      <c r="U1790">
        <v>47.481766</v>
      </c>
    </row>
    <row r="1791" spans="1:21">
      <c r="A1791" t="s">
        <v>107</v>
      </c>
      <c r="B1791">
        <v>2003</v>
      </c>
      <c r="C1791">
        <v>128997.93</v>
      </c>
      <c r="D1791">
        <v>58119.998930000002</v>
      </c>
      <c r="E1791">
        <v>37.409999999999997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240</v>
      </c>
      <c r="L1791">
        <v>100</v>
      </c>
      <c r="M1791">
        <v>100</v>
      </c>
      <c r="N1791">
        <v>0</v>
      </c>
      <c r="P1791">
        <v>17.326020419999999</v>
      </c>
      <c r="Q1791">
        <v>22148.37815</v>
      </c>
      <c r="R1791">
        <v>6.59</v>
      </c>
      <c r="S1791">
        <v>17818</v>
      </c>
      <c r="T1791">
        <v>29.31166</v>
      </c>
      <c r="U1791">
        <v>47.481766</v>
      </c>
    </row>
    <row r="1792" spans="1:21">
      <c r="A1792" t="s">
        <v>107</v>
      </c>
      <c r="B1792">
        <v>2004</v>
      </c>
      <c r="C1792">
        <v>140627.26999999999</v>
      </c>
      <c r="D1792">
        <v>61909.99985</v>
      </c>
      <c r="E1792">
        <v>38.78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240</v>
      </c>
      <c r="L1792">
        <v>100</v>
      </c>
      <c r="M1792">
        <v>100</v>
      </c>
      <c r="N1792">
        <v>0</v>
      </c>
      <c r="P1792">
        <v>10.240298060000001</v>
      </c>
      <c r="Q1792">
        <v>27011.653999999999</v>
      </c>
      <c r="R1792">
        <v>6.6</v>
      </c>
      <c r="S1792">
        <v>17818</v>
      </c>
      <c r="T1792">
        <v>29.31166</v>
      </c>
      <c r="U1792">
        <v>47.481766</v>
      </c>
    </row>
    <row r="1793" spans="1:21">
      <c r="A1793" t="s">
        <v>107</v>
      </c>
      <c r="B1793">
        <v>2005</v>
      </c>
      <c r="C1793">
        <v>149455.01999999999</v>
      </c>
      <c r="D1793">
        <v>69910.003660000002</v>
      </c>
      <c r="E1793">
        <v>41.11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240</v>
      </c>
      <c r="L1793">
        <v>100</v>
      </c>
      <c r="M1793">
        <v>100</v>
      </c>
      <c r="N1793">
        <v>0</v>
      </c>
      <c r="P1793">
        <v>10.60904498</v>
      </c>
      <c r="Q1793">
        <v>35591.037129999997</v>
      </c>
      <c r="R1793">
        <v>6.78</v>
      </c>
      <c r="S1793">
        <v>17818</v>
      </c>
      <c r="T1793">
        <v>29.31166</v>
      </c>
      <c r="U1793">
        <v>47.481766</v>
      </c>
    </row>
    <row r="1794" spans="1:21">
      <c r="A1794" t="s">
        <v>107</v>
      </c>
      <c r="B1794">
        <v>2006</v>
      </c>
      <c r="C1794">
        <v>135875.57999999999</v>
      </c>
      <c r="D1794">
        <v>72430.000310000003</v>
      </c>
      <c r="E1794">
        <v>44.75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240</v>
      </c>
      <c r="L1794">
        <v>100</v>
      </c>
      <c r="M1794">
        <v>100</v>
      </c>
      <c r="N1794">
        <v>0</v>
      </c>
      <c r="P1794">
        <v>7.5147729999999999</v>
      </c>
      <c r="Q1794">
        <v>42781.564749999998</v>
      </c>
      <c r="R1794">
        <v>5.8</v>
      </c>
      <c r="S1794">
        <v>17818</v>
      </c>
      <c r="T1794">
        <v>29.31166</v>
      </c>
      <c r="U1794">
        <v>47.481766</v>
      </c>
    </row>
    <row r="1795" spans="1:21">
      <c r="A1795" t="s">
        <v>107</v>
      </c>
      <c r="B1795">
        <v>2007</v>
      </c>
      <c r="C1795">
        <v>124446.914</v>
      </c>
      <c r="D1795">
        <v>70599.998470000006</v>
      </c>
      <c r="E1795">
        <v>45.83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240</v>
      </c>
      <c r="L1795">
        <v>100</v>
      </c>
      <c r="M1795">
        <v>100</v>
      </c>
      <c r="N1795">
        <v>0</v>
      </c>
      <c r="P1795">
        <v>5.9915755109999997</v>
      </c>
      <c r="Q1795">
        <v>45782.148569999998</v>
      </c>
      <c r="R1795">
        <v>5.28</v>
      </c>
      <c r="S1795">
        <v>17818</v>
      </c>
      <c r="T1795">
        <v>29.31166</v>
      </c>
      <c r="U1795">
        <v>47.481766</v>
      </c>
    </row>
    <row r="1796" spans="1:21">
      <c r="A1796" t="s">
        <v>107</v>
      </c>
      <c r="B1796">
        <v>2008</v>
      </c>
      <c r="C1796">
        <v>127302.03</v>
      </c>
      <c r="D1796">
        <v>75839.996339999998</v>
      </c>
      <c r="E1796">
        <v>48.64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240</v>
      </c>
      <c r="L1796">
        <v>100</v>
      </c>
      <c r="M1796">
        <v>100</v>
      </c>
      <c r="N1796">
        <v>0</v>
      </c>
      <c r="P1796">
        <v>2.4797569429999999</v>
      </c>
      <c r="Q1796">
        <v>55494.930099999998</v>
      </c>
      <c r="R1796">
        <v>6.11</v>
      </c>
      <c r="S1796">
        <v>17818</v>
      </c>
      <c r="T1796">
        <v>29.31166</v>
      </c>
      <c r="U1796">
        <v>47.481766</v>
      </c>
    </row>
    <row r="1797" spans="1:21">
      <c r="A1797" t="s">
        <v>107</v>
      </c>
      <c r="B1797">
        <v>2009</v>
      </c>
      <c r="C1797">
        <v>124978.22</v>
      </c>
      <c r="D1797">
        <v>77650.001529999994</v>
      </c>
      <c r="E1797">
        <v>50.02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240</v>
      </c>
      <c r="L1797">
        <v>100</v>
      </c>
      <c r="M1797">
        <v>100</v>
      </c>
      <c r="N1797">
        <v>0</v>
      </c>
      <c r="P1797">
        <v>-7.0760564309999996</v>
      </c>
      <c r="Q1797">
        <v>37561.725930000001</v>
      </c>
      <c r="R1797">
        <v>6.84</v>
      </c>
      <c r="S1797">
        <v>17818</v>
      </c>
      <c r="T1797">
        <v>29.31166</v>
      </c>
      <c r="U1797">
        <v>47.481766</v>
      </c>
    </row>
    <row r="1798" spans="1:21">
      <c r="A1798" t="s">
        <v>107</v>
      </c>
      <c r="B1798">
        <v>2010</v>
      </c>
      <c r="C1798">
        <v>133508.60999999999</v>
      </c>
      <c r="D1798">
        <v>80720.001220000006</v>
      </c>
      <c r="E1798">
        <v>53.66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240</v>
      </c>
      <c r="L1798">
        <v>100</v>
      </c>
      <c r="M1798">
        <v>100</v>
      </c>
      <c r="N1798">
        <v>0</v>
      </c>
      <c r="P1798">
        <v>-2.3702641199999999</v>
      </c>
      <c r="Q1798">
        <v>38577.49828</v>
      </c>
      <c r="R1798">
        <v>7.42</v>
      </c>
      <c r="S1798">
        <v>17818</v>
      </c>
      <c r="T1798">
        <v>29.31166</v>
      </c>
      <c r="U1798">
        <v>47.481766</v>
      </c>
    </row>
    <row r="1799" spans="1:21">
      <c r="A1799" t="s">
        <v>107</v>
      </c>
      <c r="B1799">
        <v>2011</v>
      </c>
      <c r="C1799">
        <v>128367.73</v>
      </c>
      <c r="D1799">
        <v>83290.000920000006</v>
      </c>
      <c r="E1799">
        <v>54.04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240</v>
      </c>
      <c r="L1799">
        <v>100</v>
      </c>
      <c r="M1799">
        <v>100</v>
      </c>
      <c r="N1799">
        <v>0</v>
      </c>
      <c r="P1799">
        <v>9.6284069750000008</v>
      </c>
      <c r="Q1799">
        <v>48631.7834</v>
      </c>
      <c r="R1799">
        <v>6.58</v>
      </c>
      <c r="S1799">
        <v>17818</v>
      </c>
      <c r="T1799">
        <v>29.31166</v>
      </c>
      <c r="U1799">
        <v>47.481766</v>
      </c>
    </row>
    <row r="1800" spans="1:21">
      <c r="A1800" t="s">
        <v>107</v>
      </c>
      <c r="B1800">
        <v>2012</v>
      </c>
      <c r="C1800">
        <v>122214.484</v>
      </c>
      <c r="D1800">
        <v>85309.997560000003</v>
      </c>
      <c r="E1800">
        <v>57.45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240</v>
      </c>
      <c r="L1800">
        <v>100</v>
      </c>
      <c r="M1800">
        <v>100</v>
      </c>
      <c r="N1800">
        <v>0</v>
      </c>
      <c r="P1800">
        <v>6.6258182999999997</v>
      </c>
      <c r="Q1800">
        <v>51979.120690000003</v>
      </c>
      <c r="R1800">
        <v>6.67</v>
      </c>
      <c r="S1800">
        <v>17818</v>
      </c>
      <c r="T1800">
        <v>29.31166</v>
      </c>
      <c r="U1800">
        <v>47.481766</v>
      </c>
    </row>
    <row r="1801" spans="1:21">
      <c r="A1801" t="s">
        <v>107</v>
      </c>
      <c r="B1801">
        <v>2013</v>
      </c>
      <c r="C1801">
        <v>116451.43</v>
      </c>
      <c r="D1801">
        <v>87360.000610000003</v>
      </c>
      <c r="E1801">
        <v>57.32</v>
      </c>
      <c r="F1801">
        <v>0</v>
      </c>
      <c r="G1801">
        <v>0.01</v>
      </c>
      <c r="H1801">
        <v>1.7442875E-2</v>
      </c>
      <c r="I1801">
        <v>0.71</v>
      </c>
      <c r="J1801">
        <v>0</v>
      </c>
      <c r="K1801">
        <v>240</v>
      </c>
      <c r="L1801">
        <v>100</v>
      </c>
      <c r="M1801">
        <v>100</v>
      </c>
      <c r="N1801">
        <v>1.15751E-4</v>
      </c>
      <c r="P1801">
        <v>1.149300437</v>
      </c>
      <c r="Q1801">
        <v>49388.053379999998</v>
      </c>
      <c r="R1801">
        <v>5.57</v>
      </c>
      <c r="S1801">
        <v>17818</v>
      </c>
      <c r="T1801">
        <v>29.31166</v>
      </c>
      <c r="U1801">
        <v>47.481766</v>
      </c>
    </row>
    <row r="1802" spans="1:21">
      <c r="A1802" t="s">
        <v>107</v>
      </c>
      <c r="B1802">
        <v>2014</v>
      </c>
      <c r="C1802">
        <v>114804.984</v>
      </c>
      <c r="D1802">
        <v>85569.999689999997</v>
      </c>
      <c r="E1802">
        <v>61.23</v>
      </c>
      <c r="F1802">
        <v>0</v>
      </c>
      <c r="G1802">
        <v>0.01</v>
      </c>
      <c r="H1802">
        <v>1.6329195000000001E-2</v>
      </c>
      <c r="I1802">
        <v>1.21</v>
      </c>
      <c r="J1802">
        <v>0</v>
      </c>
      <c r="K1802">
        <v>240</v>
      </c>
      <c r="L1802">
        <v>100</v>
      </c>
      <c r="M1802">
        <v>100</v>
      </c>
      <c r="N1802">
        <v>2.0358339999999998E-3</v>
      </c>
      <c r="P1802">
        <v>0.50087698199999997</v>
      </c>
      <c r="Q1802">
        <v>44062.340909999999</v>
      </c>
      <c r="R1802">
        <v>5.68</v>
      </c>
      <c r="S1802">
        <v>17818</v>
      </c>
      <c r="T1802">
        <v>29.31166</v>
      </c>
      <c r="U1802">
        <v>47.481766</v>
      </c>
    </row>
    <row r="1803" spans="1:21">
      <c r="A1803" t="s">
        <v>107</v>
      </c>
      <c r="B1803">
        <v>2015</v>
      </c>
      <c r="C1803">
        <v>114809.12</v>
      </c>
      <c r="D1803">
        <v>89019.996639999998</v>
      </c>
      <c r="E1803">
        <v>64.180000000000007</v>
      </c>
      <c r="F1803">
        <v>0</v>
      </c>
      <c r="G1803">
        <v>0.01</v>
      </c>
      <c r="H1803">
        <v>1.5578750000000001E-2</v>
      </c>
      <c r="I1803">
        <v>1.46</v>
      </c>
      <c r="J1803">
        <v>0.01</v>
      </c>
      <c r="K1803">
        <v>240</v>
      </c>
      <c r="L1803">
        <v>100</v>
      </c>
      <c r="M1803">
        <v>100</v>
      </c>
      <c r="N1803">
        <v>3.0183459999999999E-3</v>
      </c>
      <c r="P1803">
        <v>0.59301961700000005</v>
      </c>
      <c r="Q1803">
        <v>29869.552749999999</v>
      </c>
      <c r="R1803">
        <v>7.08</v>
      </c>
      <c r="S1803">
        <v>17818</v>
      </c>
      <c r="T1803">
        <v>29.31166</v>
      </c>
      <c r="U1803">
        <v>47.481766</v>
      </c>
    </row>
    <row r="1804" spans="1:21">
      <c r="A1804" t="s">
        <v>107</v>
      </c>
      <c r="B1804">
        <v>2016</v>
      </c>
      <c r="C1804">
        <v>109505.66</v>
      </c>
      <c r="D1804">
        <v>91550.003049999999</v>
      </c>
      <c r="E1804">
        <v>65.83</v>
      </c>
      <c r="F1804">
        <v>0</v>
      </c>
      <c r="G1804">
        <v>0.02</v>
      </c>
      <c r="H1804">
        <v>3.0372059E-2</v>
      </c>
      <c r="I1804">
        <v>8.32</v>
      </c>
      <c r="J1804">
        <v>0.01</v>
      </c>
      <c r="K1804">
        <v>240</v>
      </c>
      <c r="L1804">
        <v>100</v>
      </c>
      <c r="M1804">
        <v>100</v>
      </c>
      <c r="N1804">
        <v>2.9127507E-2</v>
      </c>
      <c r="P1804">
        <v>2.925868226</v>
      </c>
      <c r="Q1804">
        <v>27653.157620000002</v>
      </c>
      <c r="R1804">
        <v>7.3</v>
      </c>
      <c r="S1804">
        <v>17818</v>
      </c>
      <c r="T1804">
        <v>29.31166</v>
      </c>
      <c r="U1804">
        <v>47.481766</v>
      </c>
    </row>
    <row r="1805" spans="1:21">
      <c r="A1805" t="s">
        <v>107</v>
      </c>
      <c r="B1805">
        <v>2017</v>
      </c>
      <c r="C1805">
        <v>109312.47</v>
      </c>
      <c r="D1805">
        <v>90730.003360000002</v>
      </c>
      <c r="E1805">
        <v>68.36</v>
      </c>
      <c r="F1805">
        <v>0</v>
      </c>
      <c r="G1805">
        <v>0.04</v>
      </c>
      <c r="H1805">
        <v>5.8479533E-2</v>
      </c>
      <c r="I1805">
        <v>10.95</v>
      </c>
      <c r="J1805">
        <v>0.02</v>
      </c>
      <c r="K1805">
        <v>240</v>
      </c>
      <c r="L1805">
        <v>100</v>
      </c>
      <c r="M1805">
        <v>100</v>
      </c>
      <c r="N1805">
        <v>4.0029115999999997E-2</v>
      </c>
      <c r="P1805">
        <v>-4.7121062089999999</v>
      </c>
      <c r="Q1805">
        <v>29759.46747</v>
      </c>
      <c r="R1805">
        <v>7.18</v>
      </c>
      <c r="S1805">
        <v>17818</v>
      </c>
      <c r="T1805">
        <v>29.31166</v>
      </c>
      <c r="U1805">
        <v>47.481766</v>
      </c>
    </row>
    <row r="1806" spans="1:21">
      <c r="A1806" t="s">
        <v>107</v>
      </c>
      <c r="B1806">
        <v>2018</v>
      </c>
      <c r="C1806">
        <v>106945.27</v>
      </c>
      <c r="D1806">
        <v>91389.999389999997</v>
      </c>
      <c r="E1806">
        <v>69.58</v>
      </c>
      <c r="F1806">
        <v>0</v>
      </c>
      <c r="G1806">
        <v>0.06</v>
      </c>
      <c r="H1806">
        <v>8.6157380000000006E-2</v>
      </c>
      <c r="I1806">
        <v>13.41</v>
      </c>
      <c r="J1806">
        <v>0.03</v>
      </c>
      <c r="K1806">
        <v>240</v>
      </c>
      <c r="L1806">
        <v>100</v>
      </c>
      <c r="M1806">
        <v>100</v>
      </c>
      <c r="N1806">
        <v>3.133408E-2</v>
      </c>
      <c r="P1806">
        <v>1.246129408</v>
      </c>
      <c r="Q1806">
        <v>33399.060440000001</v>
      </c>
      <c r="R1806">
        <v>7.07</v>
      </c>
      <c r="S1806">
        <v>17818</v>
      </c>
      <c r="T1806">
        <v>29.31166</v>
      </c>
      <c r="U1806">
        <v>47.481766</v>
      </c>
    </row>
    <row r="1807" spans="1:21">
      <c r="A1807" t="s">
        <v>107</v>
      </c>
      <c r="B1807">
        <v>2019</v>
      </c>
      <c r="C1807">
        <v>94612.554999999993</v>
      </c>
      <c r="D1807">
        <v>92650.001529999994</v>
      </c>
      <c r="E1807">
        <v>70.45</v>
      </c>
      <c r="F1807">
        <v>0</v>
      </c>
      <c r="G1807">
        <v>0.06</v>
      </c>
      <c r="H1807">
        <v>8.5094310000000006E-2</v>
      </c>
      <c r="I1807">
        <v>25.14</v>
      </c>
      <c r="J1807">
        <v>0.06</v>
      </c>
      <c r="K1807">
        <v>240</v>
      </c>
      <c r="L1807">
        <v>100</v>
      </c>
      <c r="M1807">
        <v>100</v>
      </c>
      <c r="N1807">
        <v>3.4184187999999997E-2</v>
      </c>
      <c r="P1807">
        <v>0.42746393999999999</v>
      </c>
      <c r="Q1807">
        <v>32373.251120000001</v>
      </c>
      <c r="R1807">
        <v>7.4</v>
      </c>
      <c r="S1807">
        <v>17818</v>
      </c>
      <c r="T1807">
        <v>29.31166</v>
      </c>
      <c r="U1807">
        <v>47.481766</v>
      </c>
    </row>
    <row r="1808" spans="1:21">
      <c r="A1808" t="s">
        <v>107</v>
      </c>
      <c r="B1808">
        <v>2020</v>
      </c>
      <c r="C1808">
        <v>91131.37</v>
      </c>
      <c r="E1808">
        <v>66.89</v>
      </c>
      <c r="F1808">
        <v>0</v>
      </c>
      <c r="G1808">
        <v>0.05</v>
      </c>
      <c r="H1808">
        <v>7.4693754000000001E-2</v>
      </c>
      <c r="I1808">
        <v>24.76</v>
      </c>
      <c r="K1808">
        <v>240</v>
      </c>
      <c r="L1808">
        <v>100</v>
      </c>
      <c r="M1808">
        <v>100</v>
      </c>
      <c r="N1808">
        <v>3.6519467999999999E-2</v>
      </c>
      <c r="P1808">
        <v>-8.6852616529999995</v>
      </c>
      <c r="Q1808">
        <v>24811.76971</v>
      </c>
      <c r="S1808">
        <v>17818</v>
      </c>
      <c r="T1808">
        <v>29.31166</v>
      </c>
      <c r="U1808">
        <v>47.481766</v>
      </c>
    </row>
    <row r="1809" spans="1:21">
      <c r="A1809" t="s">
        <v>108</v>
      </c>
      <c r="B1809">
        <v>2000</v>
      </c>
      <c r="C1809">
        <v>14177.031000000001</v>
      </c>
      <c r="E1809">
        <v>2.16</v>
      </c>
      <c r="F1809">
        <v>0</v>
      </c>
      <c r="G1809">
        <v>13.55</v>
      </c>
      <c r="H1809">
        <v>86.250789999999995</v>
      </c>
      <c r="I1809">
        <v>598.16</v>
      </c>
      <c r="J1809">
        <v>35.159999999999997</v>
      </c>
      <c r="K1809">
        <v>34</v>
      </c>
      <c r="L1809">
        <v>99.610245000000006</v>
      </c>
      <c r="M1809">
        <v>52.7</v>
      </c>
      <c r="O1809">
        <v>8460000</v>
      </c>
      <c r="R1809">
        <v>6.44</v>
      </c>
      <c r="S1809">
        <v>199951</v>
      </c>
      <c r="T1809">
        <v>41.20438</v>
      </c>
      <c r="U1809">
        <v>74.766098</v>
      </c>
    </row>
    <row r="1810" spans="1:21">
      <c r="A1810" t="s">
        <v>108</v>
      </c>
      <c r="B1810">
        <v>2001</v>
      </c>
      <c r="C1810">
        <v>13327.09</v>
      </c>
      <c r="E1810">
        <v>2.36</v>
      </c>
      <c r="F1810">
        <v>0</v>
      </c>
      <c r="G1810">
        <v>12.31</v>
      </c>
      <c r="H1810">
        <v>83.912750000000003</v>
      </c>
      <c r="I1810">
        <v>593.09</v>
      </c>
      <c r="J1810">
        <v>36</v>
      </c>
      <c r="K1810">
        <v>34</v>
      </c>
      <c r="L1810">
        <v>99.581010000000006</v>
      </c>
      <c r="M1810">
        <v>55</v>
      </c>
      <c r="R1810">
        <v>5.68</v>
      </c>
      <c r="S1810">
        <v>199951</v>
      </c>
      <c r="T1810">
        <v>41.20438</v>
      </c>
      <c r="U1810">
        <v>74.766098</v>
      </c>
    </row>
    <row r="1811" spans="1:21">
      <c r="A1811" t="s">
        <v>108</v>
      </c>
      <c r="B1811">
        <v>2002</v>
      </c>
      <c r="C1811">
        <v>11277.386</v>
      </c>
      <c r="E1811">
        <v>2.16</v>
      </c>
      <c r="F1811">
        <v>0</v>
      </c>
      <c r="G1811">
        <v>10.68</v>
      </c>
      <c r="H1811">
        <v>83.177570000000003</v>
      </c>
      <c r="I1811">
        <v>589.67999999999995</v>
      </c>
      <c r="J1811">
        <v>28.3</v>
      </c>
      <c r="K1811">
        <v>34</v>
      </c>
      <c r="L1811">
        <v>100</v>
      </c>
      <c r="M1811">
        <v>56.4</v>
      </c>
      <c r="R1811">
        <v>6.39</v>
      </c>
      <c r="S1811">
        <v>199951</v>
      </c>
      <c r="T1811">
        <v>41.20438</v>
      </c>
      <c r="U1811">
        <v>74.766098</v>
      </c>
    </row>
    <row r="1812" spans="1:21">
      <c r="A1812" t="s">
        <v>108</v>
      </c>
      <c r="B1812">
        <v>2003</v>
      </c>
      <c r="C1812">
        <v>11796.489</v>
      </c>
      <c r="E1812">
        <v>1.94</v>
      </c>
      <c r="F1812">
        <v>0</v>
      </c>
      <c r="G1812">
        <v>13.38</v>
      </c>
      <c r="H1812">
        <v>87.336815000000001</v>
      </c>
      <c r="I1812">
        <v>587.09</v>
      </c>
      <c r="J1812">
        <v>30.51</v>
      </c>
      <c r="K1812">
        <v>34</v>
      </c>
      <c r="L1812">
        <v>99.502120000000005</v>
      </c>
      <c r="M1812">
        <v>58.2</v>
      </c>
      <c r="R1812">
        <v>6.35</v>
      </c>
      <c r="S1812">
        <v>199951</v>
      </c>
      <c r="T1812">
        <v>41.20438</v>
      </c>
      <c r="U1812">
        <v>74.766098</v>
      </c>
    </row>
    <row r="1813" spans="1:21">
      <c r="A1813" t="s">
        <v>108</v>
      </c>
      <c r="B1813">
        <v>2004</v>
      </c>
      <c r="C1813">
        <v>11902.486000000001</v>
      </c>
      <c r="E1813">
        <v>2.08</v>
      </c>
      <c r="F1813">
        <v>0</v>
      </c>
      <c r="G1813">
        <v>13.95</v>
      </c>
      <c r="H1813">
        <v>87.024320000000003</v>
      </c>
      <c r="I1813">
        <v>584.12</v>
      </c>
      <c r="J1813">
        <v>27.71</v>
      </c>
      <c r="K1813">
        <v>34</v>
      </c>
      <c r="L1813">
        <v>99.457183999999998</v>
      </c>
      <c r="M1813">
        <v>60.5</v>
      </c>
      <c r="O1813">
        <v>40000</v>
      </c>
      <c r="R1813">
        <v>5.85</v>
      </c>
      <c r="S1813">
        <v>199951</v>
      </c>
      <c r="T1813">
        <v>41.20438</v>
      </c>
      <c r="U1813">
        <v>74.766098</v>
      </c>
    </row>
    <row r="1814" spans="1:21">
      <c r="A1814" t="s">
        <v>108</v>
      </c>
      <c r="B1814">
        <v>2005</v>
      </c>
      <c r="C1814">
        <v>11085.9</v>
      </c>
      <c r="E1814">
        <v>1.98</v>
      </c>
      <c r="F1814">
        <v>0</v>
      </c>
      <c r="G1814">
        <v>12.66</v>
      </c>
      <c r="H1814">
        <v>86.475409999999997</v>
      </c>
      <c r="I1814">
        <v>579.94000000000005</v>
      </c>
      <c r="J1814">
        <v>28.03</v>
      </c>
      <c r="K1814">
        <v>34</v>
      </c>
      <c r="L1814">
        <v>99.442310000000006</v>
      </c>
      <c r="M1814">
        <v>62.4</v>
      </c>
      <c r="R1814">
        <v>5.93</v>
      </c>
      <c r="S1814">
        <v>199951</v>
      </c>
      <c r="T1814">
        <v>41.20438</v>
      </c>
      <c r="U1814">
        <v>74.766098</v>
      </c>
    </row>
    <row r="1815" spans="1:21">
      <c r="A1815" t="s">
        <v>108</v>
      </c>
      <c r="B1815">
        <v>2006</v>
      </c>
      <c r="C1815">
        <v>11181.869000000001</v>
      </c>
      <c r="E1815">
        <v>1.93</v>
      </c>
      <c r="F1815">
        <v>0</v>
      </c>
      <c r="G1815">
        <v>12.35</v>
      </c>
      <c r="H1815">
        <v>86.4846</v>
      </c>
      <c r="I1815">
        <v>574.39</v>
      </c>
      <c r="J1815">
        <v>27.76</v>
      </c>
      <c r="K1815">
        <v>34</v>
      </c>
      <c r="L1815">
        <v>98.89</v>
      </c>
      <c r="M1815">
        <v>64.3</v>
      </c>
      <c r="R1815">
        <v>5.66</v>
      </c>
      <c r="S1815">
        <v>199951</v>
      </c>
      <c r="T1815">
        <v>41.20438</v>
      </c>
      <c r="U1815">
        <v>74.766098</v>
      </c>
    </row>
    <row r="1816" spans="1:21">
      <c r="A1816" t="s">
        <v>108</v>
      </c>
      <c r="B1816">
        <v>2007</v>
      </c>
      <c r="C1816">
        <v>12160.273999999999</v>
      </c>
      <c r="E1816">
        <v>1.97</v>
      </c>
      <c r="F1816">
        <v>0</v>
      </c>
      <c r="G1816">
        <v>12.61</v>
      </c>
      <c r="H1816">
        <v>86.488339999999994</v>
      </c>
      <c r="I1816">
        <v>567.9</v>
      </c>
      <c r="J1816">
        <v>24.49</v>
      </c>
      <c r="K1816">
        <v>34</v>
      </c>
      <c r="L1816">
        <v>99.54</v>
      </c>
      <c r="M1816">
        <v>66.400000000000006</v>
      </c>
      <c r="R1816">
        <v>6.08</v>
      </c>
      <c r="S1816">
        <v>199951</v>
      </c>
      <c r="T1816">
        <v>41.20438</v>
      </c>
      <c r="U1816">
        <v>74.766098</v>
      </c>
    </row>
    <row r="1817" spans="1:21">
      <c r="A1817" t="s">
        <v>108</v>
      </c>
      <c r="B1817">
        <v>2008</v>
      </c>
      <c r="C1817">
        <v>11500.209000000001</v>
      </c>
      <c r="E1817">
        <v>1.57</v>
      </c>
      <c r="F1817">
        <v>0</v>
      </c>
      <c r="G1817">
        <v>10.02</v>
      </c>
      <c r="H1817">
        <v>86.45384</v>
      </c>
      <c r="I1817">
        <v>560.27</v>
      </c>
      <c r="J1817">
        <v>22.04</v>
      </c>
      <c r="K1817">
        <v>34</v>
      </c>
      <c r="L1817">
        <v>99.51</v>
      </c>
      <c r="M1817">
        <v>68.2</v>
      </c>
      <c r="O1817">
        <v>400000</v>
      </c>
      <c r="R1817">
        <v>6</v>
      </c>
      <c r="S1817">
        <v>199951</v>
      </c>
      <c r="T1817">
        <v>41.20438</v>
      </c>
      <c r="U1817">
        <v>74.766098</v>
      </c>
    </row>
    <row r="1818" spans="1:21">
      <c r="A1818" t="s">
        <v>108</v>
      </c>
      <c r="B1818">
        <v>2009</v>
      </c>
      <c r="C1818">
        <v>11463.955</v>
      </c>
      <c r="E1818">
        <v>0.81</v>
      </c>
      <c r="F1818">
        <v>0</v>
      </c>
      <c r="G1818">
        <v>10.11</v>
      </c>
      <c r="H1818">
        <v>92.582409999999996</v>
      </c>
      <c r="I1818">
        <v>551.9</v>
      </c>
      <c r="J1818">
        <v>24.73</v>
      </c>
      <c r="K1818">
        <v>34</v>
      </c>
      <c r="L1818">
        <v>99.5</v>
      </c>
      <c r="M1818">
        <v>70</v>
      </c>
      <c r="O1818">
        <v>170000</v>
      </c>
      <c r="R1818">
        <v>5.33</v>
      </c>
      <c r="S1818">
        <v>199951</v>
      </c>
      <c r="T1818">
        <v>41.20438</v>
      </c>
      <c r="U1818">
        <v>74.766098</v>
      </c>
    </row>
    <row r="1819" spans="1:21">
      <c r="A1819" t="s">
        <v>108</v>
      </c>
      <c r="B1819">
        <v>2010</v>
      </c>
      <c r="C1819">
        <v>10836.261</v>
      </c>
      <c r="E1819">
        <v>0.93</v>
      </c>
      <c r="F1819">
        <v>0</v>
      </c>
      <c r="G1819">
        <v>11</v>
      </c>
      <c r="H1819">
        <v>92.204520000000002</v>
      </c>
      <c r="I1819">
        <v>565.11</v>
      </c>
      <c r="J1819">
        <v>25.59</v>
      </c>
      <c r="K1819">
        <v>34</v>
      </c>
      <c r="L1819">
        <v>99</v>
      </c>
      <c r="M1819">
        <v>71.55</v>
      </c>
      <c r="O1819">
        <v>1540000</v>
      </c>
      <c r="R1819">
        <v>5.1100000000000003</v>
      </c>
      <c r="S1819">
        <v>199951</v>
      </c>
      <c r="T1819">
        <v>41.20438</v>
      </c>
      <c r="U1819">
        <v>74.766098</v>
      </c>
    </row>
    <row r="1820" spans="1:21">
      <c r="A1820" t="s">
        <v>108</v>
      </c>
      <c r="B1820">
        <v>2011</v>
      </c>
      <c r="C1820">
        <v>12183.773999999999</v>
      </c>
      <c r="E1820">
        <v>0.96</v>
      </c>
      <c r="F1820">
        <v>0</v>
      </c>
      <c r="G1820">
        <v>14</v>
      </c>
      <c r="H1820">
        <v>93.582886000000002</v>
      </c>
      <c r="I1820">
        <v>556.64</v>
      </c>
      <c r="J1820">
        <v>25.95</v>
      </c>
      <c r="K1820">
        <v>34</v>
      </c>
      <c r="L1820">
        <v>98.32</v>
      </c>
      <c r="M1820">
        <v>73.3</v>
      </c>
      <c r="O1820">
        <v>24380000</v>
      </c>
      <c r="R1820">
        <v>5.8</v>
      </c>
      <c r="S1820">
        <v>199951</v>
      </c>
      <c r="T1820">
        <v>41.20438</v>
      </c>
      <c r="U1820">
        <v>74.766098</v>
      </c>
    </row>
    <row r="1821" spans="1:21">
      <c r="A1821" t="s">
        <v>108</v>
      </c>
      <c r="B1821">
        <v>2012</v>
      </c>
      <c r="C1821">
        <v>13588.380999999999</v>
      </c>
      <c r="E1821">
        <v>0.93</v>
      </c>
      <c r="F1821">
        <v>0</v>
      </c>
      <c r="G1821">
        <v>14.04</v>
      </c>
      <c r="H1821">
        <v>93.787575000000004</v>
      </c>
      <c r="I1821">
        <v>546.38</v>
      </c>
      <c r="J1821">
        <v>22.45</v>
      </c>
      <c r="K1821">
        <v>34</v>
      </c>
      <c r="L1821">
        <v>99.8</v>
      </c>
      <c r="M1821">
        <v>74.7</v>
      </c>
      <c r="O1821">
        <v>610000</v>
      </c>
      <c r="R1821">
        <v>7.25</v>
      </c>
      <c r="S1821">
        <v>199951</v>
      </c>
      <c r="T1821">
        <v>41.20438</v>
      </c>
      <c r="U1821">
        <v>74.766098</v>
      </c>
    </row>
    <row r="1822" spans="1:21">
      <c r="A1822" t="s">
        <v>108</v>
      </c>
      <c r="B1822">
        <v>2013</v>
      </c>
      <c r="C1822">
        <v>12564.967000000001</v>
      </c>
      <c r="E1822">
        <v>0.86</v>
      </c>
      <c r="F1822">
        <v>0</v>
      </c>
      <c r="G1822">
        <v>13</v>
      </c>
      <c r="H1822">
        <v>93.795100000000005</v>
      </c>
      <c r="I1822">
        <v>623.16</v>
      </c>
      <c r="J1822">
        <v>24.81</v>
      </c>
      <c r="K1822">
        <v>34</v>
      </c>
      <c r="L1822">
        <v>98.93</v>
      </c>
      <c r="M1822">
        <v>75.400000000000006</v>
      </c>
      <c r="O1822">
        <v>13510000</v>
      </c>
      <c r="R1822">
        <v>6.16</v>
      </c>
      <c r="S1822">
        <v>199951</v>
      </c>
      <c r="T1822">
        <v>41.20438</v>
      </c>
      <c r="U1822">
        <v>74.766098</v>
      </c>
    </row>
    <row r="1823" spans="1:21">
      <c r="A1823" t="s">
        <v>108</v>
      </c>
      <c r="B1823">
        <v>2014</v>
      </c>
      <c r="C1823">
        <v>12576.968000000001</v>
      </c>
      <c r="E1823">
        <v>1.2</v>
      </c>
      <c r="F1823">
        <v>0</v>
      </c>
      <c r="G1823">
        <v>13.16</v>
      </c>
      <c r="H1823">
        <v>91.643456</v>
      </c>
      <c r="I1823">
        <v>628.09</v>
      </c>
      <c r="J1823">
        <v>26.6</v>
      </c>
      <c r="K1823">
        <v>34</v>
      </c>
      <c r="L1823">
        <v>99.8</v>
      </c>
      <c r="M1823">
        <v>76</v>
      </c>
      <c r="R1823">
        <v>6.21</v>
      </c>
      <c r="S1823">
        <v>199951</v>
      </c>
      <c r="T1823">
        <v>41.20438</v>
      </c>
      <c r="U1823">
        <v>74.766098</v>
      </c>
    </row>
    <row r="1824" spans="1:21">
      <c r="A1824" t="s">
        <v>108</v>
      </c>
      <c r="B1824">
        <v>2015</v>
      </c>
      <c r="C1824">
        <v>11097.164000000001</v>
      </c>
      <c r="E1824">
        <v>1.81</v>
      </c>
      <c r="F1824">
        <v>0</v>
      </c>
      <c r="G1824">
        <v>10.99</v>
      </c>
      <c r="H1824">
        <v>85.859375</v>
      </c>
      <c r="I1824">
        <v>616.95000000000005</v>
      </c>
      <c r="J1824">
        <v>23.3</v>
      </c>
      <c r="K1824">
        <v>34</v>
      </c>
      <c r="L1824">
        <v>98.69</v>
      </c>
      <c r="M1824">
        <v>76.3</v>
      </c>
      <c r="O1824">
        <v>20000</v>
      </c>
      <c r="R1824">
        <v>5.82</v>
      </c>
      <c r="S1824">
        <v>199951</v>
      </c>
      <c r="T1824">
        <v>41.20438</v>
      </c>
      <c r="U1824">
        <v>74.766098</v>
      </c>
    </row>
    <row r="1825" spans="1:21">
      <c r="A1825" t="s">
        <v>108</v>
      </c>
      <c r="B1825">
        <v>2016</v>
      </c>
      <c r="C1825">
        <v>11131.657999999999</v>
      </c>
      <c r="E1825">
        <v>1.66</v>
      </c>
      <c r="F1825">
        <v>0</v>
      </c>
      <c r="G1825">
        <v>11.38</v>
      </c>
      <c r="H1825">
        <v>87.269936000000001</v>
      </c>
      <c r="I1825">
        <v>605.29999999999995</v>
      </c>
      <c r="J1825">
        <v>21.92</v>
      </c>
      <c r="K1825">
        <v>34</v>
      </c>
      <c r="L1825">
        <v>99.71</v>
      </c>
      <c r="M1825">
        <v>76.599999999999994</v>
      </c>
      <c r="O1825">
        <v>38220000</v>
      </c>
      <c r="R1825">
        <v>5.41</v>
      </c>
      <c r="S1825">
        <v>199951</v>
      </c>
      <c r="T1825">
        <v>41.20438</v>
      </c>
      <c r="U1825">
        <v>74.766098</v>
      </c>
    </row>
    <row r="1826" spans="1:21">
      <c r="A1826" t="s">
        <v>108</v>
      </c>
      <c r="B1826">
        <v>2017</v>
      </c>
      <c r="C1826">
        <v>11335.21</v>
      </c>
      <c r="E1826">
        <v>1.23</v>
      </c>
      <c r="F1826">
        <v>0</v>
      </c>
      <c r="G1826">
        <v>14.06</v>
      </c>
      <c r="H1826">
        <v>91.955529999999996</v>
      </c>
      <c r="I1826">
        <v>595.91999999999996</v>
      </c>
      <c r="J1826">
        <v>24.55</v>
      </c>
      <c r="K1826">
        <v>34</v>
      </c>
      <c r="L1826">
        <v>100</v>
      </c>
      <c r="M1826">
        <v>76.599999999999994</v>
      </c>
      <c r="O1826">
        <v>1250000</v>
      </c>
      <c r="R1826">
        <v>5.15</v>
      </c>
      <c r="S1826">
        <v>199951</v>
      </c>
      <c r="T1826">
        <v>41.20438</v>
      </c>
      <c r="U1826">
        <v>74.766098</v>
      </c>
    </row>
    <row r="1827" spans="1:21">
      <c r="A1827" t="s">
        <v>108</v>
      </c>
      <c r="B1827">
        <v>2018</v>
      </c>
      <c r="C1827">
        <v>11778.976000000001</v>
      </c>
      <c r="E1827">
        <v>1.1299999999999999</v>
      </c>
      <c r="F1827">
        <v>0</v>
      </c>
      <c r="G1827">
        <v>14.17</v>
      </c>
      <c r="H1827">
        <v>92.614379999999997</v>
      </c>
      <c r="I1827">
        <v>582.66</v>
      </c>
      <c r="J1827">
        <v>23.21</v>
      </c>
      <c r="K1827">
        <v>34</v>
      </c>
      <c r="L1827">
        <v>100</v>
      </c>
      <c r="M1827">
        <v>76.900000000000006</v>
      </c>
      <c r="O1827">
        <v>80000</v>
      </c>
      <c r="R1827">
        <v>5.88</v>
      </c>
      <c r="S1827">
        <v>199951</v>
      </c>
      <c r="T1827">
        <v>41.20438</v>
      </c>
      <c r="U1827">
        <v>74.766098</v>
      </c>
    </row>
    <row r="1828" spans="1:21">
      <c r="A1828" t="s">
        <v>108</v>
      </c>
      <c r="B1828">
        <v>2019</v>
      </c>
      <c r="C1828">
        <v>10582.124</v>
      </c>
      <c r="E1828">
        <v>1.1299999999999999</v>
      </c>
      <c r="F1828">
        <v>0</v>
      </c>
      <c r="G1828">
        <v>13.71</v>
      </c>
      <c r="H1828">
        <v>92.385445000000004</v>
      </c>
      <c r="I1828">
        <v>572.5</v>
      </c>
      <c r="J1828">
        <v>27.88</v>
      </c>
      <c r="K1828">
        <v>34</v>
      </c>
      <c r="L1828">
        <v>99.87424</v>
      </c>
      <c r="M1828">
        <v>76.599999999999994</v>
      </c>
      <c r="O1828">
        <v>86210000</v>
      </c>
      <c r="R1828">
        <v>4.96</v>
      </c>
      <c r="S1828">
        <v>199951</v>
      </c>
      <c r="T1828">
        <v>41.20438</v>
      </c>
      <c r="U1828">
        <v>74.766098</v>
      </c>
    </row>
    <row r="1829" spans="1:21">
      <c r="A1829" t="s">
        <v>108</v>
      </c>
      <c r="B1829">
        <v>2020</v>
      </c>
      <c r="C1829">
        <v>10439.837</v>
      </c>
      <c r="E1829">
        <v>1.37</v>
      </c>
      <c r="F1829">
        <v>0</v>
      </c>
      <c r="G1829">
        <v>14.8</v>
      </c>
      <c r="H1829">
        <v>91.527519999999996</v>
      </c>
      <c r="I1829">
        <v>563.61</v>
      </c>
      <c r="K1829">
        <v>34</v>
      </c>
      <c r="L1829">
        <v>99.981049999999996</v>
      </c>
      <c r="M1829">
        <v>76.599999999999994</v>
      </c>
      <c r="S1829">
        <v>199951</v>
      </c>
      <c r="T1829">
        <v>41.20438</v>
      </c>
      <c r="U1829">
        <v>74.766098</v>
      </c>
    </row>
    <row r="1830" spans="1:21">
      <c r="A1830" t="s">
        <v>109</v>
      </c>
      <c r="B1830">
        <v>2000</v>
      </c>
      <c r="C1830">
        <v>15779.984</v>
      </c>
      <c r="D1830">
        <v>6930</v>
      </c>
      <c r="E1830">
        <v>1.32</v>
      </c>
      <c r="F1830">
        <v>0</v>
      </c>
      <c r="G1830">
        <v>2.82</v>
      </c>
      <c r="H1830">
        <v>68.115943999999999</v>
      </c>
      <c r="J1830">
        <v>35.82</v>
      </c>
      <c r="K1830">
        <v>30</v>
      </c>
      <c r="L1830">
        <v>100</v>
      </c>
      <c r="M1830">
        <v>100</v>
      </c>
      <c r="N1830">
        <v>22.118162000000002</v>
      </c>
      <c r="P1830">
        <v>5.6757351720000004</v>
      </c>
      <c r="Q1830">
        <v>3361.6408689999998</v>
      </c>
      <c r="R1830">
        <v>5.27</v>
      </c>
      <c r="S1830">
        <v>64589</v>
      </c>
      <c r="T1830">
        <v>56.879635</v>
      </c>
      <c r="U1830">
        <v>24.603189</v>
      </c>
    </row>
    <row r="1831" spans="1:21">
      <c r="A1831" t="s">
        <v>109</v>
      </c>
      <c r="B1831">
        <v>2001</v>
      </c>
      <c r="C1831">
        <v>17236.136999999999</v>
      </c>
      <c r="D1831">
        <v>7360</v>
      </c>
      <c r="E1831">
        <v>1.44</v>
      </c>
      <c r="F1831">
        <v>0</v>
      </c>
      <c r="G1831">
        <v>2.83</v>
      </c>
      <c r="H1831">
        <v>66.276343999999995</v>
      </c>
      <c r="J1831">
        <v>35.35</v>
      </c>
      <c r="K1831">
        <v>30</v>
      </c>
      <c r="L1831">
        <v>100</v>
      </c>
      <c r="M1831">
        <v>100</v>
      </c>
      <c r="N1831">
        <v>20.512127</v>
      </c>
      <c r="P1831">
        <v>6.3282699510000002</v>
      </c>
      <c r="Q1831">
        <v>3578.0019000000002</v>
      </c>
      <c r="R1831">
        <v>5.32</v>
      </c>
      <c r="S1831">
        <v>64589</v>
      </c>
      <c r="T1831">
        <v>56.879635</v>
      </c>
      <c r="U1831">
        <v>24.603189</v>
      </c>
    </row>
    <row r="1832" spans="1:21">
      <c r="A1832" t="s">
        <v>109</v>
      </c>
      <c r="B1832">
        <v>2002</v>
      </c>
      <c r="C1832">
        <v>17635.335999999999</v>
      </c>
      <c r="D1832">
        <v>7349.9999049999997</v>
      </c>
      <c r="E1832">
        <v>1.49</v>
      </c>
      <c r="F1832">
        <v>0</v>
      </c>
      <c r="G1832">
        <v>2.48</v>
      </c>
      <c r="H1832">
        <v>62.468513000000002</v>
      </c>
      <c r="J1832">
        <v>34.380000000000003</v>
      </c>
      <c r="K1832">
        <v>30</v>
      </c>
      <c r="L1832">
        <v>100</v>
      </c>
      <c r="M1832">
        <v>100</v>
      </c>
      <c r="N1832">
        <v>17.687973</v>
      </c>
      <c r="P1832">
        <v>7.0870856819999997</v>
      </c>
      <c r="Q1832">
        <v>4136.9332969999996</v>
      </c>
      <c r="R1832">
        <v>4.92</v>
      </c>
      <c r="S1832">
        <v>64589</v>
      </c>
      <c r="T1832">
        <v>56.879635</v>
      </c>
      <c r="U1832">
        <v>24.603189</v>
      </c>
    </row>
    <row r="1833" spans="1:21">
      <c r="A1833" t="s">
        <v>109</v>
      </c>
      <c r="B1833">
        <v>2003</v>
      </c>
      <c r="C1833">
        <v>17660.322</v>
      </c>
      <c r="D1833">
        <v>7590.000153</v>
      </c>
      <c r="E1833">
        <v>1.63</v>
      </c>
      <c r="F1833">
        <v>0</v>
      </c>
      <c r="G1833">
        <v>2.34</v>
      </c>
      <c r="H1833">
        <v>58.942062</v>
      </c>
      <c r="J1833">
        <v>34.340000000000003</v>
      </c>
      <c r="K1833">
        <v>30</v>
      </c>
      <c r="L1833">
        <v>100</v>
      </c>
      <c r="M1833">
        <v>100</v>
      </c>
      <c r="N1833">
        <v>16.751474000000002</v>
      </c>
      <c r="P1833">
        <v>8.4224942570000003</v>
      </c>
      <c r="Q1833">
        <v>5145.195232</v>
      </c>
      <c r="R1833">
        <v>4.82</v>
      </c>
      <c r="S1833">
        <v>64589</v>
      </c>
      <c r="T1833">
        <v>56.879635</v>
      </c>
      <c r="U1833">
        <v>24.603189</v>
      </c>
    </row>
    <row r="1834" spans="1:21">
      <c r="A1834" t="s">
        <v>109</v>
      </c>
      <c r="B1834">
        <v>2004</v>
      </c>
      <c r="C1834">
        <v>20126.611000000001</v>
      </c>
      <c r="D1834">
        <v>7619.9998859999996</v>
      </c>
      <c r="E1834">
        <v>1.49</v>
      </c>
      <c r="F1834">
        <v>0</v>
      </c>
      <c r="G1834">
        <v>3.2</v>
      </c>
      <c r="H1834">
        <v>68.230279999999993</v>
      </c>
      <c r="J1834">
        <v>36.11</v>
      </c>
      <c r="K1834">
        <v>30</v>
      </c>
      <c r="L1834">
        <v>100</v>
      </c>
      <c r="M1834">
        <v>100</v>
      </c>
      <c r="N1834">
        <v>20.242414</v>
      </c>
      <c r="P1834">
        <v>8.2819720869999998</v>
      </c>
      <c r="Q1834">
        <v>6378.6665210000001</v>
      </c>
      <c r="R1834">
        <v>4.5599999999999996</v>
      </c>
      <c r="S1834">
        <v>64589</v>
      </c>
      <c r="T1834">
        <v>56.879635</v>
      </c>
      <c r="U1834">
        <v>24.603189</v>
      </c>
    </row>
    <row r="1835" spans="1:21">
      <c r="A1835" t="s">
        <v>109</v>
      </c>
      <c r="B1835">
        <v>2005</v>
      </c>
      <c r="C1835">
        <v>21027.428</v>
      </c>
      <c r="D1835">
        <v>7710.0000380000001</v>
      </c>
      <c r="E1835">
        <v>1.5</v>
      </c>
      <c r="F1835">
        <v>0</v>
      </c>
      <c r="G1835">
        <v>3.42</v>
      </c>
      <c r="H1835">
        <v>69.512190000000004</v>
      </c>
      <c r="J1835">
        <v>36.299999999999997</v>
      </c>
      <c r="K1835">
        <v>30</v>
      </c>
      <c r="L1835">
        <v>100</v>
      </c>
      <c r="M1835">
        <v>100</v>
      </c>
      <c r="N1835">
        <v>20.853584000000001</v>
      </c>
      <c r="P1835">
        <v>10.715228290000001</v>
      </c>
      <c r="Q1835">
        <v>7594.902384</v>
      </c>
      <c r="R1835">
        <v>4.2</v>
      </c>
      <c r="S1835">
        <v>64589</v>
      </c>
      <c r="T1835">
        <v>56.879635</v>
      </c>
      <c r="U1835">
        <v>24.603189</v>
      </c>
    </row>
    <row r="1836" spans="1:21">
      <c r="A1836" t="s">
        <v>109</v>
      </c>
      <c r="B1836">
        <v>2006</v>
      </c>
      <c r="C1836">
        <v>20211.02</v>
      </c>
      <c r="D1836">
        <v>8199.9998090000008</v>
      </c>
      <c r="E1836">
        <v>2.1</v>
      </c>
      <c r="F1836">
        <v>0</v>
      </c>
      <c r="G1836">
        <v>2.79</v>
      </c>
      <c r="H1836">
        <v>57.055218000000004</v>
      </c>
      <c r="J1836">
        <v>34</v>
      </c>
      <c r="K1836">
        <v>30</v>
      </c>
      <c r="L1836">
        <v>100</v>
      </c>
      <c r="M1836">
        <v>100</v>
      </c>
      <c r="N1836">
        <v>17.836656999999999</v>
      </c>
      <c r="P1836">
        <v>11.96520396</v>
      </c>
      <c r="Q1836">
        <v>9723.4469019999997</v>
      </c>
      <c r="R1836">
        <v>3.88</v>
      </c>
      <c r="S1836">
        <v>64589</v>
      </c>
      <c r="T1836">
        <v>56.879635</v>
      </c>
      <c r="U1836">
        <v>24.603189</v>
      </c>
    </row>
    <row r="1837" spans="1:21">
      <c r="A1837" t="s">
        <v>109</v>
      </c>
      <c r="B1837">
        <v>2007</v>
      </c>
      <c r="C1837">
        <v>21105.200000000001</v>
      </c>
      <c r="D1837">
        <v>8529.9997330000006</v>
      </c>
      <c r="E1837">
        <v>1.94</v>
      </c>
      <c r="F1837">
        <v>0</v>
      </c>
      <c r="G1837">
        <v>2.82</v>
      </c>
      <c r="H1837">
        <v>59.243693999999998</v>
      </c>
      <c r="J1837">
        <v>33.08</v>
      </c>
      <c r="K1837">
        <v>30</v>
      </c>
      <c r="L1837">
        <v>100</v>
      </c>
      <c r="M1837">
        <v>100</v>
      </c>
      <c r="N1837">
        <v>17.445015000000001</v>
      </c>
      <c r="P1837">
        <v>9.9430021209999992</v>
      </c>
      <c r="Q1837">
        <v>14113.529130000001</v>
      </c>
      <c r="R1837">
        <v>3.61</v>
      </c>
      <c r="S1837">
        <v>64589</v>
      </c>
      <c r="T1837">
        <v>56.879635</v>
      </c>
      <c r="U1837">
        <v>24.603189</v>
      </c>
    </row>
    <row r="1838" spans="1:21">
      <c r="A1838" t="s">
        <v>109</v>
      </c>
      <c r="B1838">
        <v>2008</v>
      </c>
      <c r="C1838">
        <v>21504.192999999999</v>
      </c>
      <c r="D1838">
        <v>8109.9996570000003</v>
      </c>
      <c r="E1838">
        <v>2.06</v>
      </c>
      <c r="F1838">
        <v>0</v>
      </c>
      <c r="G1838">
        <v>3.21</v>
      </c>
      <c r="H1838">
        <v>60.910815999999997</v>
      </c>
      <c r="J1838">
        <v>33.71</v>
      </c>
      <c r="K1838">
        <v>30</v>
      </c>
      <c r="L1838">
        <v>100</v>
      </c>
      <c r="M1838">
        <v>100</v>
      </c>
      <c r="N1838">
        <v>19.558802</v>
      </c>
      <c r="P1838">
        <v>-3.242799942</v>
      </c>
      <c r="Q1838">
        <v>16467.143690000001</v>
      </c>
      <c r="R1838">
        <v>3.57</v>
      </c>
      <c r="S1838">
        <v>64589</v>
      </c>
      <c r="T1838">
        <v>56.879635</v>
      </c>
      <c r="U1838">
        <v>24.603189</v>
      </c>
    </row>
    <row r="1839" spans="1:21">
      <c r="A1839" t="s">
        <v>109</v>
      </c>
      <c r="B1839">
        <v>2009</v>
      </c>
      <c r="C1839">
        <v>20609.241999999998</v>
      </c>
      <c r="D1839">
        <v>7360.0001339999999</v>
      </c>
      <c r="E1839">
        <v>2.0099999999999998</v>
      </c>
      <c r="F1839">
        <v>0</v>
      </c>
      <c r="G1839">
        <v>3.56</v>
      </c>
      <c r="H1839">
        <v>63.913822000000003</v>
      </c>
      <c r="J1839">
        <v>38.4</v>
      </c>
      <c r="K1839">
        <v>30</v>
      </c>
      <c r="L1839">
        <v>100</v>
      </c>
      <c r="M1839">
        <v>100</v>
      </c>
      <c r="N1839">
        <v>22.685836999999999</v>
      </c>
      <c r="P1839">
        <v>-14.24828338</v>
      </c>
      <c r="Q1839">
        <v>12331.928550000001</v>
      </c>
      <c r="R1839">
        <v>4</v>
      </c>
      <c r="S1839">
        <v>64589</v>
      </c>
      <c r="T1839">
        <v>56.879635</v>
      </c>
      <c r="U1839">
        <v>24.603189</v>
      </c>
    </row>
    <row r="1840" spans="1:21">
      <c r="A1840" t="s">
        <v>109</v>
      </c>
      <c r="B1840">
        <v>2010</v>
      </c>
      <c r="C1840">
        <v>23635.057000000001</v>
      </c>
      <c r="D1840">
        <v>8520.0004580000004</v>
      </c>
      <c r="E1840">
        <v>2.99</v>
      </c>
      <c r="F1840">
        <v>0</v>
      </c>
      <c r="G1840">
        <v>3.64</v>
      </c>
      <c r="H1840">
        <v>54.901960000000003</v>
      </c>
      <c r="J1840">
        <v>33.07</v>
      </c>
      <c r="K1840">
        <v>30</v>
      </c>
      <c r="L1840">
        <v>100</v>
      </c>
      <c r="M1840">
        <v>100</v>
      </c>
      <c r="N1840">
        <v>20.366040000000002</v>
      </c>
      <c r="P1840">
        <v>-4.4709418850000002</v>
      </c>
      <c r="Q1840">
        <v>11420.994000000001</v>
      </c>
      <c r="R1840">
        <v>4.28</v>
      </c>
      <c r="S1840">
        <v>64589</v>
      </c>
      <c r="T1840">
        <v>56.879635</v>
      </c>
      <c r="U1840">
        <v>24.603189</v>
      </c>
    </row>
    <row r="1841" spans="1:21">
      <c r="A1841" t="s">
        <v>109</v>
      </c>
      <c r="B1841">
        <v>2011</v>
      </c>
      <c r="C1841">
        <v>21346.463</v>
      </c>
      <c r="D1841">
        <v>7900.0000950000003</v>
      </c>
      <c r="E1841">
        <v>3.01</v>
      </c>
      <c r="F1841">
        <v>0</v>
      </c>
      <c r="G1841">
        <v>3.08</v>
      </c>
      <c r="H1841">
        <v>50.574710000000003</v>
      </c>
      <c r="J1841">
        <v>35.54</v>
      </c>
      <c r="K1841">
        <v>30</v>
      </c>
      <c r="L1841">
        <v>100</v>
      </c>
      <c r="M1841">
        <v>100</v>
      </c>
      <c r="N1841">
        <v>19.268509000000002</v>
      </c>
      <c r="P1841">
        <v>2.5644229680000001</v>
      </c>
      <c r="Q1841">
        <v>13338.962240000001</v>
      </c>
      <c r="R1841">
        <v>3.8</v>
      </c>
      <c r="S1841">
        <v>64589</v>
      </c>
      <c r="T1841">
        <v>56.879635</v>
      </c>
      <c r="U1841">
        <v>24.603189</v>
      </c>
    </row>
    <row r="1842" spans="1:21">
      <c r="A1842" t="s">
        <v>109</v>
      </c>
      <c r="B1842">
        <v>2012</v>
      </c>
      <c r="C1842">
        <v>22381.162</v>
      </c>
      <c r="D1842">
        <v>7570.000172</v>
      </c>
      <c r="E1842">
        <v>2.06</v>
      </c>
      <c r="F1842">
        <v>0</v>
      </c>
      <c r="G1842">
        <v>4.1100000000000003</v>
      </c>
      <c r="H1842">
        <v>66.612639999999999</v>
      </c>
      <c r="J1842">
        <v>40.369999999999997</v>
      </c>
      <c r="K1842">
        <v>30</v>
      </c>
      <c r="L1842">
        <v>100</v>
      </c>
      <c r="M1842">
        <v>100</v>
      </c>
      <c r="N1842">
        <v>24.73715</v>
      </c>
      <c r="P1842">
        <v>7.037317185</v>
      </c>
      <c r="Q1842">
        <v>13847.337939999999</v>
      </c>
      <c r="R1842">
        <v>3.78</v>
      </c>
      <c r="S1842">
        <v>64589</v>
      </c>
      <c r="T1842">
        <v>56.879635</v>
      </c>
      <c r="U1842">
        <v>24.603189</v>
      </c>
    </row>
    <row r="1843" spans="1:21">
      <c r="A1843" t="s">
        <v>109</v>
      </c>
      <c r="B1843">
        <v>2013</v>
      </c>
      <c r="C1843">
        <v>21775.469000000001</v>
      </c>
      <c r="D1843">
        <v>7449.9998089999999</v>
      </c>
      <c r="E1843">
        <v>2.67</v>
      </c>
      <c r="F1843">
        <v>0</v>
      </c>
      <c r="G1843">
        <v>3.53</v>
      </c>
      <c r="H1843">
        <v>56.935485999999997</v>
      </c>
      <c r="J1843">
        <v>39.6</v>
      </c>
      <c r="K1843">
        <v>30</v>
      </c>
      <c r="L1843">
        <v>100</v>
      </c>
      <c r="M1843">
        <v>100</v>
      </c>
      <c r="N1843">
        <v>22.284587999999999</v>
      </c>
      <c r="P1843">
        <v>2.0107448149999998</v>
      </c>
      <c r="Q1843">
        <v>15007.49186</v>
      </c>
      <c r="R1843">
        <v>3.63</v>
      </c>
      <c r="S1843">
        <v>64589</v>
      </c>
      <c r="T1843">
        <v>56.879635</v>
      </c>
      <c r="U1843">
        <v>24.603189</v>
      </c>
    </row>
    <row r="1844" spans="1:21">
      <c r="A1844" t="s">
        <v>109</v>
      </c>
      <c r="B1844">
        <v>2014</v>
      </c>
      <c r="C1844">
        <v>20261.896000000001</v>
      </c>
      <c r="D1844">
        <v>7280.0002100000002</v>
      </c>
      <c r="E1844">
        <v>2.34</v>
      </c>
      <c r="F1844">
        <v>0</v>
      </c>
      <c r="G1844">
        <v>2.8</v>
      </c>
      <c r="H1844">
        <v>54.474710000000002</v>
      </c>
      <c r="J1844">
        <v>40.24</v>
      </c>
      <c r="K1844">
        <v>30</v>
      </c>
      <c r="L1844">
        <v>100</v>
      </c>
      <c r="M1844">
        <v>100</v>
      </c>
      <c r="N1844">
        <v>19.171963000000002</v>
      </c>
      <c r="P1844">
        <v>1.9000962429999999</v>
      </c>
      <c r="Q1844">
        <v>15721.45233</v>
      </c>
      <c r="R1844">
        <v>3.59</v>
      </c>
      <c r="S1844">
        <v>64589</v>
      </c>
      <c r="T1844">
        <v>56.879635</v>
      </c>
      <c r="U1844">
        <v>24.603189</v>
      </c>
    </row>
    <row r="1845" spans="1:21">
      <c r="A1845" t="s">
        <v>109</v>
      </c>
      <c r="B1845">
        <v>2015</v>
      </c>
      <c r="C1845">
        <v>20957.162</v>
      </c>
      <c r="D1845">
        <v>7320.000172</v>
      </c>
      <c r="E1845">
        <v>2.76</v>
      </c>
      <c r="F1845">
        <v>0</v>
      </c>
      <c r="G1845">
        <v>2.78</v>
      </c>
      <c r="H1845">
        <v>50.180508000000003</v>
      </c>
      <c r="J1845">
        <v>38.1</v>
      </c>
      <c r="K1845">
        <v>30</v>
      </c>
      <c r="L1845">
        <v>100</v>
      </c>
      <c r="M1845">
        <v>100</v>
      </c>
      <c r="N1845">
        <v>18.883400000000002</v>
      </c>
      <c r="P1845">
        <v>3.8850272769999998</v>
      </c>
      <c r="Q1845">
        <v>13780.913549999999</v>
      </c>
      <c r="R1845">
        <v>3.39</v>
      </c>
      <c r="S1845">
        <v>64589</v>
      </c>
      <c r="T1845">
        <v>56.879635</v>
      </c>
      <c r="U1845">
        <v>24.603189</v>
      </c>
    </row>
    <row r="1846" spans="1:21">
      <c r="A1846" t="s">
        <v>109</v>
      </c>
      <c r="B1846">
        <v>2016</v>
      </c>
      <c r="C1846">
        <v>22548.603999999999</v>
      </c>
      <c r="D1846">
        <v>7150.0000950000003</v>
      </c>
      <c r="E1846">
        <v>2.94</v>
      </c>
      <c r="F1846">
        <v>0</v>
      </c>
      <c r="G1846">
        <v>3.48</v>
      </c>
      <c r="H1846">
        <v>54.20561</v>
      </c>
      <c r="J1846">
        <v>38.479999999999997</v>
      </c>
      <c r="K1846">
        <v>30</v>
      </c>
      <c r="L1846">
        <v>100</v>
      </c>
      <c r="M1846">
        <v>100</v>
      </c>
      <c r="N1846">
        <v>21.902061</v>
      </c>
      <c r="P1846">
        <v>2.3676095429999999</v>
      </c>
      <c r="Q1846">
        <v>14322.02268</v>
      </c>
      <c r="R1846">
        <v>3.31</v>
      </c>
      <c r="S1846">
        <v>64589</v>
      </c>
      <c r="T1846">
        <v>56.879635</v>
      </c>
      <c r="U1846">
        <v>24.603189</v>
      </c>
    </row>
    <row r="1847" spans="1:21">
      <c r="A1847" t="s">
        <v>109</v>
      </c>
      <c r="B1847">
        <v>2017</v>
      </c>
      <c r="C1847">
        <v>25054.544999999998</v>
      </c>
      <c r="D1847">
        <v>7119.9998859999996</v>
      </c>
      <c r="E1847">
        <v>2.0699999999999998</v>
      </c>
      <c r="F1847">
        <v>0</v>
      </c>
      <c r="G1847">
        <v>5.46</v>
      </c>
      <c r="H1847">
        <v>72.509960000000007</v>
      </c>
      <c r="J1847">
        <v>42.6</v>
      </c>
      <c r="K1847">
        <v>30</v>
      </c>
      <c r="L1847">
        <v>100</v>
      </c>
      <c r="M1847">
        <v>100</v>
      </c>
      <c r="N1847">
        <v>30.69509</v>
      </c>
      <c r="P1847">
        <v>3.31308889</v>
      </c>
      <c r="Q1847">
        <v>15656.34749</v>
      </c>
      <c r="R1847">
        <v>3.31</v>
      </c>
      <c r="S1847">
        <v>64589</v>
      </c>
      <c r="T1847">
        <v>56.879635</v>
      </c>
      <c r="U1847">
        <v>24.603189</v>
      </c>
    </row>
    <row r="1848" spans="1:21">
      <c r="A1848" t="s">
        <v>109</v>
      </c>
      <c r="B1848">
        <v>2018</v>
      </c>
      <c r="C1848">
        <v>22506.594000000001</v>
      </c>
      <c r="D1848">
        <v>7789.9999619999999</v>
      </c>
      <c r="E1848">
        <v>3.23</v>
      </c>
      <c r="F1848">
        <v>0</v>
      </c>
      <c r="G1848">
        <v>3.49</v>
      </c>
      <c r="H1848">
        <v>51.934525000000001</v>
      </c>
      <c r="J1848">
        <v>40.97</v>
      </c>
      <c r="K1848">
        <v>30</v>
      </c>
      <c r="L1848">
        <v>100</v>
      </c>
      <c r="M1848">
        <v>100</v>
      </c>
      <c r="N1848">
        <v>22.432663000000002</v>
      </c>
      <c r="P1848">
        <v>3.989480387</v>
      </c>
      <c r="Q1848">
        <v>17856.307120000001</v>
      </c>
      <c r="R1848">
        <v>3.35</v>
      </c>
      <c r="S1848">
        <v>64589</v>
      </c>
      <c r="T1848">
        <v>56.879635</v>
      </c>
      <c r="U1848">
        <v>24.603189</v>
      </c>
    </row>
    <row r="1849" spans="1:21">
      <c r="A1849" t="s">
        <v>109</v>
      </c>
      <c r="B1849">
        <v>2019</v>
      </c>
      <c r="C1849">
        <v>23394.7</v>
      </c>
      <c r="D1849">
        <v>7570.000172</v>
      </c>
      <c r="E1849">
        <v>3.25</v>
      </c>
      <c r="F1849">
        <v>0</v>
      </c>
      <c r="G1849">
        <v>3.19</v>
      </c>
      <c r="H1849">
        <v>49.53416</v>
      </c>
      <c r="J1849">
        <v>41.52</v>
      </c>
      <c r="K1849">
        <v>30</v>
      </c>
      <c r="L1849">
        <v>100</v>
      </c>
      <c r="M1849">
        <v>100</v>
      </c>
      <c r="N1849">
        <v>19.929880000000001</v>
      </c>
      <c r="P1849">
        <v>2.4843263549999999</v>
      </c>
      <c r="Q1849">
        <v>17926.84159</v>
      </c>
      <c r="R1849">
        <v>3.18</v>
      </c>
      <c r="S1849">
        <v>64589</v>
      </c>
      <c r="T1849">
        <v>56.879635</v>
      </c>
      <c r="U1849">
        <v>24.603189</v>
      </c>
    </row>
    <row r="1850" spans="1:21">
      <c r="A1850" t="s">
        <v>109</v>
      </c>
      <c r="B1850">
        <v>2020</v>
      </c>
      <c r="C1850">
        <v>21535.734</v>
      </c>
      <c r="E1850">
        <v>2.08</v>
      </c>
      <c r="F1850">
        <v>0</v>
      </c>
      <c r="G1850">
        <v>3.64</v>
      </c>
      <c r="H1850">
        <v>63.636367999999997</v>
      </c>
      <c r="K1850">
        <v>30</v>
      </c>
      <c r="L1850">
        <v>100</v>
      </c>
      <c r="M1850">
        <v>100</v>
      </c>
      <c r="N1850">
        <v>24.768972000000002</v>
      </c>
      <c r="P1850">
        <v>-3.6185659920000002</v>
      </c>
      <c r="Q1850">
        <v>17726.252939999998</v>
      </c>
      <c r="S1850">
        <v>64589</v>
      </c>
      <c r="T1850">
        <v>56.879635</v>
      </c>
      <c r="U1850">
        <v>24.603189</v>
      </c>
    </row>
    <row r="1851" spans="1:21">
      <c r="A1851" t="s">
        <v>110</v>
      </c>
      <c r="B1851">
        <v>2000</v>
      </c>
      <c r="C1851">
        <v>14027.069</v>
      </c>
      <c r="D1851">
        <v>15670</v>
      </c>
      <c r="E1851">
        <v>8.75</v>
      </c>
      <c r="F1851">
        <v>0</v>
      </c>
      <c r="G1851">
        <v>0.44</v>
      </c>
      <c r="H1851">
        <v>4.7878129999999999</v>
      </c>
      <c r="I1851">
        <v>73.38</v>
      </c>
      <c r="J1851">
        <v>4.8899999999999997</v>
      </c>
      <c r="K1851">
        <v>667</v>
      </c>
      <c r="L1851">
        <v>99.351590000000002</v>
      </c>
      <c r="P1851">
        <v>1.341871619</v>
      </c>
      <c r="Q1851">
        <v>4491.6419340000002</v>
      </c>
      <c r="R1851">
        <v>3.73</v>
      </c>
      <c r="S1851">
        <v>10400</v>
      </c>
      <c r="T1851">
        <v>33.854720999999998</v>
      </c>
      <c r="U1851">
        <v>35.862285</v>
      </c>
    </row>
    <row r="1852" spans="1:21">
      <c r="A1852" t="s">
        <v>110</v>
      </c>
      <c r="B1852">
        <v>2001</v>
      </c>
      <c r="C1852">
        <v>14693.647000000001</v>
      </c>
      <c r="D1852">
        <v>16890</v>
      </c>
      <c r="E1852">
        <v>9.24</v>
      </c>
      <c r="F1852">
        <v>0</v>
      </c>
      <c r="G1852">
        <v>0.33</v>
      </c>
      <c r="H1852">
        <v>3.4482759999999999</v>
      </c>
      <c r="I1852">
        <v>70.66</v>
      </c>
      <c r="J1852">
        <v>4.66</v>
      </c>
      <c r="K1852">
        <v>667</v>
      </c>
      <c r="L1852">
        <v>99.346564999999998</v>
      </c>
      <c r="P1852">
        <v>3.8396692780000001</v>
      </c>
      <c r="Q1852">
        <v>4422.3892919999998</v>
      </c>
      <c r="R1852">
        <v>3.86</v>
      </c>
      <c r="S1852">
        <v>10400</v>
      </c>
      <c r="T1852">
        <v>33.854720999999998</v>
      </c>
      <c r="U1852">
        <v>35.862285</v>
      </c>
    </row>
    <row r="1853" spans="1:21">
      <c r="A1853" t="s">
        <v>110</v>
      </c>
      <c r="B1853">
        <v>2002</v>
      </c>
      <c r="C1853">
        <v>14617.906999999999</v>
      </c>
      <c r="D1853">
        <v>16840.00015</v>
      </c>
      <c r="E1853">
        <v>10.38</v>
      </c>
      <c r="F1853">
        <v>0</v>
      </c>
      <c r="G1853">
        <v>0.67</v>
      </c>
      <c r="H1853">
        <v>6.0633483000000004</v>
      </c>
      <c r="I1853">
        <v>67.430000000000007</v>
      </c>
      <c r="J1853">
        <v>5.97</v>
      </c>
      <c r="K1853">
        <v>667</v>
      </c>
      <c r="L1853">
        <v>99.333954000000006</v>
      </c>
      <c r="P1853">
        <v>3.423149827</v>
      </c>
      <c r="Q1853">
        <v>4579.4595929999996</v>
      </c>
      <c r="R1853">
        <v>3.71</v>
      </c>
      <c r="S1853">
        <v>10400</v>
      </c>
      <c r="T1853">
        <v>33.854720999999998</v>
      </c>
      <c r="U1853">
        <v>35.862285</v>
      </c>
    </row>
    <row r="1854" spans="1:21">
      <c r="A1854" t="s">
        <v>110</v>
      </c>
      <c r="B1854">
        <v>2003</v>
      </c>
      <c r="C1854">
        <v>14599.101000000001</v>
      </c>
      <c r="D1854">
        <v>17409.99985</v>
      </c>
      <c r="E1854">
        <v>10.64</v>
      </c>
      <c r="F1854">
        <v>0</v>
      </c>
      <c r="G1854">
        <v>1.35</v>
      </c>
      <c r="H1854">
        <v>11.259383</v>
      </c>
      <c r="I1854">
        <v>64.260000000000005</v>
      </c>
      <c r="J1854">
        <v>7.38</v>
      </c>
      <c r="K1854">
        <v>667</v>
      </c>
      <c r="L1854">
        <v>99.316109999999995</v>
      </c>
      <c r="P1854">
        <v>3.2270982689999999</v>
      </c>
      <c r="Q1854">
        <v>4576.3876170000003</v>
      </c>
      <c r="R1854">
        <v>3.59</v>
      </c>
      <c r="S1854">
        <v>10400</v>
      </c>
      <c r="T1854">
        <v>33.854720999999998</v>
      </c>
      <c r="U1854">
        <v>35.862285</v>
      </c>
    </row>
    <row r="1855" spans="1:21">
      <c r="A1855" t="s">
        <v>110</v>
      </c>
      <c r="B1855">
        <v>2004</v>
      </c>
      <c r="C1855">
        <v>14306.835999999999</v>
      </c>
      <c r="D1855">
        <v>17879.999159999999</v>
      </c>
      <c r="E1855">
        <v>10.68</v>
      </c>
      <c r="F1855">
        <v>0</v>
      </c>
      <c r="G1855">
        <v>1.1100000000000001</v>
      </c>
      <c r="H1855">
        <v>9.4147590000000001</v>
      </c>
      <c r="I1855">
        <v>61.72</v>
      </c>
      <c r="J1855">
        <v>6.56</v>
      </c>
      <c r="K1855">
        <v>667</v>
      </c>
      <c r="L1855">
        <v>99.9</v>
      </c>
      <c r="O1855">
        <v>80000</v>
      </c>
      <c r="P1855">
        <v>6.6794446169999997</v>
      </c>
      <c r="Q1855">
        <v>4630.7905849999997</v>
      </c>
      <c r="R1855">
        <v>3.4</v>
      </c>
      <c r="S1855">
        <v>10400</v>
      </c>
      <c r="T1855">
        <v>33.854720999999998</v>
      </c>
      <c r="U1855">
        <v>35.862285</v>
      </c>
    </row>
    <row r="1856" spans="1:21">
      <c r="A1856" t="s">
        <v>110</v>
      </c>
      <c r="B1856">
        <v>2005</v>
      </c>
      <c r="C1856">
        <v>13477.188</v>
      </c>
      <c r="D1856">
        <v>17280.000690000001</v>
      </c>
      <c r="E1856">
        <v>10.7</v>
      </c>
      <c r="F1856">
        <v>0</v>
      </c>
      <c r="G1856">
        <v>1.04</v>
      </c>
      <c r="H1856">
        <v>8.8586034999999992</v>
      </c>
      <c r="I1856">
        <v>60.02</v>
      </c>
      <c r="J1856">
        <v>6.97</v>
      </c>
      <c r="K1856">
        <v>667</v>
      </c>
      <c r="L1856">
        <v>99.274109999999993</v>
      </c>
      <c r="P1856">
        <v>2.68577931</v>
      </c>
      <c r="Q1856">
        <v>4575.1074589999998</v>
      </c>
      <c r="R1856">
        <v>3.16</v>
      </c>
      <c r="S1856">
        <v>10400</v>
      </c>
      <c r="T1856">
        <v>33.854720999999998</v>
      </c>
      <c r="U1856">
        <v>35.862285</v>
      </c>
    </row>
    <row r="1857" spans="1:21">
      <c r="A1857" t="s">
        <v>110</v>
      </c>
      <c r="B1857">
        <v>2006</v>
      </c>
      <c r="C1857">
        <v>12290.245999999999</v>
      </c>
      <c r="D1857">
        <v>16229.999540000001</v>
      </c>
      <c r="E1857">
        <v>10.26</v>
      </c>
      <c r="F1857">
        <v>0</v>
      </c>
      <c r="G1857">
        <v>0.69</v>
      </c>
      <c r="H1857">
        <v>6.3013700000000004</v>
      </c>
      <c r="I1857">
        <v>59.25</v>
      </c>
      <c r="J1857">
        <v>7.04</v>
      </c>
      <c r="K1857">
        <v>667</v>
      </c>
      <c r="L1857">
        <v>99.38382</v>
      </c>
      <c r="P1857">
        <v>1.5495150019999999</v>
      </c>
      <c r="Q1857">
        <v>4626.8530030000002</v>
      </c>
      <c r="R1857">
        <v>2.89</v>
      </c>
      <c r="S1857">
        <v>10400</v>
      </c>
      <c r="T1857">
        <v>33.854720999999998</v>
      </c>
      <c r="U1857">
        <v>35.862285</v>
      </c>
    </row>
    <row r="1858" spans="1:21">
      <c r="A1858" t="s">
        <v>110</v>
      </c>
      <c r="B1858">
        <v>2007</v>
      </c>
      <c r="C1858">
        <v>10675.19</v>
      </c>
      <c r="D1858">
        <v>15039.999959999999</v>
      </c>
      <c r="E1858">
        <v>10.8</v>
      </c>
      <c r="F1858">
        <v>0</v>
      </c>
      <c r="G1858">
        <v>0.57999999999999996</v>
      </c>
      <c r="H1858">
        <v>5.0966605999999999</v>
      </c>
      <c r="I1858">
        <v>59.15</v>
      </c>
      <c r="J1858">
        <v>7.94</v>
      </c>
      <c r="K1858">
        <v>667</v>
      </c>
      <c r="L1858">
        <v>97.8</v>
      </c>
      <c r="O1858">
        <v>810000</v>
      </c>
      <c r="P1858">
        <v>9.3106225239999993</v>
      </c>
      <c r="Q1858">
        <v>5207.7927229999996</v>
      </c>
      <c r="R1858">
        <v>2.2599999999999998</v>
      </c>
      <c r="S1858">
        <v>10400</v>
      </c>
      <c r="T1858">
        <v>33.854720999999998</v>
      </c>
      <c r="U1858">
        <v>35.862285</v>
      </c>
    </row>
    <row r="1859" spans="1:21">
      <c r="A1859" t="s">
        <v>110</v>
      </c>
      <c r="B1859">
        <v>2008</v>
      </c>
      <c r="C1859">
        <v>13562.222</v>
      </c>
      <c r="D1859">
        <v>18649.999619999999</v>
      </c>
      <c r="E1859">
        <v>12.2</v>
      </c>
      <c r="F1859">
        <v>0</v>
      </c>
      <c r="G1859">
        <v>0.37</v>
      </c>
      <c r="H1859">
        <v>2.9435164999999999</v>
      </c>
      <c r="I1859">
        <v>59.19</v>
      </c>
      <c r="J1859">
        <v>5.4</v>
      </c>
      <c r="K1859">
        <v>667</v>
      </c>
      <c r="L1859">
        <v>99.9</v>
      </c>
      <c r="P1859">
        <v>9.0691282690000001</v>
      </c>
      <c r="Q1859">
        <v>6111.3272809999999</v>
      </c>
      <c r="R1859">
        <v>2.7</v>
      </c>
      <c r="S1859">
        <v>10400</v>
      </c>
      <c r="T1859">
        <v>33.854720999999998</v>
      </c>
      <c r="U1859">
        <v>35.862285</v>
      </c>
    </row>
    <row r="1860" spans="1:21">
      <c r="A1860" t="s">
        <v>110</v>
      </c>
      <c r="B1860">
        <v>2009</v>
      </c>
      <c r="C1860">
        <v>16556.136999999999</v>
      </c>
      <c r="D1860">
        <v>21899.999619999999</v>
      </c>
      <c r="E1860">
        <v>12.36</v>
      </c>
      <c r="F1860">
        <v>0</v>
      </c>
      <c r="G1860">
        <v>0.62</v>
      </c>
      <c r="H1860">
        <v>4.7765794000000001</v>
      </c>
      <c r="I1860">
        <v>58.59</v>
      </c>
      <c r="J1860">
        <v>4.3099999999999996</v>
      </c>
      <c r="K1860">
        <v>667</v>
      </c>
      <c r="L1860">
        <v>99.234489999999994</v>
      </c>
      <c r="O1860">
        <v>390000</v>
      </c>
      <c r="P1860">
        <v>10.232155580000001</v>
      </c>
      <c r="Q1860">
        <v>7354.9536049999997</v>
      </c>
      <c r="R1860">
        <v>3.12</v>
      </c>
      <c r="S1860">
        <v>10400</v>
      </c>
      <c r="T1860">
        <v>33.854720999999998</v>
      </c>
      <c r="U1860">
        <v>35.862285</v>
      </c>
    </row>
    <row r="1861" spans="1:21">
      <c r="A1861" t="s">
        <v>110</v>
      </c>
      <c r="B1861">
        <v>2010</v>
      </c>
      <c r="C1861">
        <v>15851.824000000001</v>
      </c>
      <c r="D1861">
        <v>20860.000609999999</v>
      </c>
      <c r="E1861">
        <v>13.98</v>
      </c>
      <c r="F1861">
        <v>0</v>
      </c>
      <c r="G1861">
        <v>0.83</v>
      </c>
      <c r="H1861">
        <v>5.6043215000000002</v>
      </c>
      <c r="I1861">
        <v>57</v>
      </c>
      <c r="J1861">
        <v>5.7</v>
      </c>
      <c r="K1861">
        <v>667</v>
      </c>
      <c r="L1861">
        <v>99.474410000000006</v>
      </c>
      <c r="O1861">
        <v>1670000</v>
      </c>
      <c r="P1861">
        <v>7.9751355589999999</v>
      </c>
      <c r="Q1861">
        <v>7761.6414889999996</v>
      </c>
      <c r="R1861">
        <v>2.78</v>
      </c>
      <c r="S1861">
        <v>10400</v>
      </c>
      <c r="T1861">
        <v>33.854720999999998</v>
      </c>
      <c r="U1861">
        <v>35.862285</v>
      </c>
    </row>
    <row r="1862" spans="1:21">
      <c r="A1862" t="s">
        <v>110</v>
      </c>
      <c r="B1862">
        <v>2011</v>
      </c>
      <c r="C1862">
        <v>15852.878000000001</v>
      </c>
      <c r="D1862">
        <v>21180.000309999999</v>
      </c>
      <c r="E1862">
        <v>14.57</v>
      </c>
      <c r="F1862">
        <v>0</v>
      </c>
      <c r="G1862">
        <v>0.8</v>
      </c>
      <c r="H1862">
        <v>5.2049446000000001</v>
      </c>
      <c r="I1862">
        <v>54.3</v>
      </c>
      <c r="J1862">
        <v>6.18</v>
      </c>
      <c r="K1862">
        <v>667</v>
      </c>
      <c r="L1862">
        <v>99.684010000000001</v>
      </c>
      <c r="P1862">
        <v>0.86733987700000004</v>
      </c>
      <c r="Q1862">
        <v>7675.3089399999999</v>
      </c>
      <c r="R1862">
        <v>2.75</v>
      </c>
      <c r="S1862">
        <v>10400</v>
      </c>
      <c r="T1862">
        <v>33.854720999999998</v>
      </c>
      <c r="U1862">
        <v>35.862285</v>
      </c>
    </row>
    <row r="1863" spans="1:21">
      <c r="A1863" t="s">
        <v>110</v>
      </c>
      <c r="B1863">
        <v>2012</v>
      </c>
      <c r="C1863">
        <v>17291.495999999999</v>
      </c>
      <c r="D1863">
        <v>23469.999309999999</v>
      </c>
      <c r="E1863">
        <v>14.54</v>
      </c>
      <c r="F1863">
        <v>0</v>
      </c>
      <c r="G1863">
        <v>1.01</v>
      </c>
      <c r="H1863">
        <v>6.495177</v>
      </c>
      <c r="I1863">
        <v>51.52</v>
      </c>
      <c r="J1863">
        <v>5.56</v>
      </c>
      <c r="K1863">
        <v>667</v>
      </c>
      <c r="L1863">
        <v>99.50676</v>
      </c>
      <c r="O1863">
        <v>1420000</v>
      </c>
      <c r="P1863">
        <v>2.5405417890000002</v>
      </c>
      <c r="Q1863">
        <v>7952.1512659999999</v>
      </c>
      <c r="R1863">
        <v>3.04</v>
      </c>
      <c r="S1863">
        <v>10400</v>
      </c>
      <c r="T1863">
        <v>33.854720999999998</v>
      </c>
      <c r="U1863">
        <v>35.862285</v>
      </c>
    </row>
    <row r="1864" spans="1:21">
      <c r="A1864" t="s">
        <v>110</v>
      </c>
      <c r="B1864">
        <v>2013</v>
      </c>
      <c r="C1864">
        <v>15720.306</v>
      </c>
      <c r="D1864">
        <v>23239.999769999999</v>
      </c>
      <c r="E1864">
        <v>16.489999999999998</v>
      </c>
      <c r="F1864">
        <v>0</v>
      </c>
      <c r="G1864">
        <v>1.27</v>
      </c>
      <c r="H1864">
        <v>7.1509010000000002</v>
      </c>
      <c r="I1864">
        <v>48.69</v>
      </c>
      <c r="J1864">
        <v>5.92</v>
      </c>
      <c r="K1864">
        <v>667</v>
      </c>
      <c r="L1864">
        <v>99.495514</v>
      </c>
      <c r="O1864">
        <v>20000</v>
      </c>
      <c r="P1864">
        <v>3.8110224150000001</v>
      </c>
      <c r="Q1864">
        <v>7933.2333200000003</v>
      </c>
      <c r="R1864">
        <v>2.87</v>
      </c>
      <c r="S1864">
        <v>10400</v>
      </c>
      <c r="T1864">
        <v>33.854720999999998</v>
      </c>
      <c r="U1864">
        <v>35.862285</v>
      </c>
    </row>
    <row r="1865" spans="1:21">
      <c r="A1865" t="s">
        <v>110</v>
      </c>
      <c r="B1865">
        <v>2014</v>
      </c>
      <c r="C1865">
        <v>14662.743</v>
      </c>
      <c r="D1865">
        <v>25149.999619999999</v>
      </c>
      <c r="E1865">
        <v>16.7</v>
      </c>
      <c r="F1865">
        <v>0</v>
      </c>
      <c r="G1865">
        <v>0.22</v>
      </c>
      <c r="H1865">
        <v>1.3002362999999999</v>
      </c>
      <c r="I1865">
        <v>46.6</v>
      </c>
      <c r="J1865">
        <v>4.24</v>
      </c>
      <c r="K1865">
        <v>667</v>
      </c>
      <c r="L1865">
        <v>99.482320000000001</v>
      </c>
      <c r="O1865">
        <v>2330000</v>
      </c>
      <c r="P1865">
        <v>2.4536595719999998</v>
      </c>
      <c r="Q1865">
        <v>7687.7593360000001</v>
      </c>
      <c r="R1865">
        <v>2.98</v>
      </c>
      <c r="S1865">
        <v>10400</v>
      </c>
      <c r="T1865">
        <v>33.854720999999998</v>
      </c>
      <c r="U1865">
        <v>35.862285</v>
      </c>
    </row>
    <row r="1866" spans="1:21">
      <c r="A1866" t="s">
        <v>110</v>
      </c>
      <c r="B1866">
        <v>2015</v>
      </c>
      <c r="C1866">
        <v>15864.785</v>
      </c>
      <c r="D1866">
        <v>27010.000230000001</v>
      </c>
      <c r="E1866">
        <v>17.059999999999999</v>
      </c>
      <c r="F1866">
        <v>0</v>
      </c>
      <c r="G1866">
        <v>0.51</v>
      </c>
      <c r="H1866">
        <v>2.9026752</v>
      </c>
      <c r="I1866">
        <v>45.68</v>
      </c>
      <c r="J1866">
        <v>4.17</v>
      </c>
      <c r="K1866">
        <v>667</v>
      </c>
      <c r="L1866">
        <v>99.583175999999995</v>
      </c>
      <c r="O1866">
        <v>5120000</v>
      </c>
      <c r="P1866">
        <v>0.58170975700000005</v>
      </c>
      <c r="Q1866">
        <v>7663.9202320000004</v>
      </c>
      <c r="R1866">
        <v>3.27</v>
      </c>
      <c r="S1866">
        <v>10400</v>
      </c>
      <c r="T1866">
        <v>33.854720999999998</v>
      </c>
      <c r="U1866">
        <v>35.862285</v>
      </c>
    </row>
    <row r="1867" spans="1:21">
      <c r="A1867" t="s">
        <v>110</v>
      </c>
      <c r="B1867">
        <v>2016</v>
      </c>
      <c r="C1867">
        <v>16684.846000000001</v>
      </c>
      <c r="D1867">
        <v>27809.999469999999</v>
      </c>
      <c r="E1867">
        <v>17.82</v>
      </c>
      <c r="F1867">
        <v>0</v>
      </c>
      <c r="G1867">
        <v>0.46</v>
      </c>
      <c r="H1867">
        <v>2.5164113000000001</v>
      </c>
      <c r="I1867">
        <v>47.45</v>
      </c>
      <c r="J1867">
        <v>3.96</v>
      </c>
      <c r="K1867">
        <v>667</v>
      </c>
      <c r="L1867">
        <v>99.725623999999996</v>
      </c>
      <c r="O1867">
        <v>23650000</v>
      </c>
      <c r="P1867">
        <v>1.5820545509999999</v>
      </c>
      <c r="Q1867">
        <v>7653.7336299999997</v>
      </c>
      <c r="R1867">
        <v>3.32</v>
      </c>
      <c r="S1867">
        <v>10400</v>
      </c>
      <c r="T1867">
        <v>33.854720999999998</v>
      </c>
      <c r="U1867">
        <v>35.862285</v>
      </c>
    </row>
    <row r="1868" spans="1:21">
      <c r="A1868" t="s">
        <v>110</v>
      </c>
      <c r="B1868">
        <v>2017</v>
      </c>
      <c r="C1868">
        <v>18256.083999999999</v>
      </c>
      <c r="D1868">
        <v>29319.999690000001</v>
      </c>
      <c r="E1868">
        <v>19.52</v>
      </c>
      <c r="F1868">
        <v>0</v>
      </c>
      <c r="G1868">
        <v>0.52</v>
      </c>
      <c r="H1868">
        <v>2.5948102</v>
      </c>
      <c r="I1868">
        <v>44.34</v>
      </c>
      <c r="J1868">
        <v>3.97</v>
      </c>
      <c r="K1868">
        <v>667</v>
      </c>
      <c r="L1868">
        <v>99.879829999999998</v>
      </c>
      <c r="O1868">
        <v>30000</v>
      </c>
      <c r="P1868">
        <v>0.78201400099999996</v>
      </c>
      <c r="Q1868">
        <v>7819.6046699999997</v>
      </c>
      <c r="R1868">
        <v>3.49</v>
      </c>
      <c r="S1868">
        <v>10400</v>
      </c>
      <c r="T1868">
        <v>33.854720999999998</v>
      </c>
      <c r="U1868">
        <v>35.862285</v>
      </c>
    </row>
    <row r="1869" spans="1:21">
      <c r="A1869" t="s">
        <v>110</v>
      </c>
      <c r="B1869">
        <v>2018</v>
      </c>
      <c r="C1869">
        <v>17677.684000000001</v>
      </c>
      <c r="D1869">
        <v>27790.000919999999</v>
      </c>
      <c r="E1869">
        <v>19.57</v>
      </c>
      <c r="F1869">
        <v>0</v>
      </c>
      <c r="G1869">
        <v>0.47</v>
      </c>
      <c r="H1869">
        <v>2.3453092999999998</v>
      </c>
      <c r="I1869">
        <v>46.87</v>
      </c>
      <c r="J1869">
        <v>4.75</v>
      </c>
      <c r="K1869">
        <v>667</v>
      </c>
      <c r="L1869">
        <v>99.7</v>
      </c>
      <c r="O1869">
        <v>6210000</v>
      </c>
      <c r="P1869">
        <v>-1.702174807</v>
      </c>
      <c r="Q1869">
        <v>8058.4443369999999</v>
      </c>
      <c r="R1869">
        <v>3.36</v>
      </c>
      <c r="S1869">
        <v>10400</v>
      </c>
      <c r="T1869">
        <v>33.854720999999998</v>
      </c>
      <c r="U1869">
        <v>35.862285</v>
      </c>
    </row>
    <row r="1870" spans="1:21">
      <c r="A1870" t="s">
        <v>110</v>
      </c>
      <c r="B1870">
        <v>2019</v>
      </c>
      <c r="C1870">
        <v>18447.384999999998</v>
      </c>
      <c r="D1870">
        <v>27950.000759999999</v>
      </c>
      <c r="E1870">
        <v>19.239999999999998</v>
      </c>
      <c r="F1870">
        <v>0</v>
      </c>
      <c r="G1870">
        <v>1.1200000000000001</v>
      </c>
      <c r="H1870">
        <v>5.5009823000000004</v>
      </c>
      <c r="I1870">
        <v>50.13</v>
      </c>
      <c r="J1870">
        <v>5.46</v>
      </c>
      <c r="K1870">
        <v>667</v>
      </c>
      <c r="L1870">
        <v>99.974869999999996</v>
      </c>
      <c r="O1870">
        <v>320000</v>
      </c>
      <c r="P1870">
        <v>-7.1572470700000004</v>
      </c>
      <c r="Q1870">
        <v>7578.1723679999996</v>
      </c>
      <c r="R1870">
        <v>3.62</v>
      </c>
      <c r="S1870">
        <v>10400</v>
      </c>
      <c r="T1870">
        <v>33.854720999999998</v>
      </c>
      <c r="U1870">
        <v>35.862285</v>
      </c>
    </row>
    <row r="1871" spans="1:21">
      <c r="A1871" t="s">
        <v>110</v>
      </c>
      <c r="B1871">
        <v>2020</v>
      </c>
      <c r="C1871">
        <v>18341.434000000001</v>
      </c>
      <c r="E1871">
        <v>18.28</v>
      </c>
      <c r="F1871">
        <v>0</v>
      </c>
      <c r="G1871">
        <v>1.21</v>
      </c>
      <c r="H1871">
        <v>6.2083120000000003</v>
      </c>
      <c r="I1871">
        <v>50.35</v>
      </c>
      <c r="K1871">
        <v>667</v>
      </c>
      <c r="L1871">
        <v>100</v>
      </c>
      <c r="P1871">
        <v>-21.46426628</v>
      </c>
      <c r="Q1871">
        <v>4649.547646</v>
      </c>
      <c r="S1871">
        <v>10400</v>
      </c>
      <c r="T1871">
        <v>33.854720999999998</v>
      </c>
      <c r="U1871">
        <v>35.862285</v>
      </c>
    </row>
    <row r="1872" spans="1:21">
      <c r="A1872" t="s">
        <v>111</v>
      </c>
      <c r="B1872">
        <v>2000</v>
      </c>
      <c r="C1872">
        <v>1235.5165</v>
      </c>
      <c r="D1872">
        <v>390</v>
      </c>
      <c r="E1872">
        <v>0</v>
      </c>
      <c r="F1872">
        <v>0</v>
      </c>
      <c r="G1872">
        <v>0.28999999999999998</v>
      </c>
      <c r="H1872">
        <v>100</v>
      </c>
      <c r="I1872">
        <v>37.1</v>
      </c>
      <c r="J1872">
        <v>56.7</v>
      </c>
      <c r="K1872">
        <v>71</v>
      </c>
      <c r="L1872">
        <v>4.2587599999999997</v>
      </c>
      <c r="M1872">
        <v>16</v>
      </c>
      <c r="P1872">
        <v>3.8755468139999998</v>
      </c>
      <c r="Q1872">
        <v>436.48813730000001</v>
      </c>
      <c r="R1872">
        <v>13.95</v>
      </c>
      <c r="S1872">
        <v>30355</v>
      </c>
      <c r="T1872">
        <v>-29.609988000000001</v>
      </c>
      <c r="U1872">
        <v>28.233608</v>
      </c>
    </row>
    <row r="1873" spans="1:21">
      <c r="A1873" t="s">
        <v>111</v>
      </c>
      <c r="B1873">
        <v>2001</v>
      </c>
      <c r="C1873">
        <v>1251.1484</v>
      </c>
      <c r="D1873">
        <v>400</v>
      </c>
      <c r="E1873">
        <v>0</v>
      </c>
      <c r="F1873">
        <v>0</v>
      </c>
      <c r="G1873">
        <v>0.28000000000000003</v>
      </c>
      <c r="H1873">
        <v>100</v>
      </c>
      <c r="I1873">
        <v>37.049999999999997</v>
      </c>
      <c r="J1873">
        <v>56.5</v>
      </c>
      <c r="K1873">
        <v>71</v>
      </c>
      <c r="L1873">
        <v>1.2522693</v>
      </c>
      <c r="M1873">
        <v>17.5</v>
      </c>
      <c r="P1873">
        <v>3.5615821909999998</v>
      </c>
      <c r="Q1873">
        <v>405.60571210000001</v>
      </c>
      <c r="R1873">
        <v>13.59</v>
      </c>
      <c r="S1873">
        <v>30355</v>
      </c>
      <c r="T1873">
        <v>-29.609988000000001</v>
      </c>
      <c r="U1873">
        <v>28.233608</v>
      </c>
    </row>
    <row r="1874" spans="1:21">
      <c r="A1874" t="s">
        <v>111</v>
      </c>
      <c r="B1874">
        <v>2002</v>
      </c>
      <c r="C1874">
        <v>1287.3501000000001</v>
      </c>
      <c r="D1874">
        <v>409.99999639999999</v>
      </c>
      <c r="E1874">
        <v>0</v>
      </c>
      <c r="F1874">
        <v>0</v>
      </c>
      <c r="G1874">
        <v>0.31</v>
      </c>
      <c r="H1874">
        <v>100</v>
      </c>
      <c r="I1874">
        <v>37.159999999999997</v>
      </c>
      <c r="J1874">
        <v>56.16</v>
      </c>
      <c r="K1874">
        <v>71</v>
      </c>
      <c r="L1874">
        <v>3.3616586000000002</v>
      </c>
      <c r="M1874">
        <v>19.2</v>
      </c>
      <c r="P1874">
        <v>0.72383596100000003</v>
      </c>
      <c r="Q1874">
        <v>382.18960859999999</v>
      </c>
      <c r="R1874">
        <v>13.61</v>
      </c>
      <c r="S1874">
        <v>30355</v>
      </c>
      <c r="T1874">
        <v>-29.609988000000001</v>
      </c>
      <c r="U1874">
        <v>28.233608</v>
      </c>
    </row>
    <row r="1875" spans="1:21">
      <c r="A1875" t="s">
        <v>111</v>
      </c>
      <c r="B1875">
        <v>2003</v>
      </c>
      <c r="C1875">
        <v>1312.4876999999999</v>
      </c>
      <c r="D1875">
        <v>409.99999639999999</v>
      </c>
      <c r="E1875">
        <v>0</v>
      </c>
      <c r="F1875">
        <v>0</v>
      </c>
      <c r="G1875">
        <v>0.32</v>
      </c>
      <c r="H1875">
        <v>100</v>
      </c>
      <c r="I1875">
        <v>37.03</v>
      </c>
      <c r="J1875">
        <v>55.94</v>
      </c>
      <c r="K1875">
        <v>71</v>
      </c>
      <c r="L1875">
        <v>5.4658126999999999</v>
      </c>
      <c r="M1875">
        <v>20.8</v>
      </c>
      <c r="P1875">
        <v>4.5597768109999999</v>
      </c>
      <c r="Q1875">
        <v>573.6517781</v>
      </c>
      <c r="R1875">
        <v>12</v>
      </c>
      <c r="S1875">
        <v>30355</v>
      </c>
      <c r="T1875">
        <v>-29.609988000000001</v>
      </c>
      <c r="U1875">
        <v>28.233608</v>
      </c>
    </row>
    <row r="1876" spans="1:21">
      <c r="A1876" t="s">
        <v>111</v>
      </c>
      <c r="B1876">
        <v>2004</v>
      </c>
      <c r="C1876">
        <v>1322.3566000000001</v>
      </c>
      <c r="D1876">
        <v>430.00000720000003</v>
      </c>
      <c r="E1876">
        <v>0</v>
      </c>
      <c r="F1876">
        <v>0</v>
      </c>
      <c r="G1876">
        <v>0.3</v>
      </c>
      <c r="H1876">
        <v>100</v>
      </c>
      <c r="I1876">
        <v>37.26</v>
      </c>
      <c r="J1876">
        <v>55.41</v>
      </c>
      <c r="K1876">
        <v>71</v>
      </c>
      <c r="L1876">
        <v>6.8</v>
      </c>
      <c r="M1876">
        <v>22.2</v>
      </c>
      <c r="O1876">
        <v>50000</v>
      </c>
      <c r="P1876">
        <v>1.692374206</v>
      </c>
      <c r="Q1876">
        <v>753.37590439999997</v>
      </c>
      <c r="R1876">
        <v>12.05</v>
      </c>
      <c r="S1876">
        <v>30355</v>
      </c>
      <c r="T1876">
        <v>-29.609988000000001</v>
      </c>
      <c r="U1876">
        <v>28.233608</v>
      </c>
    </row>
    <row r="1877" spans="1:21">
      <c r="A1877" t="s">
        <v>111</v>
      </c>
      <c r="B1877">
        <v>2005</v>
      </c>
      <c r="C1877">
        <v>1564.1565000000001</v>
      </c>
      <c r="D1877">
        <v>430.00000720000003</v>
      </c>
      <c r="E1877">
        <v>0</v>
      </c>
      <c r="F1877">
        <v>0</v>
      </c>
      <c r="G1877">
        <v>0.46</v>
      </c>
      <c r="H1877">
        <v>100</v>
      </c>
      <c r="I1877">
        <v>37.450000000000003</v>
      </c>
      <c r="J1877">
        <v>55.31</v>
      </c>
      <c r="K1877">
        <v>71</v>
      </c>
      <c r="L1877">
        <v>9.6678110000000004</v>
      </c>
      <c r="M1877">
        <v>23.9</v>
      </c>
      <c r="O1877">
        <v>90000</v>
      </c>
      <c r="P1877">
        <v>3.4661224810000002</v>
      </c>
      <c r="Q1877">
        <v>842.81263100000001</v>
      </c>
      <c r="R1877">
        <v>11.9</v>
      </c>
      <c r="S1877">
        <v>30355</v>
      </c>
      <c r="T1877">
        <v>-29.609988000000001</v>
      </c>
      <c r="U1877">
        <v>28.233608</v>
      </c>
    </row>
    <row r="1878" spans="1:21">
      <c r="A1878" t="s">
        <v>111</v>
      </c>
      <c r="B1878">
        <v>2006</v>
      </c>
      <c r="C1878">
        <v>1662.7148</v>
      </c>
      <c r="D1878">
        <v>430.00000720000003</v>
      </c>
      <c r="E1878">
        <v>0</v>
      </c>
      <c r="F1878">
        <v>0</v>
      </c>
      <c r="G1878">
        <v>0.52</v>
      </c>
      <c r="H1878">
        <v>100</v>
      </c>
      <c r="I1878">
        <v>36.56</v>
      </c>
      <c r="J1878">
        <v>55.46</v>
      </c>
      <c r="K1878">
        <v>71</v>
      </c>
      <c r="L1878">
        <v>9.6999999999999993</v>
      </c>
      <c r="M1878">
        <v>25.5</v>
      </c>
      <c r="O1878">
        <v>60000</v>
      </c>
      <c r="P1878">
        <v>4.2300948539999998</v>
      </c>
      <c r="Q1878">
        <v>904.60612979999996</v>
      </c>
      <c r="R1878">
        <v>11.62</v>
      </c>
      <c r="S1878">
        <v>30355</v>
      </c>
      <c r="T1878">
        <v>-29.609988000000001</v>
      </c>
      <c r="U1878">
        <v>28.233608</v>
      </c>
    </row>
    <row r="1879" spans="1:21">
      <c r="A1879" t="s">
        <v>111</v>
      </c>
      <c r="B1879">
        <v>2007</v>
      </c>
      <c r="C1879">
        <v>2002.3391999999999</v>
      </c>
      <c r="D1879">
        <v>439.99999759999997</v>
      </c>
      <c r="E1879">
        <v>0</v>
      </c>
      <c r="F1879">
        <v>0</v>
      </c>
      <c r="G1879">
        <v>0.55000000000000004</v>
      </c>
      <c r="H1879">
        <v>100</v>
      </c>
      <c r="I1879">
        <v>36.61</v>
      </c>
      <c r="J1879">
        <v>55.33</v>
      </c>
      <c r="K1879">
        <v>71</v>
      </c>
      <c r="L1879">
        <v>13.877541000000001</v>
      </c>
      <c r="M1879">
        <v>26.9</v>
      </c>
      <c r="O1879">
        <v>10000</v>
      </c>
      <c r="P1879">
        <v>4.1879144180000001</v>
      </c>
      <c r="Q1879">
        <v>846.54232079999997</v>
      </c>
      <c r="R1879">
        <v>11.4</v>
      </c>
      <c r="S1879">
        <v>30355</v>
      </c>
      <c r="T1879">
        <v>-29.609988000000001</v>
      </c>
      <c r="U1879">
        <v>28.233608</v>
      </c>
    </row>
    <row r="1880" spans="1:21">
      <c r="A1880" t="s">
        <v>111</v>
      </c>
      <c r="B1880">
        <v>2008</v>
      </c>
      <c r="C1880">
        <v>1805.3613</v>
      </c>
      <c r="D1880">
        <v>460.00000829999999</v>
      </c>
      <c r="E1880">
        <v>0</v>
      </c>
      <c r="F1880">
        <v>0</v>
      </c>
      <c r="G1880">
        <v>0.57999999999999996</v>
      </c>
      <c r="H1880">
        <v>100</v>
      </c>
      <c r="I1880">
        <v>36.61</v>
      </c>
      <c r="J1880">
        <v>54.99</v>
      </c>
      <c r="K1880">
        <v>71</v>
      </c>
      <c r="L1880">
        <v>15.991897</v>
      </c>
      <c r="M1880">
        <v>28.4</v>
      </c>
      <c r="P1880">
        <v>5.5220282010000004</v>
      </c>
      <c r="Q1880">
        <v>889.13428550000003</v>
      </c>
      <c r="R1880">
        <v>11.05</v>
      </c>
      <c r="S1880">
        <v>30355</v>
      </c>
      <c r="T1880">
        <v>-29.609988000000001</v>
      </c>
      <c r="U1880">
        <v>28.233608</v>
      </c>
    </row>
    <row r="1881" spans="1:21">
      <c r="A1881" t="s">
        <v>111</v>
      </c>
      <c r="B1881">
        <v>2009</v>
      </c>
      <c r="C1881">
        <v>2048.8051999999998</v>
      </c>
      <c r="D1881">
        <v>529.99997140000005</v>
      </c>
      <c r="E1881">
        <v>0</v>
      </c>
      <c r="F1881">
        <v>0</v>
      </c>
      <c r="G1881">
        <v>0.65</v>
      </c>
      <c r="H1881">
        <v>100</v>
      </c>
      <c r="I1881">
        <v>36.56</v>
      </c>
      <c r="J1881">
        <v>53.98</v>
      </c>
      <c r="K1881">
        <v>71</v>
      </c>
      <c r="L1881">
        <v>17</v>
      </c>
      <c r="M1881">
        <v>29.9</v>
      </c>
      <c r="O1881">
        <v>790000</v>
      </c>
      <c r="P1881">
        <v>-1.2555146260000001</v>
      </c>
      <c r="Q1881">
        <v>874.72986049999997</v>
      </c>
      <c r="R1881">
        <v>11.61</v>
      </c>
      <c r="S1881">
        <v>30355</v>
      </c>
      <c r="T1881">
        <v>-29.609988000000001</v>
      </c>
      <c r="U1881">
        <v>28.233608</v>
      </c>
    </row>
    <row r="1882" spans="1:21">
      <c r="A1882" t="s">
        <v>111</v>
      </c>
      <c r="B1882">
        <v>2010</v>
      </c>
      <c r="C1882">
        <v>2175.0612999999998</v>
      </c>
      <c r="D1882">
        <v>550.0000119</v>
      </c>
      <c r="E1882">
        <v>0</v>
      </c>
      <c r="F1882">
        <v>0</v>
      </c>
      <c r="G1882">
        <v>0.69</v>
      </c>
      <c r="H1882">
        <v>100</v>
      </c>
      <c r="I1882">
        <v>36.46</v>
      </c>
      <c r="J1882">
        <v>52.98</v>
      </c>
      <c r="K1882">
        <v>71</v>
      </c>
      <c r="L1882">
        <v>17</v>
      </c>
      <c r="M1882">
        <v>31.2</v>
      </c>
      <c r="O1882">
        <v>40000</v>
      </c>
      <c r="P1882">
        <v>5.2662806529999999</v>
      </c>
      <c r="Q1882">
        <v>1119.8436409999999</v>
      </c>
      <c r="R1882">
        <v>11.07</v>
      </c>
      <c r="S1882">
        <v>30355</v>
      </c>
      <c r="T1882">
        <v>-29.609988000000001</v>
      </c>
      <c r="U1882">
        <v>28.233608</v>
      </c>
    </row>
    <row r="1883" spans="1:21">
      <c r="A1883" t="s">
        <v>111</v>
      </c>
      <c r="B1883">
        <v>2011</v>
      </c>
      <c r="C1883">
        <v>1932.6333</v>
      </c>
      <c r="D1883">
        <v>569.99999279999997</v>
      </c>
      <c r="E1883">
        <v>0</v>
      </c>
      <c r="F1883">
        <v>0</v>
      </c>
      <c r="G1883">
        <v>0.49</v>
      </c>
      <c r="H1883">
        <v>100</v>
      </c>
      <c r="I1883">
        <v>36.31</v>
      </c>
      <c r="J1883">
        <v>42.21</v>
      </c>
      <c r="K1883">
        <v>71</v>
      </c>
      <c r="L1883">
        <v>22.405441</v>
      </c>
      <c r="M1883">
        <v>32.5</v>
      </c>
      <c r="O1883">
        <v>2830000</v>
      </c>
      <c r="P1883">
        <v>4.6142522379999997</v>
      </c>
      <c r="Q1883">
        <v>1287.269536</v>
      </c>
      <c r="R1883">
        <v>11.95</v>
      </c>
      <c r="S1883">
        <v>30355</v>
      </c>
      <c r="T1883">
        <v>-29.609988000000001</v>
      </c>
      <c r="U1883">
        <v>28.233608</v>
      </c>
    </row>
    <row r="1884" spans="1:21">
      <c r="A1884" t="s">
        <v>111</v>
      </c>
      <c r="B1884">
        <v>2012</v>
      </c>
      <c r="C1884">
        <v>2021.0361</v>
      </c>
      <c r="D1884">
        <v>620.00000480000006</v>
      </c>
      <c r="E1884">
        <v>0</v>
      </c>
      <c r="F1884">
        <v>0</v>
      </c>
      <c r="G1884">
        <v>0.49</v>
      </c>
      <c r="H1884">
        <v>100</v>
      </c>
      <c r="I1884">
        <v>37.1</v>
      </c>
      <c r="J1884">
        <v>40.53</v>
      </c>
      <c r="K1884">
        <v>71</v>
      </c>
      <c r="L1884">
        <v>20.56</v>
      </c>
      <c r="M1884">
        <v>33.799999999999997</v>
      </c>
      <c r="O1884">
        <v>210000</v>
      </c>
      <c r="P1884">
        <v>6.3348217010000001</v>
      </c>
      <c r="Q1884">
        <v>1229.6362320000001</v>
      </c>
      <c r="R1884">
        <v>11.13</v>
      </c>
      <c r="S1884">
        <v>30355</v>
      </c>
      <c r="T1884">
        <v>-29.609988000000001</v>
      </c>
      <c r="U1884">
        <v>28.233608</v>
      </c>
    </row>
    <row r="1885" spans="1:21">
      <c r="A1885" t="s">
        <v>111</v>
      </c>
      <c r="B1885">
        <v>2013</v>
      </c>
      <c r="C1885">
        <v>2043.1261999999999</v>
      </c>
      <c r="D1885">
        <v>610.00001429999998</v>
      </c>
      <c r="E1885">
        <v>0</v>
      </c>
      <c r="F1885">
        <v>0</v>
      </c>
      <c r="G1885">
        <v>0.51</v>
      </c>
      <c r="H1885">
        <v>100</v>
      </c>
      <c r="I1885">
        <v>37.03</v>
      </c>
      <c r="J1885">
        <v>45.58</v>
      </c>
      <c r="K1885">
        <v>71</v>
      </c>
      <c r="L1885">
        <v>26.766013999999998</v>
      </c>
      <c r="M1885">
        <v>34.950000000000003</v>
      </c>
      <c r="O1885">
        <v>100000</v>
      </c>
      <c r="P1885">
        <v>1.7925314450000001</v>
      </c>
      <c r="Q1885">
        <v>1166.911756</v>
      </c>
      <c r="R1885">
        <v>9.32</v>
      </c>
      <c r="S1885">
        <v>30355</v>
      </c>
      <c r="T1885">
        <v>-29.609988000000001</v>
      </c>
      <c r="U1885">
        <v>28.233608</v>
      </c>
    </row>
    <row r="1886" spans="1:21">
      <c r="A1886" t="s">
        <v>111</v>
      </c>
      <c r="B1886">
        <v>2014</v>
      </c>
      <c r="C1886">
        <v>2074.0635000000002</v>
      </c>
      <c r="D1886">
        <v>610.00001429999998</v>
      </c>
      <c r="E1886">
        <v>0</v>
      </c>
      <c r="F1886">
        <v>0</v>
      </c>
      <c r="G1886">
        <v>0.52</v>
      </c>
      <c r="H1886">
        <v>100</v>
      </c>
      <c r="I1886">
        <v>36.76</v>
      </c>
      <c r="J1886">
        <v>42.39</v>
      </c>
      <c r="K1886">
        <v>71</v>
      </c>
      <c r="L1886">
        <v>27.8</v>
      </c>
      <c r="M1886">
        <v>35.799999999999997</v>
      </c>
      <c r="O1886">
        <v>9270000</v>
      </c>
      <c r="P1886">
        <v>1.710544004</v>
      </c>
      <c r="Q1886">
        <v>1194.5756269999999</v>
      </c>
      <c r="R1886">
        <v>9.15</v>
      </c>
      <c r="S1886">
        <v>30355</v>
      </c>
      <c r="T1886">
        <v>-29.609988000000001</v>
      </c>
      <c r="U1886">
        <v>28.233608</v>
      </c>
    </row>
    <row r="1887" spans="1:21">
      <c r="A1887" t="s">
        <v>111</v>
      </c>
      <c r="B1887">
        <v>2015</v>
      </c>
      <c r="C1887">
        <v>2002.84</v>
      </c>
      <c r="D1887">
        <v>649.99997619999999</v>
      </c>
      <c r="E1887">
        <v>0</v>
      </c>
      <c r="F1887">
        <v>0</v>
      </c>
      <c r="G1887">
        <v>0.53</v>
      </c>
      <c r="H1887">
        <v>100</v>
      </c>
      <c r="I1887">
        <v>36.479999999999997</v>
      </c>
      <c r="J1887">
        <v>44.94</v>
      </c>
      <c r="K1887">
        <v>71</v>
      </c>
      <c r="L1887">
        <v>31.677333999999998</v>
      </c>
      <c r="M1887">
        <v>36.5</v>
      </c>
      <c r="O1887">
        <v>40000</v>
      </c>
      <c r="P1887">
        <v>3.1275577239999999</v>
      </c>
      <c r="Q1887">
        <v>1146.0646879999999</v>
      </c>
      <c r="R1887">
        <v>8.2799999999999994</v>
      </c>
      <c r="S1887">
        <v>30355</v>
      </c>
      <c r="T1887">
        <v>-29.609988000000001</v>
      </c>
      <c r="U1887">
        <v>28.233608</v>
      </c>
    </row>
    <row r="1888" spans="1:21">
      <c r="A1888" t="s">
        <v>111</v>
      </c>
      <c r="B1888">
        <v>2016</v>
      </c>
      <c r="C1888">
        <v>2142.4591999999998</v>
      </c>
      <c r="D1888">
        <v>689.99999760000003</v>
      </c>
      <c r="E1888">
        <v>0</v>
      </c>
      <c r="F1888">
        <v>0</v>
      </c>
      <c r="G1888">
        <v>0.52</v>
      </c>
      <c r="H1888">
        <v>100</v>
      </c>
      <c r="I1888">
        <v>36.200000000000003</v>
      </c>
      <c r="J1888">
        <v>43.55</v>
      </c>
      <c r="K1888">
        <v>71</v>
      </c>
      <c r="L1888">
        <v>35.07159</v>
      </c>
      <c r="M1888">
        <v>37.4</v>
      </c>
      <c r="O1888">
        <v>0</v>
      </c>
      <c r="P1888">
        <v>3.588364597</v>
      </c>
      <c r="Q1888">
        <v>1018.931093</v>
      </c>
      <c r="R1888">
        <v>7.81</v>
      </c>
      <c r="S1888">
        <v>30355</v>
      </c>
      <c r="T1888">
        <v>-29.609988000000001</v>
      </c>
      <c r="U1888">
        <v>28.233608</v>
      </c>
    </row>
    <row r="1889" spans="1:21">
      <c r="A1889" t="s">
        <v>111</v>
      </c>
      <c r="B1889">
        <v>2017</v>
      </c>
      <c r="C1889">
        <v>2253.6167</v>
      </c>
      <c r="D1889">
        <v>699.9999881</v>
      </c>
      <c r="E1889">
        <v>0</v>
      </c>
      <c r="F1889">
        <v>0</v>
      </c>
      <c r="G1889">
        <v>0.54</v>
      </c>
      <c r="H1889">
        <v>100</v>
      </c>
      <c r="I1889">
        <v>35.909999999999997</v>
      </c>
      <c r="J1889">
        <v>39.619999999999997</v>
      </c>
      <c r="K1889">
        <v>71</v>
      </c>
      <c r="L1889">
        <v>33.700000000000003</v>
      </c>
      <c r="M1889">
        <v>38.1</v>
      </c>
      <c r="P1889">
        <v>-3.141949946</v>
      </c>
      <c r="Q1889">
        <v>1102.9444100000001</v>
      </c>
      <c r="R1889">
        <v>8.3800000000000008</v>
      </c>
      <c r="S1889">
        <v>30355</v>
      </c>
      <c r="T1889">
        <v>-29.609988000000001</v>
      </c>
      <c r="U1889">
        <v>28.233608</v>
      </c>
    </row>
    <row r="1890" spans="1:21">
      <c r="A1890" t="s">
        <v>111</v>
      </c>
      <c r="B1890">
        <v>2018</v>
      </c>
      <c r="C1890">
        <v>2182.0183000000002</v>
      </c>
      <c r="D1890">
        <v>730.00001910000003</v>
      </c>
      <c r="E1890">
        <v>0</v>
      </c>
      <c r="F1890">
        <v>0</v>
      </c>
      <c r="G1890">
        <v>0.54</v>
      </c>
      <c r="H1890">
        <v>100</v>
      </c>
      <c r="I1890">
        <v>35.630000000000003</v>
      </c>
      <c r="J1890">
        <v>40.22</v>
      </c>
      <c r="K1890">
        <v>71</v>
      </c>
      <c r="L1890">
        <v>47</v>
      </c>
      <c r="M1890">
        <v>38.700000000000003</v>
      </c>
      <c r="O1890">
        <v>840000</v>
      </c>
      <c r="P1890">
        <v>-1.2231373109999999</v>
      </c>
      <c r="Q1890">
        <v>1192.48432</v>
      </c>
      <c r="R1890">
        <v>8.08</v>
      </c>
      <c r="S1890">
        <v>30355</v>
      </c>
      <c r="T1890">
        <v>-29.609988000000001</v>
      </c>
      <c r="U1890">
        <v>28.233608</v>
      </c>
    </row>
    <row r="1891" spans="1:21">
      <c r="A1891" t="s">
        <v>111</v>
      </c>
      <c r="B1891">
        <v>2019</v>
      </c>
      <c r="C1891">
        <v>2188.8589999999999</v>
      </c>
      <c r="D1891">
        <v>769.99998089999997</v>
      </c>
      <c r="E1891">
        <v>0</v>
      </c>
      <c r="F1891">
        <v>0</v>
      </c>
      <c r="G1891">
        <v>0.5</v>
      </c>
      <c r="H1891">
        <v>100</v>
      </c>
      <c r="I1891">
        <v>35.340000000000003</v>
      </c>
      <c r="J1891">
        <v>39.47</v>
      </c>
      <c r="K1891">
        <v>71</v>
      </c>
      <c r="L1891">
        <v>44.500210000000003</v>
      </c>
      <c r="M1891">
        <v>39.299999999999997</v>
      </c>
      <c r="O1891">
        <v>13520000</v>
      </c>
      <c r="P1891">
        <v>-0.381431982</v>
      </c>
      <c r="Q1891">
        <v>1113.3721399999999</v>
      </c>
      <c r="R1891">
        <v>8.14</v>
      </c>
      <c r="S1891">
        <v>30355</v>
      </c>
      <c r="T1891">
        <v>-29.609988000000001</v>
      </c>
      <c r="U1891">
        <v>28.233608</v>
      </c>
    </row>
    <row r="1892" spans="1:21">
      <c r="A1892" t="s">
        <v>111</v>
      </c>
      <c r="B1892">
        <v>2020</v>
      </c>
      <c r="C1892">
        <v>2092.5304999999998</v>
      </c>
      <c r="E1892">
        <v>0</v>
      </c>
      <c r="F1892">
        <v>0</v>
      </c>
      <c r="G1892">
        <v>0.5</v>
      </c>
      <c r="H1892">
        <v>100</v>
      </c>
      <c r="I1892">
        <v>35.06</v>
      </c>
      <c r="K1892">
        <v>71</v>
      </c>
      <c r="L1892">
        <v>47.352736999999998</v>
      </c>
      <c r="M1892">
        <v>40.1</v>
      </c>
      <c r="P1892">
        <v>-9.6140370189999995</v>
      </c>
      <c r="Q1892">
        <v>875.353433</v>
      </c>
      <c r="S1892">
        <v>30355</v>
      </c>
      <c r="T1892">
        <v>-29.609988000000001</v>
      </c>
      <c r="U1892">
        <v>28.233608</v>
      </c>
    </row>
    <row r="1893" spans="1:21">
      <c r="A1893" t="s">
        <v>112</v>
      </c>
      <c r="B1893">
        <v>2000</v>
      </c>
      <c r="C1893">
        <v>653.12030000000004</v>
      </c>
      <c r="D1893">
        <v>430</v>
      </c>
      <c r="E1893">
        <v>0.2</v>
      </c>
      <c r="F1893">
        <v>0</v>
      </c>
      <c r="G1893">
        <v>0</v>
      </c>
      <c r="H1893">
        <v>0</v>
      </c>
      <c r="I1893">
        <v>1.4</v>
      </c>
      <c r="J1893">
        <v>90.88</v>
      </c>
      <c r="K1893">
        <v>53</v>
      </c>
      <c r="M1893">
        <v>0.7</v>
      </c>
      <c r="Q1893">
        <v>306.83386419999999</v>
      </c>
      <c r="R1893">
        <v>10.09</v>
      </c>
      <c r="S1893">
        <v>111369</v>
      </c>
      <c r="T1893">
        <v>6.4280549999999996</v>
      </c>
      <c r="U1893">
        <v>-9.4294989999999999</v>
      </c>
    </row>
    <row r="1894" spans="1:21">
      <c r="A1894" t="s">
        <v>112</v>
      </c>
      <c r="B1894">
        <v>2001</v>
      </c>
      <c r="C1894">
        <v>676.39769999999999</v>
      </c>
      <c r="D1894">
        <v>450</v>
      </c>
      <c r="E1894">
        <v>0.2</v>
      </c>
      <c r="F1894">
        <v>0</v>
      </c>
      <c r="G1894">
        <v>0</v>
      </c>
      <c r="H1894">
        <v>0</v>
      </c>
      <c r="I1894">
        <v>1.35</v>
      </c>
      <c r="J1894">
        <v>90.86</v>
      </c>
      <c r="K1894">
        <v>53</v>
      </c>
      <c r="M1894">
        <v>0.6</v>
      </c>
      <c r="P1894">
        <v>2.920272969</v>
      </c>
      <c r="Q1894">
        <v>306.71025159999999</v>
      </c>
      <c r="R1894">
        <v>10.25</v>
      </c>
      <c r="S1894">
        <v>111369</v>
      </c>
      <c r="T1894">
        <v>6.4280549999999996</v>
      </c>
      <c r="U1894">
        <v>-9.4294989999999999</v>
      </c>
    </row>
    <row r="1895" spans="1:21">
      <c r="A1895" t="s">
        <v>112</v>
      </c>
      <c r="B1895">
        <v>2002</v>
      </c>
      <c r="C1895">
        <v>650.0258</v>
      </c>
      <c r="D1895">
        <v>449.9999881</v>
      </c>
      <c r="E1895">
        <v>0.2</v>
      </c>
      <c r="F1895">
        <v>0</v>
      </c>
      <c r="G1895">
        <v>0</v>
      </c>
      <c r="H1895">
        <v>0</v>
      </c>
      <c r="I1895">
        <v>1.32</v>
      </c>
      <c r="J1895">
        <v>91.14</v>
      </c>
      <c r="K1895">
        <v>53</v>
      </c>
      <c r="M1895">
        <v>0.6</v>
      </c>
      <c r="P1895">
        <v>3.763018282</v>
      </c>
      <c r="Q1895">
        <v>306.47393959999999</v>
      </c>
      <c r="R1895">
        <v>10.24</v>
      </c>
      <c r="S1895">
        <v>111369</v>
      </c>
      <c r="T1895">
        <v>6.4280549999999996</v>
      </c>
      <c r="U1895">
        <v>-9.4294989999999999</v>
      </c>
    </row>
    <row r="1896" spans="1:21">
      <c r="A1896" t="s">
        <v>112</v>
      </c>
      <c r="B1896">
        <v>2003</v>
      </c>
      <c r="C1896">
        <v>706.21320000000003</v>
      </c>
      <c r="D1896">
        <v>479.99998929999998</v>
      </c>
      <c r="E1896">
        <v>0.2</v>
      </c>
      <c r="F1896">
        <v>0</v>
      </c>
      <c r="G1896">
        <v>0</v>
      </c>
      <c r="H1896">
        <v>0</v>
      </c>
      <c r="I1896">
        <v>1.3</v>
      </c>
      <c r="J1896">
        <v>90.35</v>
      </c>
      <c r="K1896">
        <v>53</v>
      </c>
      <c r="M1896">
        <v>0.6</v>
      </c>
      <c r="P1896">
        <v>-30.145132589999999</v>
      </c>
      <c r="Q1896">
        <v>243.08957749999999</v>
      </c>
      <c r="R1896">
        <v>15.37</v>
      </c>
      <c r="S1896">
        <v>111369</v>
      </c>
      <c r="T1896">
        <v>6.4280549999999996</v>
      </c>
      <c r="U1896">
        <v>-9.4294989999999999</v>
      </c>
    </row>
    <row r="1897" spans="1:21">
      <c r="A1897" t="s">
        <v>112</v>
      </c>
      <c r="B1897">
        <v>2004</v>
      </c>
      <c r="C1897">
        <v>756.93255999999997</v>
      </c>
      <c r="D1897">
        <v>560.00000239999997</v>
      </c>
      <c r="E1897">
        <v>0.2</v>
      </c>
      <c r="F1897">
        <v>0</v>
      </c>
      <c r="G1897">
        <v>0</v>
      </c>
      <c r="H1897">
        <v>0</v>
      </c>
      <c r="I1897">
        <v>1.28</v>
      </c>
      <c r="J1897">
        <v>89.56</v>
      </c>
      <c r="K1897">
        <v>53</v>
      </c>
      <c r="M1897">
        <v>0.5</v>
      </c>
      <c r="P1897">
        <v>2.619847686</v>
      </c>
      <c r="Q1897">
        <v>286.06472530000002</v>
      </c>
      <c r="R1897">
        <v>15.7</v>
      </c>
      <c r="S1897">
        <v>111369</v>
      </c>
      <c r="T1897">
        <v>6.4280549999999996</v>
      </c>
      <c r="U1897">
        <v>-9.4294989999999999</v>
      </c>
    </row>
    <row r="1898" spans="1:21">
      <c r="A1898" t="s">
        <v>112</v>
      </c>
      <c r="B1898">
        <v>2005</v>
      </c>
      <c r="C1898">
        <v>846.99274000000003</v>
      </c>
      <c r="D1898">
        <v>670.00001669999995</v>
      </c>
      <c r="E1898">
        <v>0.2</v>
      </c>
      <c r="F1898">
        <v>0</v>
      </c>
      <c r="G1898">
        <v>0</v>
      </c>
      <c r="H1898">
        <v>0</v>
      </c>
      <c r="I1898">
        <v>1.24</v>
      </c>
      <c r="J1898">
        <v>87.76</v>
      </c>
      <c r="K1898">
        <v>53</v>
      </c>
      <c r="M1898">
        <v>0.5</v>
      </c>
      <c r="P1898">
        <v>5.2812120709999997</v>
      </c>
      <c r="Q1898">
        <v>294.89322010000001</v>
      </c>
      <c r="R1898">
        <v>15.82</v>
      </c>
      <c r="S1898">
        <v>111369</v>
      </c>
      <c r="T1898">
        <v>6.4280549999999996</v>
      </c>
      <c r="U1898">
        <v>-9.4294989999999999</v>
      </c>
    </row>
    <row r="1899" spans="1:21">
      <c r="A1899" t="s">
        <v>112</v>
      </c>
      <c r="B1899">
        <v>2006</v>
      </c>
      <c r="C1899">
        <v>820.09924000000001</v>
      </c>
      <c r="D1899">
        <v>689.99999760000003</v>
      </c>
      <c r="E1899">
        <v>0.2</v>
      </c>
      <c r="F1899">
        <v>0</v>
      </c>
      <c r="G1899">
        <v>0</v>
      </c>
      <c r="H1899">
        <v>0</v>
      </c>
      <c r="I1899">
        <v>1.2</v>
      </c>
      <c r="J1899">
        <v>87.59</v>
      </c>
      <c r="K1899">
        <v>53</v>
      </c>
      <c r="M1899">
        <v>0.5</v>
      </c>
      <c r="P1899">
        <v>8.0439062480000008</v>
      </c>
      <c r="Q1899">
        <v>336.11567430000002</v>
      </c>
      <c r="R1899">
        <v>15.19</v>
      </c>
      <c r="S1899">
        <v>111369</v>
      </c>
      <c r="T1899">
        <v>6.4280549999999996</v>
      </c>
      <c r="U1899">
        <v>-9.4294989999999999</v>
      </c>
    </row>
    <row r="1900" spans="1:21">
      <c r="A1900" t="s">
        <v>112</v>
      </c>
      <c r="B1900">
        <v>2007</v>
      </c>
      <c r="C1900">
        <v>728.07929999999999</v>
      </c>
      <c r="D1900">
        <v>639.99998570000002</v>
      </c>
      <c r="E1900">
        <v>0.25</v>
      </c>
      <c r="F1900">
        <v>0</v>
      </c>
      <c r="G1900">
        <v>0</v>
      </c>
      <c r="H1900">
        <v>0</v>
      </c>
      <c r="I1900">
        <v>1.1499999999999999</v>
      </c>
      <c r="J1900">
        <v>89.83</v>
      </c>
      <c r="K1900">
        <v>53</v>
      </c>
      <c r="L1900">
        <v>3</v>
      </c>
      <c r="M1900">
        <v>0.4</v>
      </c>
      <c r="O1900">
        <v>660000</v>
      </c>
      <c r="P1900">
        <v>9.535279869</v>
      </c>
      <c r="Q1900">
        <v>396.60176130000002</v>
      </c>
      <c r="R1900">
        <v>14.18</v>
      </c>
      <c r="S1900">
        <v>111369</v>
      </c>
      <c r="T1900">
        <v>6.4280549999999996</v>
      </c>
      <c r="U1900">
        <v>-9.4294989999999999</v>
      </c>
    </row>
    <row r="1901" spans="1:21">
      <c r="A1901" t="s">
        <v>112</v>
      </c>
      <c r="B1901">
        <v>2008</v>
      </c>
      <c r="C1901">
        <v>619.28719999999998</v>
      </c>
      <c r="D1901">
        <v>540.0000215</v>
      </c>
      <c r="E1901">
        <v>0.25</v>
      </c>
      <c r="F1901">
        <v>0</v>
      </c>
      <c r="G1901">
        <v>0</v>
      </c>
      <c r="H1901">
        <v>0</v>
      </c>
      <c r="I1901">
        <v>1.1100000000000001</v>
      </c>
      <c r="J1901">
        <v>91.84</v>
      </c>
      <c r="K1901">
        <v>53</v>
      </c>
      <c r="L1901">
        <v>1.2792896</v>
      </c>
      <c r="M1901">
        <v>0.4</v>
      </c>
      <c r="O1901">
        <v>160000</v>
      </c>
      <c r="P1901">
        <v>7.1456889979999998</v>
      </c>
      <c r="Q1901">
        <v>478.39954010000002</v>
      </c>
      <c r="R1901">
        <v>13.47</v>
      </c>
      <c r="S1901">
        <v>111369</v>
      </c>
      <c r="T1901">
        <v>6.4280549999999996</v>
      </c>
      <c r="U1901">
        <v>-9.4294989999999999</v>
      </c>
    </row>
    <row r="1902" spans="1:21">
      <c r="A1902" t="s">
        <v>112</v>
      </c>
      <c r="B1902">
        <v>2009</v>
      </c>
      <c r="C1902">
        <v>547.74620000000004</v>
      </c>
      <c r="D1902">
        <v>540.0000215</v>
      </c>
      <c r="E1902">
        <v>0.25</v>
      </c>
      <c r="F1902">
        <v>0</v>
      </c>
      <c r="G1902">
        <v>0</v>
      </c>
      <c r="H1902">
        <v>0</v>
      </c>
      <c r="I1902">
        <v>1.07</v>
      </c>
      <c r="J1902">
        <v>91.81</v>
      </c>
      <c r="K1902">
        <v>53</v>
      </c>
      <c r="L1902">
        <v>1.9</v>
      </c>
      <c r="M1902">
        <v>0.4</v>
      </c>
      <c r="P1902">
        <v>5.3005393769999998</v>
      </c>
      <c r="Q1902">
        <v>470.94812139999999</v>
      </c>
      <c r="R1902">
        <v>13.09</v>
      </c>
      <c r="S1902">
        <v>111369</v>
      </c>
      <c r="T1902">
        <v>6.4280549999999996</v>
      </c>
      <c r="U1902">
        <v>-9.4294989999999999</v>
      </c>
    </row>
    <row r="1903" spans="1:21">
      <c r="A1903" t="s">
        <v>112</v>
      </c>
      <c r="B1903">
        <v>2010</v>
      </c>
      <c r="C1903">
        <v>837.75030000000004</v>
      </c>
      <c r="D1903">
        <v>730.00001910000003</v>
      </c>
      <c r="E1903">
        <v>0.25</v>
      </c>
      <c r="F1903">
        <v>0</v>
      </c>
      <c r="G1903">
        <v>0</v>
      </c>
      <c r="H1903">
        <v>0</v>
      </c>
      <c r="I1903">
        <v>1.03</v>
      </c>
      <c r="J1903">
        <v>88.59</v>
      </c>
      <c r="K1903">
        <v>53</v>
      </c>
      <c r="L1903">
        <v>5.1626643999999997</v>
      </c>
      <c r="M1903">
        <v>0.4</v>
      </c>
      <c r="P1903">
        <v>6.0998276020000004</v>
      </c>
      <c r="Q1903">
        <v>513.44556669999997</v>
      </c>
      <c r="R1903">
        <v>13.52</v>
      </c>
      <c r="S1903">
        <v>111369</v>
      </c>
      <c r="T1903">
        <v>6.4280549999999996</v>
      </c>
      <c r="U1903">
        <v>-9.4294989999999999</v>
      </c>
    </row>
    <row r="1904" spans="1:21">
      <c r="A1904" t="s">
        <v>112</v>
      </c>
      <c r="B1904">
        <v>2011</v>
      </c>
      <c r="C1904">
        <v>896.82809999999995</v>
      </c>
      <c r="D1904">
        <v>850.00002380000001</v>
      </c>
      <c r="E1904">
        <v>0.28000000000000003</v>
      </c>
      <c r="F1904">
        <v>0</v>
      </c>
      <c r="G1904">
        <v>0</v>
      </c>
      <c r="H1904">
        <v>0</v>
      </c>
      <c r="I1904">
        <v>1</v>
      </c>
      <c r="J1904">
        <v>87.1</v>
      </c>
      <c r="K1904">
        <v>53</v>
      </c>
      <c r="L1904">
        <v>4.0999999999999996</v>
      </c>
      <c r="M1904">
        <v>0.4</v>
      </c>
      <c r="O1904">
        <v>103060000</v>
      </c>
      <c r="P1904">
        <v>8.2007658400000008</v>
      </c>
      <c r="Q1904">
        <v>596.89663529999996</v>
      </c>
      <c r="R1904">
        <v>13.09</v>
      </c>
      <c r="S1904">
        <v>111369</v>
      </c>
      <c r="T1904">
        <v>6.4280549999999996</v>
      </c>
      <c r="U1904">
        <v>-9.4294989999999999</v>
      </c>
    </row>
    <row r="1905" spans="1:21">
      <c r="A1905" t="s">
        <v>112</v>
      </c>
      <c r="B1905">
        <v>2012</v>
      </c>
      <c r="C1905">
        <v>960.11162999999999</v>
      </c>
      <c r="D1905">
        <v>949.9999881</v>
      </c>
      <c r="E1905">
        <v>0.28000000000000003</v>
      </c>
      <c r="F1905">
        <v>0</v>
      </c>
      <c r="G1905">
        <v>0</v>
      </c>
      <c r="H1905">
        <v>0</v>
      </c>
      <c r="I1905">
        <v>0.98</v>
      </c>
      <c r="J1905">
        <v>86.21</v>
      </c>
      <c r="K1905">
        <v>53</v>
      </c>
      <c r="L1905">
        <v>9.1074719999999996</v>
      </c>
      <c r="M1905">
        <v>0.4</v>
      </c>
      <c r="O1905">
        <v>20000</v>
      </c>
      <c r="P1905">
        <v>7.9938156930000002</v>
      </c>
      <c r="Q1905">
        <v>675.01019180000003</v>
      </c>
      <c r="R1905">
        <v>12.69</v>
      </c>
      <c r="S1905">
        <v>111369</v>
      </c>
      <c r="T1905">
        <v>6.4280549999999996</v>
      </c>
      <c r="U1905">
        <v>-9.4294989999999999</v>
      </c>
    </row>
    <row r="1906" spans="1:21">
      <c r="A1906" t="s">
        <v>112</v>
      </c>
      <c r="B1906">
        <v>2013</v>
      </c>
      <c r="C1906">
        <v>830.95196999999996</v>
      </c>
      <c r="D1906">
        <v>920.00001669999995</v>
      </c>
      <c r="E1906">
        <v>0.28000000000000003</v>
      </c>
      <c r="F1906">
        <v>0</v>
      </c>
      <c r="G1906">
        <v>0</v>
      </c>
      <c r="H1906">
        <v>0</v>
      </c>
      <c r="I1906">
        <v>0.95</v>
      </c>
      <c r="J1906">
        <v>87.54</v>
      </c>
      <c r="K1906">
        <v>53</v>
      </c>
      <c r="L1906">
        <v>9.8000000000000007</v>
      </c>
      <c r="M1906">
        <v>0.3</v>
      </c>
      <c r="O1906">
        <v>85180000</v>
      </c>
      <c r="P1906">
        <v>8.6872878159999996</v>
      </c>
      <c r="Q1906">
        <v>747.86866010000006</v>
      </c>
      <c r="R1906">
        <v>11.79</v>
      </c>
      <c r="S1906">
        <v>111369</v>
      </c>
      <c r="T1906">
        <v>6.4280549999999996</v>
      </c>
      <c r="U1906">
        <v>-9.4294989999999999</v>
      </c>
    </row>
    <row r="1907" spans="1:21">
      <c r="A1907" t="s">
        <v>112</v>
      </c>
      <c r="B1907">
        <v>2014</v>
      </c>
      <c r="C1907">
        <v>1071.9282000000001</v>
      </c>
      <c r="D1907">
        <v>1220.000029</v>
      </c>
      <c r="E1907">
        <v>0.28000000000000003</v>
      </c>
      <c r="F1907">
        <v>0</v>
      </c>
      <c r="G1907">
        <v>0</v>
      </c>
      <c r="H1907">
        <v>0</v>
      </c>
      <c r="I1907">
        <v>0.93</v>
      </c>
      <c r="J1907">
        <v>84.02</v>
      </c>
      <c r="K1907">
        <v>53</v>
      </c>
      <c r="L1907">
        <v>9.4</v>
      </c>
      <c r="M1907">
        <v>0.4</v>
      </c>
      <c r="O1907">
        <v>190000</v>
      </c>
      <c r="P1907">
        <v>0.70139309999999999</v>
      </c>
      <c r="Q1907">
        <v>739.91193499999997</v>
      </c>
      <c r="R1907">
        <v>12.61</v>
      </c>
      <c r="S1907">
        <v>111369</v>
      </c>
      <c r="T1907">
        <v>6.4280549999999996</v>
      </c>
      <c r="U1907">
        <v>-9.4294989999999999</v>
      </c>
    </row>
    <row r="1908" spans="1:21">
      <c r="A1908" t="s">
        <v>112</v>
      </c>
      <c r="B1908">
        <v>2015</v>
      </c>
      <c r="C1908">
        <v>1054.1842999999999</v>
      </c>
      <c r="D1908">
        <v>1259.99999</v>
      </c>
      <c r="E1908">
        <v>0.28999999999999998</v>
      </c>
      <c r="F1908">
        <v>0</v>
      </c>
      <c r="G1908">
        <v>0</v>
      </c>
      <c r="H1908">
        <v>0</v>
      </c>
      <c r="I1908">
        <v>0.91</v>
      </c>
      <c r="J1908">
        <v>83.93</v>
      </c>
      <c r="K1908">
        <v>53</v>
      </c>
      <c r="L1908">
        <v>15.161735999999999</v>
      </c>
      <c r="M1908">
        <v>0.4</v>
      </c>
      <c r="O1908">
        <v>252910000</v>
      </c>
      <c r="P1908">
        <v>-1.856497E-2</v>
      </c>
      <c r="Q1908">
        <v>721.58105049999995</v>
      </c>
      <c r="R1908">
        <v>13</v>
      </c>
      <c r="S1908">
        <v>111369</v>
      </c>
      <c r="T1908">
        <v>6.4280549999999996</v>
      </c>
      <c r="U1908">
        <v>-9.4294989999999999</v>
      </c>
    </row>
    <row r="1909" spans="1:21">
      <c r="A1909" t="s">
        <v>112</v>
      </c>
      <c r="B1909">
        <v>2016</v>
      </c>
      <c r="C1909">
        <v>1187.8451</v>
      </c>
      <c r="D1909">
        <v>1409.999967</v>
      </c>
      <c r="E1909">
        <v>0.38</v>
      </c>
      <c r="F1909">
        <v>0</v>
      </c>
      <c r="G1909">
        <v>0</v>
      </c>
      <c r="H1909">
        <v>0</v>
      </c>
      <c r="I1909">
        <v>5.68</v>
      </c>
      <c r="J1909">
        <v>82.66</v>
      </c>
      <c r="K1909">
        <v>53</v>
      </c>
      <c r="L1909">
        <v>17.7</v>
      </c>
      <c r="M1909">
        <v>0.4</v>
      </c>
      <c r="O1909">
        <v>10240000</v>
      </c>
      <c r="P1909">
        <v>-1.554958617</v>
      </c>
      <c r="Q1909">
        <v>740.91490599999997</v>
      </c>
      <c r="R1909">
        <v>13.92</v>
      </c>
      <c r="S1909">
        <v>111369</v>
      </c>
      <c r="T1909">
        <v>6.4280549999999996</v>
      </c>
      <c r="U1909">
        <v>-9.4294989999999999</v>
      </c>
    </row>
    <row r="1910" spans="1:21">
      <c r="A1910" t="s">
        <v>112</v>
      </c>
      <c r="B1910">
        <v>2017</v>
      </c>
      <c r="C1910">
        <v>1007.256</v>
      </c>
      <c r="D1910">
        <v>1279.999971</v>
      </c>
      <c r="E1910">
        <v>0.37</v>
      </c>
      <c r="F1910">
        <v>0</v>
      </c>
      <c r="G1910">
        <v>0</v>
      </c>
      <c r="H1910">
        <v>0</v>
      </c>
      <c r="I1910">
        <v>20.079999999999998</v>
      </c>
      <c r="J1910">
        <v>84.77</v>
      </c>
      <c r="K1910">
        <v>53</v>
      </c>
      <c r="L1910">
        <v>24.2</v>
      </c>
      <c r="M1910">
        <v>0.4</v>
      </c>
      <c r="O1910">
        <v>46280000</v>
      </c>
      <c r="P1910">
        <v>2.4551559200000002</v>
      </c>
      <c r="Q1910">
        <v>721.08504400000004</v>
      </c>
      <c r="R1910">
        <v>13.66</v>
      </c>
      <c r="S1910">
        <v>111369</v>
      </c>
      <c r="T1910">
        <v>6.4280549999999996</v>
      </c>
      <c r="U1910">
        <v>-9.4294989999999999</v>
      </c>
    </row>
    <row r="1911" spans="1:21">
      <c r="A1911" t="s">
        <v>112</v>
      </c>
      <c r="B1911">
        <v>2018</v>
      </c>
      <c r="C1911">
        <v>1122.4692</v>
      </c>
      <c r="D1911">
        <v>1129.9999949999999</v>
      </c>
      <c r="E1911">
        <v>0.32</v>
      </c>
      <c r="F1911">
        <v>0</v>
      </c>
      <c r="G1911">
        <v>0</v>
      </c>
      <c r="H1911">
        <v>0</v>
      </c>
      <c r="I1911">
        <v>19.63</v>
      </c>
      <c r="J1911">
        <v>87.06</v>
      </c>
      <c r="K1911">
        <v>53</v>
      </c>
      <c r="L1911">
        <v>22.879132999999999</v>
      </c>
      <c r="M1911">
        <v>0.4</v>
      </c>
      <c r="O1911">
        <v>6590000</v>
      </c>
      <c r="P1911">
        <v>1.1575751219999999</v>
      </c>
      <c r="Q1911">
        <v>710.26599839999994</v>
      </c>
      <c r="R1911">
        <v>13.59</v>
      </c>
      <c r="S1911">
        <v>111369</v>
      </c>
      <c r="T1911">
        <v>6.4280549999999996</v>
      </c>
      <c r="U1911">
        <v>-9.4294989999999999</v>
      </c>
    </row>
    <row r="1912" spans="1:21">
      <c r="A1912" t="s">
        <v>112</v>
      </c>
      <c r="B1912">
        <v>2019</v>
      </c>
      <c r="C1912">
        <v>1100.8312000000001</v>
      </c>
      <c r="D1912">
        <v>1179.9999479999999</v>
      </c>
      <c r="E1912">
        <v>0.31</v>
      </c>
      <c r="F1912">
        <v>0</v>
      </c>
      <c r="G1912">
        <v>0</v>
      </c>
      <c r="H1912">
        <v>0</v>
      </c>
      <c r="I1912">
        <v>19.16</v>
      </c>
      <c r="J1912">
        <v>87.24</v>
      </c>
      <c r="K1912">
        <v>53</v>
      </c>
      <c r="L1912">
        <v>23.1</v>
      </c>
      <c r="M1912">
        <v>0.4</v>
      </c>
      <c r="O1912">
        <v>37570000</v>
      </c>
      <c r="P1912">
        <v>-2.467297635</v>
      </c>
      <c r="Q1912">
        <v>672.34049919999995</v>
      </c>
      <c r="R1912">
        <v>14.33</v>
      </c>
      <c r="S1912">
        <v>111369</v>
      </c>
      <c r="T1912">
        <v>6.4280549999999996</v>
      </c>
      <c r="U1912">
        <v>-9.4294989999999999</v>
      </c>
    </row>
    <row r="1913" spans="1:21">
      <c r="A1913" t="s">
        <v>112</v>
      </c>
      <c r="B1913">
        <v>2020</v>
      </c>
      <c r="C1913">
        <v>1030.0463</v>
      </c>
      <c r="E1913">
        <v>0.36</v>
      </c>
      <c r="F1913">
        <v>0</v>
      </c>
      <c r="G1913">
        <v>0.53</v>
      </c>
      <c r="H1913">
        <v>59.550559999999997</v>
      </c>
      <c r="I1913">
        <v>18.7</v>
      </c>
      <c r="K1913">
        <v>53</v>
      </c>
      <c r="L1913">
        <v>27.53471</v>
      </c>
      <c r="M1913">
        <v>0.4</v>
      </c>
      <c r="P1913">
        <v>-2.9829162810000001</v>
      </c>
      <c r="Q1913">
        <v>632.93638559999999</v>
      </c>
      <c r="S1913">
        <v>111369</v>
      </c>
      <c r="T1913">
        <v>6.4280549999999996</v>
      </c>
      <c r="U1913">
        <v>-9.4294989999999999</v>
      </c>
    </row>
    <row r="1914" spans="1:21">
      <c r="A1914" t="s">
        <v>113</v>
      </c>
      <c r="B1914">
        <v>2000</v>
      </c>
      <c r="C1914">
        <v>41310.375</v>
      </c>
      <c r="D1914">
        <v>44720</v>
      </c>
      <c r="E1914">
        <v>14.56</v>
      </c>
      <c r="F1914">
        <v>0</v>
      </c>
      <c r="G1914">
        <v>0</v>
      </c>
      <c r="H1914">
        <v>0</v>
      </c>
      <c r="I1914">
        <v>0</v>
      </c>
      <c r="J1914">
        <v>2.04</v>
      </c>
      <c r="K1914">
        <v>4</v>
      </c>
      <c r="L1914">
        <v>99.8</v>
      </c>
      <c r="P1914">
        <v>3.6792132930000001</v>
      </c>
      <c r="Q1914">
        <v>7142.7717860000002</v>
      </c>
      <c r="R1914">
        <v>7.37</v>
      </c>
      <c r="S1914">
        <v>1759540</v>
      </c>
      <c r="T1914">
        <v>26.335100000000001</v>
      </c>
      <c r="U1914">
        <v>17.228331000000001</v>
      </c>
    </row>
    <row r="1915" spans="1:21">
      <c r="A1915" t="s">
        <v>113</v>
      </c>
      <c r="B1915">
        <v>2001</v>
      </c>
      <c r="C1915">
        <v>40686.832000000002</v>
      </c>
      <c r="D1915">
        <v>44450</v>
      </c>
      <c r="E1915">
        <v>15.15</v>
      </c>
      <c r="F1915">
        <v>0</v>
      </c>
      <c r="G1915">
        <v>0</v>
      </c>
      <c r="H1915">
        <v>0</v>
      </c>
      <c r="I1915">
        <v>0</v>
      </c>
      <c r="J1915">
        <v>2.92</v>
      </c>
      <c r="K1915">
        <v>4</v>
      </c>
      <c r="L1915">
        <v>97.147059999999996</v>
      </c>
      <c r="P1915">
        <v>-1.7628781680000001</v>
      </c>
      <c r="Q1915">
        <v>6266.4898210000001</v>
      </c>
      <c r="R1915">
        <v>7.89</v>
      </c>
      <c r="S1915">
        <v>1759540</v>
      </c>
      <c r="T1915">
        <v>26.335100000000001</v>
      </c>
      <c r="U1915">
        <v>17.228331000000001</v>
      </c>
    </row>
    <row r="1916" spans="1:21">
      <c r="A1916" t="s">
        <v>113</v>
      </c>
      <c r="B1916">
        <v>2002</v>
      </c>
      <c r="C1916">
        <v>40937.99</v>
      </c>
      <c r="D1916">
        <v>45590.00015</v>
      </c>
      <c r="E1916">
        <v>16.48</v>
      </c>
      <c r="F1916">
        <v>0</v>
      </c>
      <c r="G1916">
        <v>0</v>
      </c>
      <c r="H1916">
        <v>0</v>
      </c>
      <c r="I1916">
        <v>0</v>
      </c>
      <c r="J1916">
        <v>2.86</v>
      </c>
      <c r="K1916">
        <v>4</v>
      </c>
      <c r="L1916">
        <v>95.423370000000006</v>
      </c>
      <c r="P1916">
        <v>-0.95884938099999995</v>
      </c>
      <c r="Q1916">
        <v>3703.0429519999998</v>
      </c>
      <c r="R1916">
        <v>8.16</v>
      </c>
      <c r="S1916">
        <v>1759540</v>
      </c>
      <c r="T1916">
        <v>26.335100000000001</v>
      </c>
      <c r="U1916">
        <v>17.228331000000001</v>
      </c>
    </row>
    <row r="1917" spans="1:21">
      <c r="A1917" t="s">
        <v>113</v>
      </c>
      <c r="B1917">
        <v>2003</v>
      </c>
      <c r="C1917">
        <v>39334.31</v>
      </c>
      <c r="D1917">
        <v>48919.998169999999</v>
      </c>
      <c r="E1917">
        <v>17.809999999999999</v>
      </c>
      <c r="F1917">
        <v>0</v>
      </c>
      <c r="G1917">
        <v>0</v>
      </c>
      <c r="H1917">
        <v>0</v>
      </c>
      <c r="I1917">
        <v>0.04</v>
      </c>
      <c r="J1917">
        <v>2.85</v>
      </c>
      <c r="K1917">
        <v>4</v>
      </c>
      <c r="L1917">
        <v>93.69444</v>
      </c>
      <c r="P1917">
        <v>13.016001080000001</v>
      </c>
      <c r="Q1917">
        <v>4673.1455759999999</v>
      </c>
      <c r="R1917">
        <v>7.23</v>
      </c>
      <c r="S1917">
        <v>1759540</v>
      </c>
      <c r="T1917">
        <v>26.335100000000001</v>
      </c>
      <c r="U1917">
        <v>17.228331000000001</v>
      </c>
    </row>
    <row r="1918" spans="1:21">
      <c r="A1918" t="s">
        <v>113</v>
      </c>
      <c r="B1918">
        <v>2004</v>
      </c>
      <c r="C1918">
        <v>39269.440000000002</v>
      </c>
      <c r="D1918">
        <v>48459.999080000001</v>
      </c>
      <c r="E1918">
        <v>18.989999999999998</v>
      </c>
      <c r="F1918">
        <v>0</v>
      </c>
      <c r="G1918">
        <v>0</v>
      </c>
      <c r="H1918">
        <v>0</v>
      </c>
      <c r="I1918">
        <v>0.12</v>
      </c>
      <c r="J1918">
        <v>2.73</v>
      </c>
      <c r="K1918">
        <v>4</v>
      </c>
      <c r="L1918">
        <v>91.962639999999993</v>
      </c>
      <c r="P1918">
        <v>4.4616299819999998</v>
      </c>
      <c r="Q1918">
        <v>5800.5888260000002</v>
      </c>
      <c r="R1918">
        <v>7.11</v>
      </c>
      <c r="S1918">
        <v>1759540</v>
      </c>
      <c r="T1918">
        <v>26.335100000000001</v>
      </c>
      <c r="U1918">
        <v>17.228331000000001</v>
      </c>
    </row>
    <row r="1919" spans="1:21">
      <c r="A1919" t="s">
        <v>113</v>
      </c>
      <c r="B1919">
        <v>2005</v>
      </c>
      <c r="C1919">
        <v>39565.17</v>
      </c>
      <c r="D1919">
        <v>52990.001680000001</v>
      </c>
      <c r="E1919">
        <v>21.31</v>
      </c>
      <c r="F1919">
        <v>0</v>
      </c>
      <c r="G1919">
        <v>0</v>
      </c>
      <c r="H1919">
        <v>0</v>
      </c>
      <c r="I1919">
        <v>0.21</v>
      </c>
      <c r="J1919">
        <v>2.61</v>
      </c>
      <c r="K1919">
        <v>4</v>
      </c>
      <c r="L1919">
        <v>90.230286000000007</v>
      </c>
      <c r="P1919">
        <v>11.87072893</v>
      </c>
      <c r="Q1919">
        <v>8163.0093699999998</v>
      </c>
      <c r="R1919">
        <v>6.61</v>
      </c>
      <c r="S1919">
        <v>1759540</v>
      </c>
      <c r="T1919">
        <v>26.335100000000001</v>
      </c>
      <c r="U1919">
        <v>17.228331000000001</v>
      </c>
    </row>
    <row r="1920" spans="1:21">
      <c r="A1920" t="s">
        <v>113</v>
      </c>
      <c r="B1920">
        <v>2006</v>
      </c>
      <c r="C1920">
        <v>35456.92</v>
      </c>
      <c r="D1920">
        <v>52919.998169999999</v>
      </c>
      <c r="E1920">
        <v>23.26</v>
      </c>
      <c r="F1920">
        <v>0</v>
      </c>
      <c r="G1920">
        <v>0</v>
      </c>
      <c r="H1920">
        <v>0</v>
      </c>
      <c r="I1920">
        <v>0.28999999999999998</v>
      </c>
      <c r="J1920">
        <v>2.79</v>
      </c>
      <c r="K1920">
        <v>4</v>
      </c>
      <c r="L1920">
        <v>88.49982</v>
      </c>
      <c r="P1920">
        <v>6.5005472270000002</v>
      </c>
      <c r="Q1920">
        <v>9336.3534980000004</v>
      </c>
      <c r="R1920">
        <v>5.82</v>
      </c>
      <c r="S1920">
        <v>1759540</v>
      </c>
      <c r="T1920">
        <v>26.335100000000001</v>
      </c>
      <c r="U1920">
        <v>17.228331000000001</v>
      </c>
    </row>
    <row r="1921" spans="1:21">
      <c r="A1921" t="s">
        <v>113</v>
      </c>
      <c r="B1921">
        <v>2007</v>
      </c>
      <c r="C1921">
        <v>34507.516000000003</v>
      </c>
      <c r="D1921">
        <v>49389.999389999997</v>
      </c>
      <c r="E1921">
        <v>24.66</v>
      </c>
      <c r="F1921">
        <v>0</v>
      </c>
      <c r="G1921">
        <v>0</v>
      </c>
      <c r="H1921">
        <v>0</v>
      </c>
      <c r="I1921">
        <v>0.37</v>
      </c>
      <c r="J1921">
        <v>2.95</v>
      </c>
      <c r="K1921">
        <v>4</v>
      </c>
      <c r="L1921">
        <v>86.773865000000001</v>
      </c>
      <c r="P1921">
        <v>6.3523169939999997</v>
      </c>
      <c r="Q1921">
        <v>11300.193230000001</v>
      </c>
      <c r="R1921">
        <v>4.5999999999999996</v>
      </c>
      <c r="S1921">
        <v>1759540</v>
      </c>
      <c r="T1921">
        <v>26.335100000000001</v>
      </c>
      <c r="U1921">
        <v>17.228331000000001</v>
      </c>
    </row>
    <row r="1922" spans="1:21">
      <c r="A1922" t="s">
        <v>113</v>
      </c>
      <c r="B1922">
        <v>2008</v>
      </c>
      <c r="C1922">
        <v>35070.413999999997</v>
      </c>
      <c r="D1922">
        <v>53270.000460000003</v>
      </c>
      <c r="E1922">
        <v>28.88</v>
      </c>
      <c r="F1922">
        <v>0</v>
      </c>
      <c r="G1922">
        <v>0</v>
      </c>
      <c r="H1922">
        <v>0</v>
      </c>
      <c r="I1922">
        <v>0.45</v>
      </c>
      <c r="J1922">
        <v>2.78</v>
      </c>
      <c r="K1922">
        <v>4</v>
      </c>
      <c r="L1922">
        <v>85.055139999999994</v>
      </c>
      <c r="P1922">
        <v>2.6673557899999998</v>
      </c>
      <c r="Q1922">
        <v>14382.595289999999</v>
      </c>
      <c r="R1922">
        <v>5</v>
      </c>
      <c r="S1922">
        <v>1759540</v>
      </c>
      <c r="T1922">
        <v>26.335100000000001</v>
      </c>
      <c r="U1922">
        <v>17.228331000000001</v>
      </c>
    </row>
    <row r="1923" spans="1:21">
      <c r="A1923" t="s">
        <v>113</v>
      </c>
      <c r="B1923">
        <v>2009</v>
      </c>
      <c r="C1923">
        <v>39304.934000000001</v>
      </c>
      <c r="D1923">
        <v>56400.001530000001</v>
      </c>
      <c r="E1923">
        <v>29.18</v>
      </c>
      <c r="F1923">
        <v>0</v>
      </c>
      <c r="G1923">
        <v>0</v>
      </c>
      <c r="H1923">
        <v>0</v>
      </c>
      <c r="I1923">
        <v>0.52</v>
      </c>
      <c r="J1923">
        <v>2.5099999999999998</v>
      </c>
      <c r="K1923">
        <v>4</v>
      </c>
      <c r="L1923">
        <v>83.346360000000004</v>
      </c>
      <c r="P1923">
        <v>-0.79014183199999999</v>
      </c>
      <c r="Q1923">
        <v>10275.26154</v>
      </c>
      <c r="R1923">
        <v>5.56</v>
      </c>
      <c r="S1923">
        <v>1759540</v>
      </c>
      <c r="T1923">
        <v>26.335100000000001</v>
      </c>
      <c r="U1923">
        <v>17.228331000000001</v>
      </c>
    </row>
    <row r="1924" spans="1:21">
      <c r="A1924" t="s">
        <v>113</v>
      </c>
      <c r="B1924">
        <v>2010</v>
      </c>
      <c r="C1924">
        <v>40607.305</v>
      </c>
      <c r="D1924">
        <v>59549.999239999997</v>
      </c>
      <c r="E1924">
        <v>30.6</v>
      </c>
      <c r="F1924">
        <v>0</v>
      </c>
      <c r="G1924">
        <v>0.01</v>
      </c>
      <c r="H1924">
        <v>3.266906E-2</v>
      </c>
      <c r="I1924">
        <v>0.6</v>
      </c>
      <c r="J1924">
        <v>2.37</v>
      </c>
      <c r="K1924">
        <v>4</v>
      </c>
      <c r="L1924">
        <v>81.650220000000004</v>
      </c>
      <c r="P1924">
        <v>5.0212897390000002</v>
      </c>
      <c r="Q1924">
        <v>12064.77291</v>
      </c>
      <c r="R1924">
        <v>6.09</v>
      </c>
      <c r="S1924">
        <v>1759540</v>
      </c>
      <c r="T1924">
        <v>26.335100000000001</v>
      </c>
      <c r="U1924">
        <v>17.228331000000001</v>
      </c>
    </row>
    <row r="1925" spans="1:21">
      <c r="A1925" t="s">
        <v>113</v>
      </c>
      <c r="B1925">
        <v>2011</v>
      </c>
      <c r="C1925">
        <v>27959.967000000001</v>
      </c>
      <c r="D1925">
        <v>41950.000760000003</v>
      </c>
      <c r="E1925">
        <v>24.43</v>
      </c>
      <c r="F1925">
        <v>0</v>
      </c>
      <c r="G1925">
        <v>0.01</v>
      </c>
      <c r="H1925">
        <v>4.091653E-2</v>
      </c>
      <c r="I1925">
        <v>0.67</v>
      </c>
      <c r="J1925">
        <v>3.09</v>
      </c>
      <c r="K1925">
        <v>4</v>
      </c>
      <c r="L1925">
        <v>79.969449999999995</v>
      </c>
      <c r="P1925">
        <v>-62.075919579999997</v>
      </c>
      <c r="Q1925">
        <v>5554.180053</v>
      </c>
      <c r="R1925">
        <v>13.76</v>
      </c>
      <c r="S1925">
        <v>1759540</v>
      </c>
      <c r="T1925">
        <v>26.335100000000001</v>
      </c>
      <c r="U1925">
        <v>17.228331000000001</v>
      </c>
    </row>
    <row r="1926" spans="1:21">
      <c r="A1926" t="s">
        <v>113</v>
      </c>
      <c r="B1926">
        <v>2012</v>
      </c>
      <c r="C1926">
        <v>36727.042999999998</v>
      </c>
      <c r="D1926">
        <v>57630.001069999998</v>
      </c>
      <c r="E1926">
        <v>32.21</v>
      </c>
      <c r="F1926">
        <v>0</v>
      </c>
      <c r="G1926">
        <v>0.01</v>
      </c>
      <c r="H1926">
        <v>3.1036622999999999E-2</v>
      </c>
      <c r="I1926">
        <v>0.78</v>
      </c>
      <c r="J1926">
        <v>2.72</v>
      </c>
      <c r="K1926">
        <v>4</v>
      </c>
      <c r="L1926">
        <v>78.306749999999994</v>
      </c>
      <c r="P1926">
        <v>123.1395552</v>
      </c>
      <c r="Q1926">
        <v>13025.27932</v>
      </c>
      <c r="R1926">
        <v>5.66</v>
      </c>
      <c r="S1926">
        <v>1759540</v>
      </c>
      <c r="T1926">
        <v>26.335100000000001</v>
      </c>
      <c r="U1926">
        <v>17.228331000000001</v>
      </c>
    </row>
    <row r="1927" spans="1:21">
      <c r="A1927" t="s">
        <v>113</v>
      </c>
      <c r="B1927">
        <v>2013</v>
      </c>
      <c r="C1927">
        <v>38740.535000000003</v>
      </c>
      <c r="D1927">
        <v>58610.000610000003</v>
      </c>
      <c r="E1927">
        <v>35.630000000000003</v>
      </c>
      <c r="F1927">
        <v>0</v>
      </c>
      <c r="G1927">
        <v>0.01</v>
      </c>
      <c r="H1927">
        <v>2.8058361E-2</v>
      </c>
      <c r="I1927">
        <v>0.77</v>
      </c>
      <c r="J1927">
        <v>2.48</v>
      </c>
      <c r="K1927">
        <v>4</v>
      </c>
      <c r="L1927">
        <v>76.663870000000003</v>
      </c>
      <c r="P1927">
        <v>-13.599999970000001</v>
      </c>
      <c r="Q1927">
        <v>10363.804249999999</v>
      </c>
      <c r="R1927">
        <v>5.69</v>
      </c>
      <c r="S1927">
        <v>1759540</v>
      </c>
      <c r="T1927">
        <v>26.335100000000001</v>
      </c>
      <c r="U1927">
        <v>17.228331000000001</v>
      </c>
    </row>
    <row r="1928" spans="1:21">
      <c r="A1928" t="s">
        <v>113</v>
      </c>
      <c r="B1928">
        <v>2014</v>
      </c>
      <c r="C1928">
        <v>37137.06</v>
      </c>
      <c r="D1928">
        <v>58000</v>
      </c>
      <c r="E1928">
        <v>35.46</v>
      </c>
      <c r="F1928">
        <v>0</v>
      </c>
      <c r="G1928">
        <v>0.01</v>
      </c>
      <c r="H1928">
        <v>2.8192839000000001E-2</v>
      </c>
      <c r="I1928">
        <v>0.77</v>
      </c>
      <c r="J1928">
        <v>2.41</v>
      </c>
      <c r="K1928">
        <v>4</v>
      </c>
      <c r="L1928">
        <v>75.038799999999995</v>
      </c>
      <c r="P1928">
        <v>-24.000000029999999</v>
      </c>
      <c r="Q1928">
        <v>6466.9082369999996</v>
      </c>
      <c r="R1928">
        <v>10.48</v>
      </c>
      <c r="S1928">
        <v>1759540</v>
      </c>
      <c r="T1928">
        <v>26.335100000000001</v>
      </c>
      <c r="U1928">
        <v>17.228331000000001</v>
      </c>
    </row>
    <row r="1929" spans="1:21">
      <c r="A1929" t="s">
        <v>113</v>
      </c>
      <c r="B1929">
        <v>2015</v>
      </c>
      <c r="C1929">
        <v>29102.474999999999</v>
      </c>
      <c r="D1929">
        <v>51330.001830000001</v>
      </c>
      <c r="E1929">
        <v>35.26</v>
      </c>
      <c r="F1929">
        <v>0</v>
      </c>
      <c r="G1929">
        <v>0.01</v>
      </c>
      <c r="H1929">
        <v>2.8352708000000001E-2</v>
      </c>
      <c r="I1929">
        <v>0.76</v>
      </c>
      <c r="J1929">
        <v>3.05</v>
      </c>
      <c r="K1929">
        <v>4</v>
      </c>
      <c r="L1929">
        <v>73.428569999999993</v>
      </c>
      <c r="P1929">
        <v>-8.8620393629999992</v>
      </c>
      <c r="Q1929">
        <v>4337.9191389999996</v>
      </c>
      <c r="R1929">
        <v>10.84</v>
      </c>
      <c r="S1929">
        <v>1759540</v>
      </c>
      <c r="T1929">
        <v>26.335100000000001</v>
      </c>
      <c r="U1929">
        <v>17.228331000000001</v>
      </c>
    </row>
    <row r="1930" spans="1:21">
      <c r="A1930" t="s">
        <v>113</v>
      </c>
      <c r="B1930">
        <v>2016</v>
      </c>
      <c r="C1930">
        <v>28077.625</v>
      </c>
      <c r="D1930">
        <v>50950.000760000003</v>
      </c>
      <c r="E1930">
        <v>29.52</v>
      </c>
      <c r="F1930">
        <v>0</v>
      </c>
      <c r="G1930">
        <v>0.01</v>
      </c>
      <c r="H1930">
        <v>3.3863865E-2</v>
      </c>
      <c r="I1930">
        <v>0.75</v>
      </c>
      <c r="J1930">
        <v>2.58</v>
      </c>
      <c r="K1930">
        <v>4</v>
      </c>
      <c r="L1930">
        <v>71.830219999999997</v>
      </c>
      <c r="P1930">
        <v>-2.79546889</v>
      </c>
      <c r="Q1930">
        <v>4035.1968019999999</v>
      </c>
      <c r="R1930">
        <v>11.05</v>
      </c>
      <c r="S1930">
        <v>1759540</v>
      </c>
      <c r="T1930">
        <v>26.335100000000001</v>
      </c>
      <c r="U1930">
        <v>17.228331000000001</v>
      </c>
    </row>
    <row r="1931" spans="1:21">
      <c r="A1931" t="s">
        <v>113</v>
      </c>
      <c r="B1931">
        <v>2017</v>
      </c>
      <c r="C1931">
        <v>31206.035</v>
      </c>
      <c r="D1931">
        <v>55159.99985</v>
      </c>
      <c r="E1931">
        <v>31.27</v>
      </c>
      <c r="F1931">
        <v>0</v>
      </c>
      <c r="G1931">
        <v>0.01</v>
      </c>
      <c r="H1931">
        <v>3.1969310000000001E-2</v>
      </c>
      <c r="I1931">
        <v>0.78</v>
      </c>
      <c r="J1931">
        <v>2.72</v>
      </c>
      <c r="K1931">
        <v>4</v>
      </c>
      <c r="L1931">
        <v>70.240769999999998</v>
      </c>
      <c r="P1931">
        <v>26.680902629999999</v>
      </c>
      <c r="Q1931">
        <v>5756.6993249999996</v>
      </c>
      <c r="R1931">
        <v>8.41</v>
      </c>
      <c r="S1931">
        <v>1759540</v>
      </c>
      <c r="T1931">
        <v>26.335100000000001</v>
      </c>
      <c r="U1931">
        <v>17.228331000000001</v>
      </c>
    </row>
    <row r="1932" spans="1:21">
      <c r="A1932" t="s">
        <v>113</v>
      </c>
      <c r="B1932">
        <v>2018</v>
      </c>
      <c r="C1932">
        <v>31662.736000000001</v>
      </c>
      <c r="D1932">
        <v>56619.998930000002</v>
      </c>
      <c r="E1932">
        <v>32.11</v>
      </c>
      <c r="F1932">
        <v>0</v>
      </c>
      <c r="G1932">
        <v>0.01</v>
      </c>
      <c r="H1932">
        <v>3.1133251000000001E-2</v>
      </c>
      <c r="I1932">
        <v>0.76</v>
      </c>
      <c r="J1932">
        <v>2.75</v>
      </c>
      <c r="K1932">
        <v>4</v>
      </c>
      <c r="L1932">
        <v>67</v>
      </c>
      <c r="P1932">
        <v>15.132799889999999</v>
      </c>
      <c r="Q1932">
        <v>7877.1246099999998</v>
      </c>
      <c r="R1932">
        <v>7.16</v>
      </c>
      <c r="S1932">
        <v>1759540</v>
      </c>
      <c r="T1932">
        <v>26.335100000000001</v>
      </c>
      <c r="U1932">
        <v>17.228331000000001</v>
      </c>
    </row>
    <row r="1933" spans="1:21">
      <c r="A1933" t="s">
        <v>113</v>
      </c>
      <c r="B1933">
        <v>2019</v>
      </c>
      <c r="C1933">
        <v>32421.873</v>
      </c>
      <c r="D1933">
        <v>56799.999239999997</v>
      </c>
      <c r="E1933">
        <v>31.68</v>
      </c>
      <c r="F1933">
        <v>0</v>
      </c>
      <c r="G1933">
        <v>0.01</v>
      </c>
      <c r="H1933">
        <v>3.1555694000000002E-2</v>
      </c>
      <c r="I1933">
        <v>0.75</v>
      </c>
      <c r="J1933">
        <v>2.8</v>
      </c>
      <c r="K1933">
        <v>4</v>
      </c>
      <c r="L1933">
        <v>68.642399999999995</v>
      </c>
      <c r="P1933">
        <v>2.5359534780000001</v>
      </c>
      <c r="Q1933">
        <v>7685.9481320000004</v>
      </c>
      <c r="R1933">
        <v>8.9</v>
      </c>
      <c r="S1933">
        <v>1759540</v>
      </c>
      <c r="T1933">
        <v>26.335100000000001</v>
      </c>
      <c r="U1933">
        <v>17.228331000000001</v>
      </c>
    </row>
    <row r="1934" spans="1:21">
      <c r="A1934" t="s">
        <v>113</v>
      </c>
      <c r="B1934">
        <v>2020</v>
      </c>
      <c r="C1934">
        <v>28032.594000000001</v>
      </c>
      <c r="E1934">
        <v>30.09</v>
      </c>
      <c r="F1934">
        <v>0</v>
      </c>
      <c r="G1934">
        <v>0.01</v>
      </c>
      <c r="H1934">
        <v>3.3222590000000003E-2</v>
      </c>
      <c r="I1934">
        <v>0.74</v>
      </c>
      <c r="K1934">
        <v>4</v>
      </c>
      <c r="L1934">
        <v>69.707350000000005</v>
      </c>
      <c r="P1934">
        <v>-31.300000050000001</v>
      </c>
      <c r="Q1934">
        <v>3699.2947650000001</v>
      </c>
      <c r="S1934">
        <v>1759540</v>
      </c>
      <c r="T1934">
        <v>26.335100000000001</v>
      </c>
      <c r="U1934">
        <v>17.228331000000001</v>
      </c>
    </row>
    <row r="1935" spans="1:21">
      <c r="A1935" t="s">
        <v>114</v>
      </c>
      <c r="B1935">
        <v>2000</v>
      </c>
      <c r="C1935">
        <v>21678.388999999999</v>
      </c>
      <c r="D1935">
        <v>10510</v>
      </c>
      <c r="E1935">
        <v>2.27</v>
      </c>
      <c r="F1935">
        <v>8.42</v>
      </c>
      <c r="G1935">
        <v>0.34</v>
      </c>
      <c r="H1935">
        <v>79.41977</v>
      </c>
      <c r="J1935">
        <v>17.190000000000001</v>
      </c>
      <c r="K1935">
        <v>43</v>
      </c>
      <c r="L1935">
        <v>100</v>
      </c>
      <c r="M1935">
        <v>100</v>
      </c>
      <c r="N1935">
        <v>1.2857236000000001</v>
      </c>
      <c r="P1935">
        <v>3.6955254210000001</v>
      </c>
      <c r="Q1935">
        <v>3293.2299790000002</v>
      </c>
      <c r="R1935">
        <v>6.17</v>
      </c>
      <c r="S1935">
        <v>65300</v>
      </c>
      <c r="T1935">
        <v>55.169438</v>
      </c>
      <c r="U1935">
        <v>23.881274999999999</v>
      </c>
    </row>
    <row r="1936" spans="1:21">
      <c r="A1936" t="s">
        <v>114</v>
      </c>
      <c r="B1936">
        <v>2001</v>
      </c>
      <c r="C1936">
        <v>25635.498</v>
      </c>
      <c r="D1936">
        <v>11150</v>
      </c>
      <c r="E1936">
        <v>2.6</v>
      </c>
      <c r="F1936">
        <v>11.36</v>
      </c>
      <c r="G1936">
        <v>0.33</v>
      </c>
      <c r="H1936">
        <v>81.805459999999997</v>
      </c>
      <c r="J1936">
        <v>17.59</v>
      </c>
      <c r="K1936">
        <v>43</v>
      </c>
      <c r="L1936">
        <v>100</v>
      </c>
      <c r="M1936">
        <v>100</v>
      </c>
      <c r="N1936">
        <v>1.0550188</v>
      </c>
      <c r="P1936">
        <v>6.5261089019999998</v>
      </c>
      <c r="Q1936">
        <v>3525.7936319999999</v>
      </c>
      <c r="R1936">
        <v>6.72</v>
      </c>
      <c r="S1936">
        <v>65300</v>
      </c>
      <c r="T1936">
        <v>55.169438</v>
      </c>
      <c r="U1936">
        <v>23.881274999999999</v>
      </c>
    </row>
    <row r="1937" spans="1:21">
      <c r="A1937" t="s">
        <v>114</v>
      </c>
      <c r="B1937">
        <v>2002</v>
      </c>
      <c r="C1937">
        <v>27703.937999999998</v>
      </c>
      <c r="D1937">
        <v>11220.00027</v>
      </c>
      <c r="E1937">
        <v>2.66</v>
      </c>
      <c r="F1937">
        <v>14.14</v>
      </c>
      <c r="G1937">
        <v>0.35</v>
      </c>
      <c r="H1937">
        <v>84.489800000000002</v>
      </c>
      <c r="J1937">
        <v>17.89</v>
      </c>
      <c r="K1937">
        <v>43</v>
      </c>
      <c r="L1937">
        <v>100</v>
      </c>
      <c r="M1937">
        <v>100</v>
      </c>
      <c r="N1937">
        <v>1.0718007000000001</v>
      </c>
      <c r="P1937">
        <v>6.7514145760000002</v>
      </c>
      <c r="Q1937">
        <v>4141.5927019999999</v>
      </c>
      <c r="R1937">
        <v>6.75</v>
      </c>
      <c r="S1937">
        <v>65300</v>
      </c>
      <c r="T1937">
        <v>55.169438</v>
      </c>
      <c r="U1937">
        <v>23.881274999999999</v>
      </c>
    </row>
    <row r="1938" spans="1:21">
      <c r="A1938" t="s">
        <v>114</v>
      </c>
      <c r="B1938">
        <v>2003</v>
      </c>
      <c r="C1938">
        <v>29436.241999999998</v>
      </c>
      <c r="D1938">
        <v>11229.999540000001</v>
      </c>
      <c r="E1938">
        <v>2.85</v>
      </c>
      <c r="F1938">
        <v>15.48</v>
      </c>
      <c r="G1938">
        <v>0.33</v>
      </c>
      <c r="H1938">
        <v>84.726690000000005</v>
      </c>
      <c r="J1938">
        <v>18.07</v>
      </c>
      <c r="K1938">
        <v>43</v>
      </c>
      <c r="L1938">
        <v>100</v>
      </c>
      <c r="M1938">
        <v>100</v>
      </c>
      <c r="N1938">
        <v>0.94520015000000002</v>
      </c>
      <c r="P1938">
        <v>10.56595699</v>
      </c>
      <c r="Q1938">
        <v>5499.428989</v>
      </c>
      <c r="R1938">
        <v>6.37</v>
      </c>
      <c r="S1938">
        <v>65300</v>
      </c>
      <c r="T1938">
        <v>55.169438</v>
      </c>
      <c r="U1938">
        <v>23.881274999999999</v>
      </c>
    </row>
    <row r="1939" spans="1:21">
      <c r="A1939" t="s">
        <v>114</v>
      </c>
      <c r="B1939">
        <v>2004</v>
      </c>
      <c r="C1939">
        <v>30054.080000000002</v>
      </c>
      <c r="D1939">
        <v>11909.99985</v>
      </c>
      <c r="E1939">
        <v>3.05</v>
      </c>
      <c r="F1939">
        <v>15.1</v>
      </c>
      <c r="G1939">
        <v>0.43</v>
      </c>
      <c r="H1939">
        <v>83.584500000000006</v>
      </c>
      <c r="J1939">
        <v>18.07</v>
      </c>
      <c r="K1939">
        <v>43</v>
      </c>
      <c r="L1939">
        <v>100</v>
      </c>
      <c r="M1939">
        <v>100</v>
      </c>
      <c r="N1939">
        <v>1.1986760999999999</v>
      </c>
      <c r="P1939">
        <v>6.569490118</v>
      </c>
      <c r="Q1939">
        <v>6700.3271919999997</v>
      </c>
      <c r="R1939">
        <v>6.06</v>
      </c>
      <c r="S1939">
        <v>65300</v>
      </c>
      <c r="T1939">
        <v>55.169438</v>
      </c>
      <c r="U1939">
        <v>23.881274999999999</v>
      </c>
    </row>
    <row r="1940" spans="1:21">
      <c r="A1940" t="s">
        <v>114</v>
      </c>
      <c r="B1940">
        <v>2005</v>
      </c>
      <c r="C1940">
        <v>27817.504000000001</v>
      </c>
      <c r="D1940">
        <v>12829.99992</v>
      </c>
      <c r="E1940">
        <v>3.42</v>
      </c>
      <c r="F1940">
        <v>10.34</v>
      </c>
      <c r="G1940">
        <v>0.46</v>
      </c>
      <c r="H1940">
        <v>75.949359999999999</v>
      </c>
      <c r="J1940">
        <v>17.510000000000002</v>
      </c>
      <c r="K1940">
        <v>43</v>
      </c>
      <c r="L1940">
        <v>100</v>
      </c>
      <c r="M1940">
        <v>100</v>
      </c>
      <c r="N1940">
        <v>1.4099653999999999</v>
      </c>
      <c r="P1940">
        <v>7.7323676040000002</v>
      </c>
      <c r="Q1940">
        <v>7854.7652790000002</v>
      </c>
      <c r="R1940">
        <v>5.31</v>
      </c>
      <c r="S1940">
        <v>65300</v>
      </c>
      <c r="T1940">
        <v>55.169438</v>
      </c>
      <c r="U1940">
        <v>23.881274999999999</v>
      </c>
    </row>
    <row r="1941" spans="1:21">
      <c r="A1941" t="s">
        <v>114</v>
      </c>
      <c r="B1941">
        <v>2006</v>
      </c>
      <c r="C1941">
        <v>26969.346000000001</v>
      </c>
      <c r="D1941">
        <v>13020.000459999999</v>
      </c>
      <c r="E1941">
        <v>2.79</v>
      </c>
      <c r="F1941">
        <v>8.65</v>
      </c>
      <c r="G1941">
        <v>0.43</v>
      </c>
      <c r="H1941">
        <v>76.495369999999994</v>
      </c>
      <c r="J1941">
        <v>17.46</v>
      </c>
      <c r="K1941">
        <v>43</v>
      </c>
      <c r="L1941">
        <v>100</v>
      </c>
      <c r="M1941">
        <v>100</v>
      </c>
      <c r="N1941">
        <v>1.3948395</v>
      </c>
      <c r="P1941">
        <v>7.4141213349999999</v>
      </c>
      <c r="Q1941">
        <v>9230.7079809999996</v>
      </c>
      <c r="R1941">
        <v>4.8600000000000003</v>
      </c>
      <c r="S1941">
        <v>65300</v>
      </c>
      <c r="T1941">
        <v>55.169438</v>
      </c>
      <c r="U1941">
        <v>23.881274999999999</v>
      </c>
    </row>
    <row r="1942" spans="1:21">
      <c r="A1942" t="s">
        <v>114</v>
      </c>
      <c r="B1942">
        <v>2007</v>
      </c>
      <c r="C1942">
        <v>29979.059000000001</v>
      </c>
      <c r="D1942">
        <v>13210.000040000001</v>
      </c>
      <c r="E1942">
        <v>2.82</v>
      </c>
      <c r="F1942">
        <v>9.83</v>
      </c>
      <c r="G1942">
        <v>0.57999999999999996</v>
      </c>
      <c r="H1942">
        <v>78.684809999999999</v>
      </c>
      <c r="J1942">
        <v>17.059999999999999</v>
      </c>
      <c r="K1942">
        <v>43</v>
      </c>
      <c r="L1942">
        <v>100</v>
      </c>
      <c r="M1942">
        <v>100</v>
      </c>
      <c r="N1942">
        <v>1.6962823</v>
      </c>
      <c r="P1942">
        <v>11.10748014</v>
      </c>
      <c r="Q1942">
        <v>12285.447050000001</v>
      </c>
      <c r="R1942">
        <v>4.74</v>
      </c>
      <c r="S1942">
        <v>65300</v>
      </c>
      <c r="T1942">
        <v>55.169438</v>
      </c>
      <c r="U1942">
        <v>23.881274999999999</v>
      </c>
    </row>
    <row r="1943" spans="1:21">
      <c r="A1943" t="s">
        <v>114</v>
      </c>
      <c r="B1943">
        <v>2008</v>
      </c>
      <c r="C1943">
        <v>30124.53</v>
      </c>
      <c r="D1943">
        <v>13060.00042</v>
      </c>
      <c r="E1943">
        <v>2.6</v>
      </c>
      <c r="F1943">
        <v>9.89</v>
      </c>
      <c r="G1943">
        <v>0.6</v>
      </c>
      <c r="H1943">
        <v>80.137510000000006</v>
      </c>
      <c r="J1943">
        <v>18.34</v>
      </c>
      <c r="K1943">
        <v>43</v>
      </c>
      <c r="L1943">
        <v>100</v>
      </c>
      <c r="M1943">
        <v>100</v>
      </c>
      <c r="N1943">
        <v>1.7692844000000001</v>
      </c>
      <c r="P1943">
        <v>2.614423033</v>
      </c>
      <c r="Q1943">
        <v>14944.996649999999</v>
      </c>
      <c r="R1943">
        <v>4.66</v>
      </c>
      <c r="S1943">
        <v>65300</v>
      </c>
      <c r="T1943">
        <v>55.169438</v>
      </c>
      <c r="U1943">
        <v>23.881274999999999</v>
      </c>
    </row>
    <row r="1944" spans="1:21">
      <c r="A1944" t="s">
        <v>114</v>
      </c>
      <c r="B1944">
        <v>2009</v>
      </c>
      <c r="C1944">
        <v>28308.245999999999</v>
      </c>
      <c r="D1944">
        <v>11689.99958</v>
      </c>
      <c r="E1944">
        <v>2.84</v>
      </c>
      <c r="F1944">
        <v>10.85</v>
      </c>
      <c r="G1944">
        <v>0.68</v>
      </c>
      <c r="H1944">
        <v>80.236599999999996</v>
      </c>
      <c r="J1944">
        <v>20.09</v>
      </c>
      <c r="K1944">
        <v>43</v>
      </c>
      <c r="L1944">
        <v>100</v>
      </c>
      <c r="M1944">
        <v>100</v>
      </c>
      <c r="N1944">
        <v>2.1864949999999999</v>
      </c>
      <c r="P1944">
        <v>-14.838608369999999</v>
      </c>
      <c r="Q1944">
        <v>11820.776159999999</v>
      </c>
      <c r="R1944">
        <v>5.03</v>
      </c>
      <c r="S1944">
        <v>65300</v>
      </c>
      <c r="T1944">
        <v>55.169438</v>
      </c>
      <c r="U1944">
        <v>23.881274999999999</v>
      </c>
    </row>
    <row r="1945" spans="1:21">
      <c r="A1945" t="s">
        <v>114</v>
      </c>
      <c r="B1945">
        <v>2010</v>
      </c>
      <c r="C1945">
        <v>20948.317999999999</v>
      </c>
      <c r="D1945">
        <v>12600.000379999999</v>
      </c>
      <c r="E1945">
        <v>3.84</v>
      </c>
      <c r="F1945">
        <v>0</v>
      </c>
      <c r="G1945">
        <v>0.91</v>
      </c>
      <c r="H1945">
        <v>19.157893999999999</v>
      </c>
      <c r="J1945">
        <v>21.46</v>
      </c>
      <c r="K1945">
        <v>43</v>
      </c>
      <c r="L1945">
        <v>100</v>
      </c>
      <c r="M1945">
        <v>100</v>
      </c>
      <c r="N1945">
        <v>3.9403253</v>
      </c>
      <c r="P1945">
        <v>1.6512406529999999</v>
      </c>
      <c r="Q1945">
        <v>11987.50841</v>
      </c>
      <c r="R1945">
        <v>3.98</v>
      </c>
      <c r="S1945">
        <v>65300</v>
      </c>
      <c r="T1945">
        <v>55.169438</v>
      </c>
      <c r="U1945">
        <v>23.881274999999999</v>
      </c>
    </row>
    <row r="1946" spans="1:21">
      <c r="A1946" t="s">
        <v>114</v>
      </c>
      <c r="B1946">
        <v>2011</v>
      </c>
      <c r="C1946">
        <v>22097.504000000001</v>
      </c>
      <c r="D1946">
        <v>11850.000379999999</v>
      </c>
      <c r="E1946">
        <v>2.88</v>
      </c>
      <c r="F1946">
        <v>0</v>
      </c>
      <c r="G1946">
        <v>1.1100000000000001</v>
      </c>
      <c r="H1946">
        <v>27.81955</v>
      </c>
      <c r="J1946">
        <v>22.74</v>
      </c>
      <c r="K1946">
        <v>43</v>
      </c>
      <c r="L1946">
        <v>100</v>
      </c>
      <c r="M1946">
        <v>100</v>
      </c>
      <c r="N1946">
        <v>4.5947680000000002</v>
      </c>
      <c r="P1946">
        <v>6.0390081599999998</v>
      </c>
      <c r="Q1946">
        <v>14376.94786</v>
      </c>
      <c r="R1946">
        <v>3.89</v>
      </c>
      <c r="S1946">
        <v>65300</v>
      </c>
      <c r="T1946">
        <v>55.169438</v>
      </c>
      <c r="U1946">
        <v>23.881274999999999</v>
      </c>
    </row>
    <row r="1947" spans="1:21">
      <c r="A1947" t="s">
        <v>114</v>
      </c>
      <c r="B1947">
        <v>2012</v>
      </c>
      <c r="C1947">
        <v>22394.059000000001</v>
      </c>
      <c r="D1947">
        <v>11930.000309999999</v>
      </c>
      <c r="E1947">
        <v>3.12</v>
      </c>
      <c r="F1947">
        <v>0</v>
      </c>
      <c r="G1947">
        <v>1.18</v>
      </c>
      <c r="H1947">
        <v>27.441858</v>
      </c>
      <c r="J1947">
        <v>23.92</v>
      </c>
      <c r="K1947">
        <v>43</v>
      </c>
      <c r="L1947">
        <v>100</v>
      </c>
      <c r="M1947">
        <v>100</v>
      </c>
      <c r="N1947">
        <v>4.8736595999999999</v>
      </c>
      <c r="P1947">
        <v>3.8438647490000002</v>
      </c>
      <c r="Q1947">
        <v>14367.709419999999</v>
      </c>
      <c r="R1947">
        <v>3.78</v>
      </c>
      <c r="S1947">
        <v>65300</v>
      </c>
      <c r="T1947">
        <v>55.169438</v>
      </c>
      <c r="U1947">
        <v>23.881274999999999</v>
      </c>
    </row>
    <row r="1948" spans="1:21">
      <c r="A1948" t="s">
        <v>114</v>
      </c>
      <c r="B1948">
        <v>2013</v>
      </c>
      <c r="C1948">
        <v>20938.490000000002</v>
      </c>
      <c r="D1948">
        <v>11329.99992</v>
      </c>
      <c r="E1948">
        <v>2.4500000000000002</v>
      </c>
      <c r="F1948">
        <v>0</v>
      </c>
      <c r="G1948">
        <v>1.53</v>
      </c>
      <c r="H1948">
        <v>38.442210000000003</v>
      </c>
      <c r="J1948">
        <v>26.34</v>
      </c>
      <c r="K1948">
        <v>43</v>
      </c>
      <c r="L1948">
        <v>100</v>
      </c>
      <c r="M1948">
        <v>100</v>
      </c>
      <c r="N1948">
        <v>6.8267620000000004</v>
      </c>
      <c r="P1948">
        <v>3.5500728430000001</v>
      </c>
      <c r="Q1948">
        <v>15729.652470000001</v>
      </c>
      <c r="R1948">
        <v>3.45</v>
      </c>
      <c r="S1948">
        <v>65300</v>
      </c>
      <c r="T1948">
        <v>55.169438</v>
      </c>
      <c r="U1948">
        <v>23.881274999999999</v>
      </c>
    </row>
    <row r="1949" spans="1:21">
      <c r="A1949" t="s">
        <v>114</v>
      </c>
      <c r="B1949">
        <v>2014</v>
      </c>
      <c r="C1949">
        <v>20422.296999999999</v>
      </c>
      <c r="D1949">
        <v>10859.999659999999</v>
      </c>
      <c r="E1949">
        <v>1.95</v>
      </c>
      <c r="F1949">
        <v>0</v>
      </c>
      <c r="G1949">
        <v>1.51</v>
      </c>
      <c r="H1949">
        <v>43.641616999999997</v>
      </c>
      <c r="J1949">
        <v>27.73</v>
      </c>
      <c r="K1949">
        <v>43</v>
      </c>
      <c r="L1949">
        <v>100</v>
      </c>
      <c r="M1949">
        <v>100</v>
      </c>
      <c r="N1949">
        <v>7.0076375000000004</v>
      </c>
      <c r="P1949">
        <v>3.5370098790000002</v>
      </c>
      <c r="Q1949">
        <v>16551.018199999999</v>
      </c>
      <c r="R1949">
        <v>3.34</v>
      </c>
      <c r="S1949">
        <v>65300</v>
      </c>
      <c r="T1949">
        <v>55.169438</v>
      </c>
      <c r="U1949">
        <v>23.881274999999999</v>
      </c>
    </row>
    <row r="1950" spans="1:21">
      <c r="A1950" t="s">
        <v>114</v>
      </c>
      <c r="B1950">
        <v>2015</v>
      </c>
      <c r="C1950">
        <v>21569.006000000001</v>
      </c>
      <c r="D1950">
        <v>11069.999690000001</v>
      </c>
      <c r="E1950">
        <v>2.3199999999999998</v>
      </c>
      <c r="F1950">
        <v>0</v>
      </c>
      <c r="G1950">
        <v>1.68</v>
      </c>
      <c r="H1950">
        <v>42</v>
      </c>
      <c r="J1950">
        <v>28.96</v>
      </c>
      <c r="K1950">
        <v>43</v>
      </c>
      <c r="L1950">
        <v>100</v>
      </c>
      <c r="M1950">
        <v>100</v>
      </c>
      <c r="N1950">
        <v>7.4305215000000002</v>
      </c>
      <c r="P1950">
        <v>2.0245839550000002</v>
      </c>
      <c r="Q1950">
        <v>14258.22933</v>
      </c>
      <c r="R1950">
        <v>3.3</v>
      </c>
      <c r="S1950">
        <v>65300</v>
      </c>
      <c r="T1950">
        <v>55.169438</v>
      </c>
      <c r="U1950">
        <v>23.881274999999999</v>
      </c>
    </row>
    <row r="1951" spans="1:21">
      <c r="A1951" t="s">
        <v>114</v>
      </c>
      <c r="B1951">
        <v>2016</v>
      </c>
      <c r="C1951">
        <v>22207.523000000001</v>
      </c>
      <c r="D1951">
        <v>11199.999809999999</v>
      </c>
      <c r="E1951">
        <v>1.31</v>
      </c>
      <c r="F1951">
        <v>0</v>
      </c>
      <c r="G1951">
        <v>2.1</v>
      </c>
      <c r="H1951">
        <v>61.583571999999997</v>
      </c>
      <c r="J1951">
        <v>31.47</v>
      </c>
      <c r="K1951">
        <v>43</v>
      </c>
      <c r="L1951">
        <v>100</v>
      </c>
      <c r="M1951">
        <v>100</v>
      </c>
      <c r="N1951">
        <v>8.9710455000000007</v>
      </c>
      <c r="P1951">
        <v>2.518828273</v>
      </c>
      <c r="Q1951">
        <v>14998.12506</v>
      </c>
      <c r="R1951">
        <v>3.3</v>
      </c>
      <c r="S1951">
        <v>65300</v>
      </c>
      <c r="T1951">
        <v>55.169438</v>
      </c>
      <c r="U1951">
        <v>23.881274999999999</v>
      </c>
    </row>
    <row r="1952" spans="1:21">
      <c r="A1952" t="s">
        <v>114</v>
      </c>
      <c r="B1952">
        <v>2017</v>
      </c>
      <c r="C1952">
        <v>23635.178</v>
      </c>
      <c r="D1952">
        <v>11220.00027</v>
      </c>
      <c r="E1952">
        <v>0.82</v>
      </c>
      <c r="F1952">
        <v>0</v>
      </c>
      <c r="G1952">
        <v>2.5299999999999998</v>
      </c>
      <c r="H1952">
        <v>75.522390000000001</v>
      </c>
      <c r="J1952">
        <v>33.78</v>
      </c>
      <c r="K1952">
        <v>43</v>
      </c>
      <c r="L1952">
        <v>100</v>
      </c>
      <c r="M1952">
        <v>100</v>
      </c>
      <c r="N1952">
        <v>10.216778</v>
      </c>
      <c r="P1952">
        <v>4.2825969510000004</v>
      </c>
      <c r="Q1952">
        <v>16843.699649999999</v>
      </c>
      <c r="R1952">
        <v>3.31</v>
      </c>
      <c r="S1952">
        <v>65300</v>
      </c>
      <c r="T1952">
        <v>55.169438</v>
      </c>
      <c r="U1952">
        <v>23.881274999999999</v>
      </c>
    </row>
    <row r="1953" spans="1:21">
      <c r="A1953" t="s">
        <v>114</v>
      </c>
      <c r="B1953">
        <v>2018</v>
      </c>
      <c r="C1953">
        <v>24616.006000000001</v>
      </c>
      <c r="D1953">
        <v>11649.999620000001</v>
      </c>
      <c r="E1953">
        <v>0.55000000000000004</v>
      </c>
      <c r="F1953">
        <v>0</v>
      </c>
      <c r="G1953">
        <v>2.2000000000000002</v>
      </c>
      <c r="H1953">
        <v>80</v>
      </c>
      <c r="J1953">
        <v>33.729999999999997</v>
      </c>
      <c r="K1953">
        <v>43</v>
      </c>
      <c r="L1953">
        <v>100</v>
      </c>
      <c r="M1953">
        <v>100</v>
      </c>
      <c r="N1953">
        <v>8.7029359999999993</v>
      </c>
      <c r="P1953">
        <v>3.9933103280000002</v>
      </c>
      <c r="Q1953">
        <v>19176.812150000002</v>
      </c>
      <c r="R1953">
        <v>3.22</v>
      </c>
      <c r="S1953">
        <v>65300</v>
      </c>
      <c r="T1953">
        <v>55.169438</v>
      </c>
      <c r="U1953">
        <v>23.881274999999999</v>
      </c>
    </row>
    <row r="1954" spans="1:21">
      <c r="A1954" t="s">
        <v>114</v>
      </c>
      <c r="B1954">
        <v>2019</v>
      </c>
      <c r="C1954">
        <v>24873.116999999998</v>
      </c>
      <c r="D1954">
        <v>11729.999540000001</v>
      </c>
      <c r="E1954">
        <v>0.67</v>
      </c>
      <c r="F1954">
        <v>0</v>
      </c>
      <c r="G1954">
        <v>2.4700000000000002</v>
      </c>
      <c r="H1954">
        <v>78.662414999999996</v>
      </c>
      <c r="J1954">
        <v>33.53</v>
      </c>
      <c r="K1954">
        <v>43</v>
      </c>
      <c r="L1954">
        <v>100</v>
      </c>
      <c r="M1954">
        <v>100</v>
      </c>
      <c r="N1954">
        <v>9.6979659999999992</v>
      </c>
      <c r="P1954">
        <v>4.5737717370000004</v>
      </c>
      <c r="Q1954">
        <v>19575.768479999999</v>
      </c>
      <c r="R1954">
        <v>3.08</v>
      </c>
      <c r="S1954">
        <v>65300</v>
      </c>
      <c r="T1954">
        <v>55.169438</v>
      </c>
      <c r="U1954">
        <v>23.881274999999999</v>
      </c>
    </row>
    <row r="1955" spans="1:21">
      <c r="A1955" t="s">
        <v>114</v>
      </c>
      <c r="B1955">
        <v>2020</v>
      </c>
      <c r="C1955">
        <v>24924.741999999998</v>
      </c>
      <c r="E1955">
        <v>1.96</v>
      </c>
      <c r="F1955">
        <v>0</v>
      </c>
      <c r="G1955">
        <v>2.57</v>
      </c>
      <c r="H1955">
        <v>56.732889999999998</v>
      </c>
      <c r="K1955">
        <v>43</v>
      </c>
      <c r="L1955">
        <v>100</v>
      </c>
      <c r="M1955">
        <v>100</v>
      </c>
      <c r="N1955">
        <v>10.144762999999999</v>
      </c>
      <c r="P1955">
        <v>-0.132431461</v>
      </c>
      <c r="Q1955">
        <v>20233.641350000002</v>
      </c>
      <c r="S1955">
        <v>65300</v>
      </c>
      <c r="T1955">
        <v>55.169438</v>
      </c>
      <c r="U1955">
        <v>23.881274999999999</v>
      </c>
    </row>
    <row r="1956" spans="1:21">
      <c r="A1956" t="s">
        <v>115</v>
      </c>
      <c r="B1956">
        <v>2000</v>
      </c>
      <c r="C1956">
        <v>85402.43</v>
      </c>
      <c r="D1956">
        <v>8560</v>
      </c>
      <c r="E1956">
        <v>0.24</v>
      </c>
      <c r="F1956">
        <v>0</v>
      </c>
      <c r="G1956">
        <v>0.16</v>
      </c>
      <c r="H1956">
        <v>40</v>
      </c>
      <c r="J1956">
        <v>6.81</v>
      </c>
      <c r="K1956">
        <v>242</v>
      </c>
      <c r="L1956">
        <v>100</v>
      </c>
      <c r="M1956">
        <v>100</v>
      </c>
      <c r="N1956">
        <v>1.3703700999999999</v>
      </c>
      <c r="P1956">
        <v>6.9381302490000003</v>
      </c>
      <c r="Q1956">
        <v>48538.782899999998</v>
      </c>
      <c r="R1956">
        <v>3.35</v>
      </c>
      <c r="S1956">
        <v>2586</v>
      </c>
      <c r="T1956">
        <v>49.815272999999998</v>
      </c>
      <c r="U1956">
        <v>6.1295830000000002</v>
      </c>
    </row>
    <row r="1957" spans="1:21">
      <c r="A1957" t="s">
        <v>115</v>
      </c>
      <c r="B1957">
        <v>2001</v>
      </c>
      <c r="C1957">
        <v>90348.625</v>
      </c>
      <c r="D1957">
        <v>9120</v>
      </c>
      <c r="E1957">
        <v>0.7</v>
      </c>
      <c r="F1957">
        <v>0</v>
      </c>
      <c r="G1957">
        <v>0.17</v>
      </c>
      <c r="H1957">
        <v>19.540230000000001</v>
      </c>
      <c r="J1957">
        <v>3.42</v>
      </c>
      <c r="K1957">
        <v>242</v>
      </c>
      <c r="L1957">
        <v>100</v>
      </c>
      <c r="M1957">
        <v>100</v>
      </c>
      <c r="N1957">
        <v>1.2522310999999999</v>
      </c>
      <c r="P1957">
        <v>3.0743549990000001</v>
      </c>
      <c r="Q1957">
        <v>48398.229290000003</v>
      </c>
      <c r="R1957">
        <v>3.44</v>
      </c>
      <c r="S1957">
        <v>2586</v>
      </c>
      <c r="T1957">
        <v>49.815272999999998</v>
      </c>
      <c r="U1957">
        <v>6.1295830000000002</v>
      </c>
    </row>
    <row r="1958" spans="1:21">
      <c r="A1958" t="s">
        <v>115</v>
      </c>
      <c r="B1958">
        <v>2002</v>
      </c>
      <c r="C1958">
        <v>97735.35</v>
      </c>
      <c r="D1958">
        <v>9819.9996950000004</v>
      </c>
      <c r="E1958">
        <v>2.65</v>
      </c>
      <c r="F1958">
        <v>0</v>
      </c>
      <c r="G1958">
        <v>0.15</v>
      </c>
      <c r="H1958">
        <v>5.3571434</v>
      </c>
      <c r="J1958">
        <v>1.32</v>
      </c>
      <c r="K1958">
        <v>242</v>
      </c>
      <c r="L1958">
        <v>100</v>
      </c>
      <c r="M1958">
        <v>100</v>
      </c>
      <c r="N1958">
        <v>1.0301427000000001</v>
      </c>
      <c r="P1958">
        <v>3.2254168999999999</v>
      </c>
      <c r="Q1958">
        <v>52754.273249999998</v>
      </c>
      <c r="R1958">
        <v>3.44</v>
      </c>
      <c r="S1958">
        <v>2586</v>
      </c>
      <c r="T1958">
        <v>49.815272999999998</v>
      </c>
      <c r="U1958">
        <v>6.1295830000000002</v>
      </c>
    </row>
    <row r="1959" spans="1:21">
      <c r="A1959" t="s">
        <v>115</v>
      </c>
      <c r="B1959">
        <v>2003</v>
      </c>
      <c r="C1959">
        <v>101260.22</v>
      </c>
      <c r="D1959">
        <v>10239.99977</v>
      </c>
      <c r="E1959">
        <v>2.65</v>
      </c>
      <c r="F1959">
        <v>0</v>
      </c>
      <c r="G1959">
        <v>0.14000000000000001</v>
      </c>
      <c r="H1959">
        <v>5.0179213999999996</v>
      </c>
      <c r="J1959">
        <v>1.28</v>
      </c>
      <c r="K1959">
        <v>242</v>
      </c>
      <c r="L1959">
        <v>100</v>
      </c>
      <c r="M1959">
        <v>100</v>
      </c>
      <c r="N1959">
        <v>0.91740716</v>
      </c>
      <c r="P1959">
        <v>2.6193785790000002</v>
      </c>
      <c r="Q1959">
        <v>65544.591950000002</v>
      </c>
      <c r="R1959">
        <v>3.57</v>
      </c>
      <c r="S1959">
        <v>2586</v>
      </c>
      <c r="T1959">
        <v>49.815272999999998</v>
      </c>
      <c r="U1959">
        <v>6.1295830000000002</v>
      </c>
    </row>
    <row r="1960" spans="1:21">
      <c r="A1960" t="s">
        <v>115</v>
      </c>
      <c r="B1960">
        <v>2004</v>
      </c>
      <c r="C1960">
        <v>113106.17</v>
      </c>
      <c r="D1960">
        <v>11659.99985</v>
      </c>
      <c r="E1960">
        <v>3.18</v>
      </c>
      <c r="F1960">
        <v>0</v>
      </c>
      <c r="G1960">
        <v>0.19</v>
      </c>
      <c r="H1960">
        <v>5.6379824000000003</v>
      </c>
      <c r="J1960">
        <v>1.35</v>
      </c>
      <c r="K1960">
        <v>242</v>
      </c>
      <c r="L1960">
        <v>100</v>
      </c>
      <c r="M1960">
        <v>100</v>
      </c>
      <c r="N1960">
        <v>1.1120193</v>
      </c>
      <c r="P1960">
        <v>4.2318913069999997</v>
      </c>
      <c r="Q1960">
        <v>76404.415040000007</v>
      </c>
      <c r="R1960">
        <v>3.84</v>
      </c>
      <c r="S1960">
        <v>2586</v>
      </c>
      <c r="T1960">
        <v>49.815272999999998</v>
      </c>
      <c r="U1960">
        <v>6.1295830000000002</v>
      </c>
    </row>
    <row r="1961" spans="1:21">
      <c r="A1961" t="s">
        <v>115</v>
      </c>
      <c r="B1961">
        <v>2005</v>
      </c>
      <c r="C1961">
        <v>113049.23</v>
      </c>
      <c r="D1961">
        <v>11909.99985</v>
      </c>
      <c r="E1961">
        <v>3.14</v>
      </c>
      <c r="F1961">
        <v>0</v>
      </c>
      <c r="G1961">
        <v>0.21</v>
      </c>
      <c r="H1961">
        <v>6.2686567000000002</v>
      </c>
      <c r="J1961">
        <v>1.87</v>
      </c>
      <c r="K1961">
        <v>242</v>
      </c>
      <c r="L1961">
        <v>100</v>
      </c>
      <c r="M1961">
        <v>100</v>
      </c>
      <c r="N1961">
        <v>1.1679211</v>
      </c>
      <c r="P1961">
        <v>2.482874748</v>
      </c>
      <c r="Q1961">
        <v>80957.941279999999</v>
      </c>
      <c r="R1961">
        <v>3.8</v>
      </c>
      <c r="S1961">
        <v>2586</v>
      </c>
      <c r="T1961">
        <v>49.815272999999998</v>
      </c>
      <c r="U1961">
        <v>6.1295830000000002</v>
      </c>
    </row>
    <row r="1962" spans="1:21">
      <c r="A1962" t="s">
        <v>115</v>
      </c>
      <c r="B1962">
        <v>2006</v>
      </c>
      <c r="C1962">
        <v>109285.4</v>
      </c>
      <c r="D1962">
        <v>11720.00027</v>
      </c>
      <c r="E1962">
        <v>3.29</v>
      </c>
      <c r="F1962">
        <v>0</v>
      </c>
      <c r="G1962">
        <v>0.25</v>
      </c>
      <c r="H1962">
        <v>7.0621470000000004</v>
      </c>
      <c r="J1962">
        <v>2.08</v>
      </c>
      <c r="K1962">
        <v>242</v>
      </c>
      <c r="L1962">
        <v>100</v>
      </c>
      <c r="M1962">
        <v>100</v>
      </c>
      <c r="N1962">
        <v>1.3908712000000001</v>
      </c>
      <c r="P1962">
        <v>6.0167150439999997</v>
      </c>
      <c r="Q1962">
        <v>90712.799289999995</v>
      </c>
      <c r="R1962">
        <v>3.57</v>
      </c>
      <c r="S1962">
        <v>2586</v>
      </c>
      <c r="T1962">
        <v>49.815272999999998</v>
      </c>
      <c r="U1962">
        <v>6.1295830000000002</v>
      </c>
    </row>
    <row r="1963" spans="1:21">
      <c r="A1963" t="s">
        <v>115</v>
      </c>
      <c r="B1963">
        <v>2007</v>
      </c>
      <c r="C1963">
        <v>104455.21</v>
      </c>
      <c r="D1963">
        <v>11109.999659999999</v>
      </c>
      <c r="E1963">
        <v>2.93</v>
      </c>
      <c r="F1963">
        <v>0</v>
      </c>
      <c r="G1963">
        <v>0.26</v>
      </c>
      <c r="H1963">
        <v>8.1504700000000003</v>
      </c>
      <c r="J1963">
        <v>3.64</v>
      </c>
      <c r="K1963">
        <v>242</v>
      </c>
      <c r="L1963">
        <v>100</v>
      </c>
      <c r="M1963">
        <v>100</v>
      </c>
      <c r="N1963">
        <v>1.5379573</v>
      </c>
      <c r="P1963">
        <v>8.0986676069999994</v>
      </c>
      <c r="Q1963">
        <v>107338.8652</v>
      </c>
      <c r="R1963">
        <v>3.2</v>
      </c>
      <c r="S1963">
        <v>2586</v>
      </c>
      <c r="T1963">
        <v>49.815272999999998</v>
      </c>
      <c r="U1963">
        <v>6.1295830000000002</v>
      </c>
    </row>
    <row r="1964" spans="1:21">
      <c r="A1964" t="s">
        <v>115</v>
      </c>
      <c r="B1964">
        <v>2008</v>
      </c>
      <c r="C1964">
        <v>101834.57</v>
      </c>
      <c r="D1964">
        <v>11020.000459999999</v>
      </c>
      <c r="E1964">
        <v>2.44</v>
      </c>
      <c r="F1964">
        <v>0</v>
      </c>
      <c r="G1964">
        <v>0.28000000000000003</v>
      </c>
      <c r="H1964">
        <v>10.294117999999999</v>
      </c>
      <c r="J1964">
        <v>3.96</v>
      </c>
      <c r="K1964">
        <v>242</v>
      </c>
      <c r="L1964">
        <v>100</v>
      </c>
      <c r="M1964">
        <v>100</v>
      </c>
      <c r="N1964">
        <v>1.6481372999999999</v>
      </c>
      <c r="P1964">
        <v>-0.30017619400000001</v>
      </c>
      <c r="Q1964">
        <v>119932.24370000001</v>
      </c>
      <c r="R1964">
        <v>3.24</v>
      </c>
      <c r="S1964">
        <v>2586</v>
      </c>
      <c r="T1964">
        <v>49.815272999999998</v>
      </c>
      <c r="U1964">
        <v>6.1295830000000002</v>
      </c>
    </row>
    <row r="1965" spans="1:21">
      <c r="A1965" t="s">
        <v>115</v>
      </c>
      <c r="B1965">
        <v>2009</v>
      </c>
      <c r="C1965">
        <v>95591.98</v>
      </c>
      <c r="D1965">
        <v>10439.99958</v>
      </c>
      <c r="E1965">
        <v>2.88</v>
      </c>
      <c r="F1965">
        <v>0</v>
      </c>
      <c r="G1965">
        <v>0.27</v>
      </c>
      <c r="H1965">
        <v>8.5714290000000002</v>
      </c>
      <c r="J1965">
        <v>3.73</v>
      </c>
      <c r="K1965">
        <v>242</v>
      </c>
      <c r="L1965">
        <v>100</v>
      </c>
      <c r="M1965">
        <v>100</v>
      </c>
      <c r="N1965">
        <v>1.6371243</v>
      </c>
      <c r="P1965">
        <v>-3.2389540270000001</v>
      </c>
      <c r="Q1965">
        <v>108987.6776</v>
      </c>
      <c r="R1965">
        <v>3.19</v>
      </c>
      <c r="S1965">
        <v>2586</v>
      </c>
      <c r="T1965">
        <v>49.815272999999998</v>
      </c>
      <c r="U1965">
        <v>6.1295830000000002</v>
      </c>
    </row>
    <row r="1966" spans="1:21">
      <c r="A1966" t="s">
        <v>115</v>
      </c>
      <c r="B1966">
        <v>2010</v>
      </c>
      <c r="C1966">
        <v>98832.99</v>
      </c>
      <c r="D1966">
        <v>11029.99973</v>
      </c>
      <c r="E1966">
        <v>2.97</v>
      </c>
      <c r="F1966">
        <v>0</v>
      </c>
      <c r="G1966">
        <v>0.27</v>
      </c>
      <c r="H1966">
        <v>8.3333340000000007</v>
      </c>
      <c r="J1966">
        <v>3.68</v>
      </c>
      <c r="K1966">
        <v>242</v>
      </c>
      <c r="L1966">
        <v>100</v>
      </c>
      <c r="M1966">
        <v>100</v>
      </c>
      <c r="N1966">
        <v>1.5543997000000001</v>
      </c>
      <c r="P1966">
        <v>3.760413593</v>
      </c>
      <c r="Q1966">
        <v>110777.90790000001</v>
      </c>
      <c r="R1966">
        <v>3.24</v>
      </c>
      <c r="S1966">
        <v>2586</v>
      </c>
      <c r="T1966">
        <v>49.815272999999998</v>
      </c>
      <c r="U1966">
        <v>6.1295830000000002</v>
      </c>
    </row>
    <row r="1967" spans="1:21">
      <c r="A1967" t="s">
        <v>115</v>
      </c>
      <c r="B1967">
        <v>2011</v>
      </c>
      <c r="C1967">
        <v>94211.61</v>
      </c>
      <c r="D1967">
        <v>10899.999620000001</v>
      </c>
      <c r="E1967">
        <v>2.4</v>
      </c>
      <c r="F1967">
        <v>0</v>
      </c>
      <c r="G1967">
        <v>0.24</v>
      </c>
      <c r="H1967">
        <v>9.0909089999999999</v>
      </c>
      <c r="J1967">
        <v>3.76</v>
      </c>
      <c r="K1967">
        <v>242</v>
      </c>
      <c r="L1967">
        <v>100</v>
      </c>
      <c r="M1967">
        <v>100</v>
      </c>
      <c r="N1967">
        <v>1.4713187000000001</v>
      </c>
      <c r="P1967">
        <v>1.0442986949999999</v>
      </c>
      <c r="Q1967">
        <v>118869.2999</v>
      </c>
      <c r="R1967">
        <v>3.12</v>
      </c>
      <c r="S1967">
        <v>2586</v>
      </c>
      <c r="T1967">
        <v>49.815272999999998</v>
      </c>
      <c r="U1967">
        <v>6.1295830000000002</v>
      </c>
    </row>
    <row r="1968" spans="1:21">
      <c r="A1968" t="s">
        <v>115</v>
      </c>
      <c r="B1968">
        <v>2012</v>
      </c>
      <c r="C1968">
        <v>90375.62</v>
      </c>
      <c r="D1968">
        <v>10689.99958</v>
      </c>
      <c r="E1968">
        <v>2.4500000000000002</v>
      </c>
      <c r="F1968">
        <v>0</v>
      </c>
      <c r="G1968">
        <v>0.31</v>
      </c>
      <c r="H1968">
        <v>11.231884000000001</v>
      </c>
      <c r="J1968">
        <v>4.1500000000000004</v>
      </c>
      <c r="K1968">
        <v>242</v>
      </c>
      <c r="L1968">
        <v>100</v>
      </c>
      <c r="M1968">
        <v>100</v>
      </c>
      <c r="N1968">
        <v>1.8497294</v>
      </c>
      <c r="P1968">
        <v>1.64990203</v>
      </c>
      <c r="Q1968">
        <v>112591.1162</v>
      </c>
      <c r="R1968">
        <v>3.08</v>
      </c>
      <c r="S1968">
        <v>2586</v>
      </c>
      <c r="T1968">
        <v>49.815272999999998</v>
      </c>
      <c r="U1968">
        <v>6.1295830000000002</v>
      </c>
    </row>
    <row r="1969" spans="1:21">
      <c r="A1969" t="s">
        <v>115</v>
      </c>
      <c r="B1969">
        <v>2013</v>
      </c>
      <c r="C1969">
        <v>84137.46</v>
      </c>
      <c r="D1969">
        <v>10149.999620000001</v>
      </c>
      <c r="E1969">
        <v>1.48</v>
      </c>
      <c r="F1969">
        <v>0</v>
      </c>
      <c r="G1969">
        <v>0.36</v>
      </c>
      <c r="H1969">
        <v>19.565218000000002</v>
      </c>
      <c r="J1969">
        <v>5.72</v>
      </c>
      <c r="K1969">
        <v>242</v>
      </c>
      <c r="L1969">
        <v>100</v>
      </c>
      <c r="M1969">
        <v>100</v>
      </c>
      <c r="N1969">
        <v>2.304208</v>
      </c>
      <c r="P1969">
        <v>3.1717904990000001</v>
      </c>
      <c r="Q1969">
        <v>119966.0349</v>
      </c>
      <c r="R1969">
        <v>2.88</v>
      </c>
      <c r="S1969">
        <v>2586</v>
      </c>
      <c r="T1969">
        <v>49.815272999999998</v>
      </c>
      <c r="U1969">
        <v>6.1295830000000002</v>
      </c>
    </row>
    <row r="1970" spans="1:21">
      <c r="A1970" t="s">
        <v>115</v>
      </c>
      <c r="B1970">
        <v>2014</v>
      </c>
      <c r="C1970">
        <v>79619.14</v>
      </c>
      <c r="D1970">
        <v>9649.9996190000002</v>
      </c>
      <c r="E1970">
        <v>1.51</v>
      </c>
      <c r="F1970">
        <v>0</v>
      </c>
      <c r="G1970">
        <v>0.4</v>
      </c>
      <c r="H1970">
        <v>20.942409999999999</v>
      </c>
      <c r="J1970">
        <v>6.85</v>
      </c>
      <c r="K1970">
        <v>242</v>
      </c>
      <c r="L1970">
        <v>100</v>
      </c>
      <c r="M1970">
        <v>100</v>
      </c>
      <c r="N1970">
        <v>2.5587911999999999</v>
      </c>
      <c r="P1970">
        <v>2.6230860159999998</v>
      </c>
      <c r="Q1970">
        <v>123514.1967</v>
      </c>
      <c r="R1970">
        <v>2.66</v>
      </c>
      <c r="S1970">
        <v>2586</v>
      </c>
      <c r="T1970">
        <v>49.815272999999998</v>
      </c>
      <c r="U1970">
        <v>6.1295830000000002</v>
      </c>
    </row>
    <row r="1971" spans="1:21">
      <c r="A1971" t="s">
        <v>115</v>
      </c>
      <c r="B1971">
        <v>2015</v>
      </c>
      <c r="C1971">
        <v>75576.625</v>
      </c>
      <c r="D1971">
        <v>9130.0001140000004</v>
      </c>
      <c r="E1971">
        <v>0.91</v>
      </c>
      <c r="F1971">
        <v>0</v>
      </c>
      <c r="G1971">
        <v>0.43</v>
      </c>
      <c r="H1971">
        <v>32.089550000000003</v>
      </c>
      <c r="J1971">
        <v>9.09</v>
      </c>
      <c r="K1971">
        <v>242</v>
      </c>
      <c r="L1971">
        <v>100</v>
      </c>
      <c r="M1971">
        <v>100</v>
      </c>
      <c r="N1971">
        <v>2.8418614999999998</v>
      </c>
      <c r="P1971">
        <v>2.2697844840000001</v>
      </c>
      <c r="Q1971">
        <v>105419.6085</v>
      </c>
      <c r="R1971">
        <v>2.48</v>
      </c>
      <c r="S1971">
        <v>2586</v>
      </c>
      <c r="T1971">
        <v>49.815272999999998</v>
      </c>
      <c r="U1971">
        <v>6.1295830000000002</v>
      </c>
    </row>
    <row r="1972" spans="1:21">
      <c r="A1972" t="s">
        <v>115</v>
      </c>
      <c r="B1972">
        <v>2016</v>
      </c>
      <c r="C1972">
        <v>72784.554999999993</v>
      </c>
      <c r="D1972">
        <v>8850.0003809999998</v>
      </c>
      <c r="E1972">
        <v>0.33</v>
      </c>
      <c r="F1972">
        <v>0</v>
      </c>
      <c r="G1972">
        <v>0.46</v>
      </c>
      <c r="H1972">
        <v>58.227848000000002</v>
      </c>
      <c r="J1972">
        <v>13.5</v>
      </c>
      <c r="K1972">
        <v>242</v>
      </c>
      <c r="L1972">
        <v>100</v>
      </c>
      <c r="M1972">
        <v>100</v>
      </c>
      <c r="N1972">
        <v>3.0525340000000001</v>
      </c>
      <c r="P1972">
        <v>4.9781904370000003</v>
      </c>
      <c r="Q1972">
        <v>106826.7264</v>
      </c>
      <c r="R1972">
        <v>2.35</v>
      </c>
      <c r="S1972">
        <v>2586</v>
      </c>
      <c r="T1972">
        <v>49.815272999999998</v>
      </c>
      <c r="U1972">
        <v>6.1295830000000002</v>
      </c>
    </row>
    <row r="1973" spans="1:21">
      <c r="A1973" t="s">
        <v>115</v>
      </c>
      <c r="B1973">
        <v>2017</v>
      </c>
      <c r="C1973">
        <v>74384.77</v>
      </c>
      <c r="D1973">
        <v>9000</v>
      </c>
      <c r="E1973">
        <v>0.3</v>
      </c>
      <c r="F1973">
        <v>0</v>
      </c>
      <c r="G1973">
        <v>0.6</v>
      </c>
      <c r="H1973">
        <v>66.666669999999996</v>
      </c>
      <c r="J1973">
        <v>15.33</v>
      </c>
      <c r="K1973">
        <v>242</v>
      </c>
      <c r="L1973">
        <v>100</v>
      </c>
      <c r="M1973">
        <v>100</v>
      </c>
      <c r="N1973">
        <v>3.8070425999999999</v>
      </c>
      <c r="P1973">
        <v>1.3171876629999999</v>
      </c>
      <c r="Q1973">
        <v>109921.03140000001</v>
      </c>
      <c r="R1973">
        <v>2.35</v>
      </c>
      <c r="S1973">
        <v>2586</v>
      </c>
      <c r="T1973">
        <v>49.815272999999998</v>
      </c>
      <c r="U1973">
        <v>6.1295830000000002</v>
      </c>
    </row>
    <row r="1974" spans="1:21">
      <c r="A1974" t="s">
        <v>115</v>
      </c>
      <c r="B1974">
        <v>2018</v>
      </c>
      <c r="C1974">
        <v>76376.740000000005</v>
      </c>
      <c r="D1974">
        <v>9319.9996950000004</v>
      </c>
      <c r="E1974">
        <v>0.28000000000000003</v>
      </c>
      <c r="F1974">
        <v>0</v>
      </c>
      <c r="G1974">
        <v>0.68</v>
      </c>
      <c r="H1974">
        <v>70.833336000000003</v>
      </c>
      <c r="J1974">
        <v>16.09</v>
      </c>
      <c r="K1974">
        <v>242</v>
      </c>
      <c r="L1974">
        <v>100</v>
      </c>
      <c r="M1974">
        <v>100</v>
      </c>
      <c r="N1974">
        <v>4.1558747</v>
      </c>
      <c r="P1974">
        <v>2.00437712</v>
      </c>
      <c r="Q1974">
        <v>117197.4817</v>
      </c>
      <c r="R1974">
        <v>2.37</v>
      </c>
      <c r="S1974">
        <v>2586</v>
      </c>
      <c r="T1974">
        <v>49.815272999999998</v>
      </c>
      <c r="U1974">
        <v>6.1295830000000002</v>
      </c>
    </row>
    <row r="1975" spans="1:21">
      <c r="A1975" t="s">
        <v>115</v>
      </c>
      <c r="B1975">
        <v>2019</v>
      </c>
      <c r="C1975">
        <v>76273.7</v>
      </c>
      <c r="D1975">
        <v>9489.9997710000007</v>
      </c>
      <c r="E1975">
        <v>0.27</v>
      </c>
      <c r="F1975">
        <v>0</v>
      </c>
      <c r="G1975">
        <v>0.8</v>
      </c>
      <c r="H1975">
        <v>74.766350000000003</v>
      </c>
      <c r="J1975">
        <v>16.45</v>
      </c>
      <c r="K1975">
        <v>242</v>
      </c>
      <c r="L1975">
        <v>100</v>
      </c>
      <c r="M1975">
        <v>100</v>
      </c>
      <c r="N1975">
        <v>4.7653426999999997</v>
      </c>
      <c r="P1975">
        <v>3.2838067560000002</v>
      </c>
      <c r="Q1975">
        <v>113218.7133</v>
      </c>
      <c r="R1975">
        <v>2.34</v>
      </c>
      <c r="S1975">
        <v>2586</v>
      </c>
      <c r="T1975">
        <v>49.815272999999998</v>
      </c>
      <c r="U1975">
        <v>6.1295830000000002</v>
      </c>
    </row>
    <row r="1976" spans="1:21">
      <c r="A1976" t="s">
        <v>115</v>
      </c>
      <c r="B1976">
        <v>2020</v>
      </c>
      <c r="C1976">
        <v>64241.79</v>
      </c>
      <c r="E1976">
        <v>0.25</v>
      </c>
      <c r="F1976">
        <v>0</v>
      </c>
      <c r="G1976">
        <v>0.97</v>
      </c>
      <c r="H1976">
        <v>79.508194000000003</v>
      </c>
      <c r="K1976">
        <v>242</v>
      </c>
      <c r="L1976">
        <v>100</v>
      </c>
      <c r="M1976">
        <v>100</v>
      </c>
      <c r="N1976">
        <v>6.8487669999999996</v>
      </c>
      <c r="P1976">
        <v>-1.7762402289999999</v>
      </c>
      <c r="Q1976">
        <v>116014.60249999999</v>
      </c>
      <c r="S1976">
        <v>2586</v>
      </c>
      <c r="T1976">
        <v>49.815272999999998</v>
      </c>
      <c r="U1976">
        <v>6.1295830000000002</v>
      </c>
    </row>
    <row r="1977" spans="1:21">
      <c r="A1977" t="s">
        <v>116</v>
      </c>
      <c r="B1977">
        <v>2000</v>
      </c>
      <c r="C1977">
        <v>591.20060000000001</v>
      </c>
      <c r="D1977">
        <v>1650</v>
      </c>
      <c r="E1977">
        <v>0.24</v>
      </c>
      <c r="F1977">
        <v>0</v>
      </c>
      <c r="G1977">
        <v>0.54</v>
      </c>
      <c r="H1977">
        <v>69.230773999999997</v>
      </c>
      <c r="I1977">
        <v>6.71</v>
      </c>
      <c r="J1977">
        <v>82.62</v>
      </c>
      <c r="K1977">
        <v>48</v>
      </c>
      <c r="L1977">
        <v>12.72419</v>
      </c>
      <c r="M1977">
        <v>1.3</v>
      </c>
      <c r="P1977">
        <v>4.4568589379999999</v>
      </c>
      <c r="Q1977">
        <v>293.60715740000001</v>
      </c>
      <c r="R1977">
        <v>6.03</v>
      </c>
      <c r="S1977">
        <v>587041</v>
      </c>
      <c r="T1977">
        <v>-18.766946999999998</v>
      </c>
      <c r="U1977">
        <v>46.869107</v>
      </c>
    </row>
    <row r="1978" spans="1:21">
      <c r="A1978" t="s">
        <v>116</v>
      </c>
      <c r="B1978">
        <v>2001</v>
      </c>
      <c r="C1978">
        <v>563.03909999999996</v>
      </c>
      <c r="D1978">
        <v>1670</v>
      </c>
      <c r="E1978">
        <v>0.36</v>
      </c>
      <c r="F1978">
        <v>0</v>
      </c>
      <c r="G1978">
        <v>0.53</v>
      </c>
      <c r="H1978">
        <v>59.550559999999997</v>
      </c>
      <c r="I1978">
        <v>6.51</v>
      </c>
      <c r="J1978">
        <v>84.32</v>
      </c>
      <c r="K1978">
        <v>48</v>
      </c>
      <c r="L1978">
        <v>14.8</v>
      </c>
      <c r="M1978">
        <v>1.3</v>
      </c>
      <c r="P1978">
        <v>5.9802357639999997</v>
      </c>
      <c r="Q1978">
        <v>334.44161769999999</v>
      </c>
      <c r="R1978">
        <v>5.72</v>
      </c>
      <c r="S1978">
        <v>587041</v>
      </c>
      <c r="T1978">
        <v>-18.766946999999998</v>
      </c>
      <c r="U1978">
        <v>46.869107</v>
      </c>
    </row>
    <row r="1979" spans="1:21">
      <c r="A1979" t="s">
        <v>116</v>
      </c>
      <c r="B1979">
        <v>2002</v>
      </c>
      <c r="C1979">
        <v>422.23250000000002</v>
      </c>
      <c r="D1979">
        <v>1120.0000050000001</v>
      </c>
      <c r="E1979">
        <v>0.33</v>
      </c>
      <c r="F1979">
        <v>0</v>
      </c>
      <c r="G1979">
        <v>0.54</v>
      </c>
      <c r="H1979">
        <v>62.06897</v>
      </c>
      <c r="I1979">
        <v>6.31</v>
      </c>
      <c r="J1979">
        <v>87.35</v>
      </c>
      <c r="K1979">
        <v>48</v>
      </c>
      <c r="L1979">
        <v>14.046576</v>
      </c>
      <c r="M1979">
        <v>1.3</v>
      </c>
      <c r="O1979">
        <v>10000</v>
      </c>
      <c r="P1979">
        <v>-12.407971099999999</v>
      </c>
      <c r="Q1979">
        <v>319.21637879999997</v>
      </c>
      <c r="R1979">
        <v>6.37</v>
      </c>
      <c r="S1979">
        <v>587041</v>
      </c>
      <c r="T1979">
        <v>-18.766946999999998</v>
      </c>
      <c r="U1979">
        <v>46.869107</v>
      </c>
    </row>
    <row r="1980" spans="1:21">
      <c r="A1980" t="s">
        <v>116</v>
      </c>
      <c r="B1980">
        <v>2003</v>
      </c>
      <c r="C1980">
        <v>524.76710000000003</v>
      </c>
      <c r="D1980">
        <v>1549.9999519999999</v>
      </c>
      <c r="E1980">
        <v>0.39</v>
      </c>
      <c r="F1980">
        <v>0</v>
      </c>
      <c r="G1980">
        <v>0.6</v>
      </c>
      <c r="H1980">
        <v>60.606064000000003</v>
      </c>
      <c r="I1980">
        <v>6.13</v>
      </c>
      <c r="J1980">
        <v>84.99</v>
      </c>
      <c r="K1980">
        <v>48</v>
      </c>
      <c r="L1980">
        <v>20.3</v>
      </c>
      <c r="M1980">
        <v>1.2</v>
      </c>
      <c r="P1980">
        <v>9.7848921210000004</v>
      </c>
      <c r="Q1980">
        <v>368.79723689999997</v>
      </c>
      <c r="R1980">
        <v>6.17</v>
      </c>
      <c r="S1980">
        <v>587041</v>
      </c>
      <c r="T1980">
        <v>-18.766946999999998</v>
      </c>
      <c r="U1980">
        <v>46.869107</v>
      </c>
    </row>
    <row r="1981" spans="1:21">
      <c r="A1981" t="s">
        <v>116</v>
      </c>
      <c r="B1981">
        <v>2004</v>
      </c>
      <c r="C1981">
        <v>554.30439999999999</v>
      </c>
      <c r="D1981">
        <v>1649.9999760000001</v>
      </c>
      <c r="E1981">
        <v>0.47</v>
      </c>
      <c r="F1981">
        <v>0</v>
      </c>
      <c r="G1981">
        <v>0.63</v>
      </c>
      <c r="H1981">
        <v>57.272723999999997</v>
      </c>
      <c r="I1981">
        <v>5.95</v>
      </c>
      <c r="J1981">
        <v>84.44</v>
      </c>
      <c r="K1981">
        <v>48</v>
      </c>
      <c r="L1981">
        <v>15.348019000000001</v>
      </c>
      <c r="M1981">
        <v>1.2</v>
      </c>
      <c r="O1981">
        <v>8340000</v>
      </c>
      <c r="P1981">
        <v>5.257003621</v>
      </c>
      <c r="Q1981">
        <v>284.48772630000002</v>
      </c>
      <c r="R1981">
        <v>6.06</v>
      </c>
      <c r="S1981">
        <v>587041</v>
      </c>
      <c r="T1981">
        <v>-18.766946999999998</v>
      </c>
      <c r="U1981">
        <v>46.869107</v>
      </c>
    </row>
    <row r="1982" spans="1:21">
      <c r="A1982" t="s">
        <v>116</v>
      </c>
      <c r="B1982">
        <v>2005</v>
      </c>
      <c r="C1982">
        <v>520.9991</v>
      </c>
      <c r="D1982">
        <v>1710.0000379999999</v>
      </c>
      <c r="E1982">
        <v>0.47</v>
      </c>
      <c r="F1982">
        <v>0</v>
      </c>
      <c r="G1982">
        <v>0.64</v>
      </c>
      <c r="H1982">
        <v>57.657657999999998</v>
      </c>
      <c r="I1982">
        <v>5.78</v>
      </c>
      <c r="J1982">
        <v>84.94</v>
      </c>
      <c r="K1982">
        <v>48</v>
      </c>
      <c r="L1982">
        <v>15.996760999999999</v>
      </c>
      <c r="M1982">
        <v>1.1000000000000001</v>
      </c>
      <c r="O1982">
        <v>3220000</v>
      </c>
      <c r="P1982">
        <v>4.7558450969999999</v>
      </c>
      <c r="Q1982">
        <v>319.53747509999999</v>
      </c>
      <c r="R1982">
        <v>5.88</v>
      </c>
      <c r="S1982">
        <v>587041</v>
      </c>
      <c r="T1982">
        <v>-18.766946999999998</v>
      </c>
      <c r="U1982">
        <v>46.869107</v>
      </c>
    </row>
    <row r="1983" spans="1:21">
      <c r="A1983" t="s">
        <v>116</v>
      </c>
      <c r="B1983">
        <v>2006</v>
      </c>
      <c r="C1983">
        <v>498.27472</v>
      </c>
      <c r="D1983">
        <v>1639.999986</v>
      </c>
      <c r="E1983">
        <v>0.5</v>
      </c>
      <c r="F1983">
        <v>0</v>
      </c>
      <c r="G1983">
        <v>0.63</v>
      </c>
      <c r="H1983">
        <v>55.752212999999998</v>
      </c>
      <c r="I1983">
        <v>5.62</v>
      </c>
      <c r="J1983">
        <v>86.03</v>
      </c>
      <c r="K1983">
        <v>48</v>
      </c>
      <c r="L1983">
        <v>16.647375</v>
      </c>
      <c r="M1983">
        <v>1.1000000000000001</v>
      </c>
      <c r="O1983">
        <v>7150000</v>
      </c>
      <c r="P1983">
        <v>5.3985084499999996</v>
      </c>
      <c r="Q1983">
        <v>338.7511983</v>
      </c>
      <c r="R1983">
        <v>5.67</v>
      </c>
      <c r="S1983">
        <v>587041</v>
      </c>
      <c r="T1983">
        <v>-18.766946999999998</v>
      </c>
      <c r="U1983">
        <v>46.869107</v>
      </c>
    </row>
    <row r="1984" spans="1:21">
      <c r="A1984" t="s">
        <v>116</v>
      </c>
      <c r="B1984">
        <v>2007</v>
      </c>
      <c r="C1984">
        <v>516.44200000000001</v>
      </c>
      <c r="D1984">
        <v>1720.000029</v>
      </c>
      <c r="E1984">
        <v>0.47</v>
      </c>
      <c r="F1984">
        <v>0</v>
      </c>
      <c r="G1984">
        <v>0.71</v>
      </c>
      <c r="H1984">
        <v>60.169494999999998</v>
      </c>
      <c r="I1984">
        <v>5.47</v>
      </c>
      <c r="J1984">
        <v>86.19</v>
      </c>
      <c r="K1984">
        <v>48</v>
      </c>
      <c r="L1984">
        <v>17.302510999999999</v>
      </c>
      <c r="M1984">
        <v>1.1000000000000001</v>
      </c>
      <c r="O1984">
        <v>8560000</v>
      </c>
      <c r="P1984">
        <v>5.7105641970000001</v>
      </c>
      <c r="Q1984">
        <v>438.65551579999999</v>
      </c>
      <c r="R1984">
        <v>5.55</v>
      </c>
      <c r="S1984">
        <v>587041</v>
      </c>
      <c r="T1984">
        <v>-18.766946999999998</v>
      </c>
      <c r="U1984">
        <v>46.869107</v>
      </c>
    </row>
    <row r="1985" spans="1:21">
      <c r="A1985" t="s">
        <v>116</v>
      </c>
      <c r="B1985">
        <v>2008</v>
      </c>
      <c r="C1985">
        <v>531.46799999999996</v>
      </c>
      <c r="D1985">
        <v>1779.999971</v>
      </c>
      <c r="E1985">
        <v>0.54</v>
      </c>
      <c r="F1985">
        <v>0</v>
      </c>
      <c r="G1985">
        <v>0.69</v>
      </c>
      <c r="H1985">
        <v>56.097560000000001</v>
      </c>
      <c r="I1985">
        <v>6.09</v>
      </c>
      <c r="J1985">
        <v>86.14</v>
      </c>
      <c r="K1985">
        <v>48</v>
      </c>
      <c r="L1985">
        <v>17.964880000000001</v>
      </c>
      <c r="M1985">
        <v>1</v>
      </c>
      <c r="O1985">
        <v>2710000</v>
      </c>
      <c r="P1985">
        <v>6.7126325419999997</v>
      </c>
      <c r="Q1985">
        <v>536.3514017</v>
      </c>
      <c r="R1985">
        <v>5.45</v>
      </c>
      <c r="S1985">
        <v>587041</v>
      </c>
      <c r="T1985">
        <v>-18.766946999999998</v>
      </c>
      <c r="U1985">
        <v>46.869107</v>
      </c>
    </row>
    <row r="1986" spans="1:21">
      <c r="A1986" t="s">
        <v>116</v>
      </c>
      <c r="B1986">
        <v>2009</v>
      </c>
      <c r="C1986">
        <v>455.50734999999997</v>
      </c>
      <c r="D1986">
        <v>1690.000057</v>
      </c>
      <c r="E1986">
        <v>0.5</v>
      </c>
      <c r="F1986">
        <v>0</v>
      </c>
      <c r="G1986">
        <v>0.73</v>
      </c>
      <c r="H1986">
        <v>59.349594000000003</v>
      </c>
      <c r="I1986">
        <v>5.95</v>
      </c>
      <c r="J1986">
        <v>87.07</v>
      </c>
      <c r="K1986">
        <v>48</v>
      </c>
      <c r="L1986">
        <v>17.399999999999999</v>
      </c>
      <c r="M1986">
        <v>1</v>
      </c>
      <c r="P1986">
        <v>-3.9787086129999998</v>
      </c>
      <c r="Q1986">
        <v>467.53978339999998</v>
      </c>
      <c r="R1986">
        <v>5.84</v>
      </c>
      <c r="S1986">
        <v>587041</v>
      </c>
      <c r="T1986">
        <v>-18.766946999999998</v>
      </c>
      <c r="U1986">
        <v>46.869107</v>
      </c>
    </row>
    <row r="1987" spans="1:21">
      <c r="A1987" t="s">
        <v>116</v>
      </c>
      <c r="B1987">
        <v>2010</v>
      </c>
      <c r="C1987">
        <v>469.25098000000003</v>
      </c>
      <c r="D1987">
        <v>1870.0000050000001</v>
      </c>
      <c r="E1987">
        <v>0.62</v>
      </c>
      <c r="F1987">
        <v>0</v>
      </c>
      <c r="G1987">
        <v>0.7</v>
      </c>
      <c r="H1987">
        <v>53.030299999999997</v>
      </c>
      <c r="I1987">
        <v>6.18</v>
      </c>
      <c r="J1987">
        <v>86.66</v>
      </c>
      <c r="K1987">
        <v>48</v>
      </c>
      <c r="L1987">
        <v>12.3</v>
      </c>
      <c r="M1987">
        <v>0.9</v>
      </c>
      <c r="P1987">
        <v>0.61923974599999998</v>
      </c>
      <c r="Q1987">
        <v>471.9592116</v>
      </c>
      <c r="R1987">
        <v>6.08</v>
      </c>
      <c r="S1987">
        <v>587041</v>
      </c>
      <c r="T1987">
        <v>-18.766946999999998</v>
      </c>
      <c r="U1987">
        <v>46.869107</v>
      </c>
    </row>
    <row r="1988" spans="1:21">
      <c r="A1988" t="s">
        <v>116</v>
      </c>
      <c r="B1988">
        <v>2011</v>
      </c>
      <c r="C1988">
        <v>511.36971999999997</v>
      </c>
      <c r="D1988">
        <v>2190.0000570000002</v>
      </c>
      <c r="E1988">
        <v>0.66</v>
      </c>
      <c r="F1988">
        <v>0</v>
      </c>
      <c r="G1988">
        <v>0.68</v>
      </c>
      <c r="H1988">
        <v>50.746270000000003</v>
      </c>
      <c r="I1988">
        <v>6.03</v>
      </c>
      <c r="J1988">
        <v>84.6</v>
      </c>
      <c r="K1988">
        <v>48</v>
      </c>
      <c r="L1988">
        <v>14.3</v>
      </c>
      <c r="M1988">
        <v>0.9</v>
      </c>
      <c r="O1988">
        <v>7370000</v>
      </c>
      <c r="P1988">
        <v>1.578427051</v>
      </c>
      <c r="Q1988">
        <v>531.2654321</v>
      </c>
      <c r="R1988">
        <v>6.34</v>
      </c>
      <c r="S1988">
        <v>587041</v>
      </c>
      <c r="T1988">
        <v>-18.766946999999998</v>
      </c>
      <c r="U1988">
        <v>46.869107</v>
      </c>
    </row>
    <row r="1989" spans="1:21">
      <c r="A1989" t="s">
        <v>116</v>
      </c>
      <c r="B1989">
        <v>2012</v>
      </c>
      <c r="C1989">
        <v>587.69506999999999</v>
      </c>
      <c r="D1989">
        <v>2740.0000100000002</v>
      </c>
      <c r="E1989">
        <v>0.95</v>
      </c>
      <c r="F1989">
        <v>0</v>
      </c>
      <c r="G1989">
        <v>0.75</v>
      </c>
      <c r="H1989">
        <v>44.117645000000003</v>
      </c>
      <c r="I1989">
        <v>7.38</v>
      </c>
      <c r="J1989">
        <v>83.4</v>
      </c>
      <c r="K1989">
        <v>48</v>
      </c>
      <c r="L1989">
        <v>18.7</v>
      </c>
      <c r="M1989">
        <v>0.9</v>
      </c>
      <c r="O1989">
        <v>50000</v>
      </c>
      <c r="P1989">
        <v>3.0111481150000001</v>
      </c>
      <c r="Q1989">
        <v>518.15281270000003</v>
      </c>
      <c r="R1989">
        <v>6.48</v>
      </c>
      <c r="S1989">
        <v>587041</v>
      </c>
      <c r="T1989">
        <v>-18.766946999999998</v>
      </c>
      <c r="U1989">
        <v>46.869107</v>
      </c>
    </row>
    <row r="1990" spans="1:21">
      <c r="A1990" t="s">
        <v>116</v>
      </c>
      <c r="B1990">
        <v>2013</v>
      </c>
      <c r="C1990">
        <v>600.28989999999999</v>
      </c>
      <c r="D1990">
        <v>2930.0000669999999</v>
      </c>
      <c r="E1990">
        <v>1.04</v>
      </c>
      <c r="F1990">
        <v>0</v>
      </c>
      <c r="G1990">
        <v>0.81</v>
      </c>
      <c r="H1990">
        <v>43.783783</v>
      </c>
      <c r="I1990">
        <v>7.29</v>
      </c>
      <c r="J1990">
        <v>81.17</v>
      </c>
      <c r="K1990">
        <v>48</v>
      </c>
      <c r="L1990">
        <v>12.9</v>
      </c>
      <c r="M1990">
        <v>0.9</v>
      </c>
      <c r="O1990">
        <v>2760000</v>
      </c>
      <c r="P1990">
        <v>2.3003762320000001</v>
      </c>
      <c r="Q1990">
        <v>541.06594370000005</v>
      </c>
      <c r="R1990">
        <v>6.7</v>
      </c>
      <c r="S1990">
        <v>587041</v>
      </c>
      <c r="T1990">
        <v>-18.766946999999998</v>
      </c>
      <c r="U1990">
        <v>46.869107</v>
      </c>
    </row>
    <row r="1991" spans="1:21">
      <c r="A1991" t="s">
        <v>116</v>
      </c>
      <c r="B1991">
        <v>2014</v>
      </c>
      <c r="C1991">
        <v>635.02495999999996</v>
      </c>
      <c r="D1991">
        <v>3009.9999899999998</v>
      </c>
      <c r="E1991">
        <v>1.08</v>
      </c>
      <c r="F1991">
        <v>0</v>
      </c>
      <c r="G1991">
        <v>0.89</v>
      </c>
      <c r="H1991">
        <v>45.177666000000002</v>
      </c>
      <c r="I1991">
        <v>7.21</v>
      </c>
      <c r="J1991">
        <v>80.12</v>
      </c>
      <c r="K1991">
        <v>48</v>
      </c>
      <c r="L1991">
        <v>22.235073</v>
      </c>
      <c r="M1991">
        <v>0.9</v>
      </c>
      <c r="O1991">
        <v>14120000</v>
      </c>
      <c r="P1991">
        <v>3.3392031129999999</v>
      </c>
      <c r="Q1991">
        <v>530.86103890000004</v>
      </c>
      <c r="R1991">
        <v>6.65</v>
      </c>
      <c r="S1991">
        <v>587041</v>
      </c>
      <c r="T1991">
        <v>-18.766946999999998</v>
      </c>
      <c r="U1991">
        <v>46.869107</v>
      </c>
    </row>
    <row r="1992" spans="1:21">
      <c r="A1992" t="s">
        <v>116</v>
      </c>
      <c r="B1992">
        <v>2015</v>
      </c>
      <c r="C1992">
        <v>676.74159999999995</v>
      </c>
      <c r="D1992">
        <v>3279.9999710000002</v>
      </c>
      <c r="E1992">
        <v>1.1100000000000001</v>
      </c>
      <c r="F1992">
        <v>0</v>
      </c>
      <c r="G1992">
        <v>0.95</v>
      </c>
      <c r="H1992">
        <v>46.116504999999997</v>
      </c>
      <c r="I1992">
        <v>7.14</v>
      </c>
      <c r="J1992">
        <v>80.55</v>
      </c>
      <c r="K1992">
        <v>48</v>
      </c>
      <c r="L1992">
        <v>23.005934</v>
      </c>
      <c r="M1992">
        <v>0.9</v>
      </c>
      <c r="O1992">
        <v>4740000</v>
      </c>
      <c r="P1992">
        <v>3.1322980729999998</v>
      </c>
      <c r="Q1992">
        <v>467.23543160000003</v>
      </c>
      <c r="R1992">
        <v>6.68</v>
      </c>
      <c r="S1992">
        <v>587041</v>
      </c>
      <c r="T1992">
        <v>-18.766946999999998</v>
      </c>
      <c r="U1992">
        <v>46.869107</v>
      </c>
    </row>
    <row r="1993" spans="1:21">
      <c r="A1993" t="s">
        <v>116</v>
      </c>
      <c r="B1993">
        <v>2016</v>
      </c>
      <c r="C1993">
        <v>691.36890000000005</v>
      </c>
      <c r="D1993">
        <v>3180.0000669999999</v>
      </c>
      <c r="E1993">
        <v>1.1200000000000001</v>
      </c>
      <c r="F1993">
        <v>0</v>
      </c>
      <c r="G1993">
        <v>0.9</v>
      </c>
      <c r="H1993">
        <v>44.554454999999997</v>
      </c>
      <c r="I1993">
        <v>7.03</v>
      </c>
      <c r="J1993">
        <v>83.85</v>
      </c>
      <c r="K1993">
        <v>48</v>
      </c>
      <c r="L1993">
        <v>22.9</v>
      </c>
      <c r="M1993">
        <v>0.9</v>
      </c>
      <c r="O1993">
        <v>22530000</v>
      </c>
      <c r="P1993">
        <v>3.9931460639999998</v>
      </c>
      <c r="Q1993">
        <v>475.95555680000001</v>
      </c>
      <c r="R1993">
        <v>7.86</v>
      </c>
      <c r="S1993">
        <v>587041</v>
      </c>
      <c r="T1993">
        <v>-18.766946999999998</v>
      </c>
      <c r="U1993">
        <v>46.869107</v>
      </c>
    </row>
    <row r="1994" spans="1:21">
      <c r="A1994" t="s">
        <v>116</v>
      </c>
      <c r="B1994">
        <v>2017</v>
      </c>
      <c r="C1994">
        <v>617.70240000000001</v>
      </c>
      <c r="D1994">
        <v>3470.0000289999998</v>
      </c>
      <c r="E1994">
        <v>1.4</v>
      </c>
      <c r="F1994">
        <v>0</v>
      </c>
      <c r="G1994">
        <v>0.8</v>
      </c>
      <c r="H1994">
        <v>36.363636</v>
      </c>
      <c r="I1994">
        <v>6.93</v>
      </c>
      <c r="J1994">
        <v>81.319999999999993</v>
      </c>
      <c r="K1994">
        <v>48</v>
      </c>
      <c r="L1994">
        <v>24.1</v>
      </c>
      <c r="M1994">
        <v>0.9</v>
      </c>
      <c r="O1994">
        <v>27120000</v>
      </c>
      <c r="P1994">
        <v>3.933307595</v>
      </c>
      <c r="Q1994">
        <v>515.29332339999996</v>
      </c>
      <c r="R1994">
        <v>8.0299999999999994</v>
      </c>
      <c r="S1994">
        <v>587041</v>
      </c>
      <c r="T1994">
        <v>-18.766946999999998</v>
      </c>
      <c r="U1994">
        <v>46.869107</v>
      </c>
    </row>
    <row r="1995" spans="1:21">
      <c r="A1995" t="s">
        <v>116</v>
      </c>
      <c r="B1995">
        <v>2018</v>
      </c>
      <c r="C1995">
        <v>579.60029999999995</v>
      </c>
      <c r="D1995">
        <v>3349.9999050000001</v>
      </c>
      <c r="E1995">
        <v>1.29</v>
      </c>
      <c r="F1995">
        <v>0</v>
      </c>
      <c r="G1995">
        <v>0.98</v>
      </c>
      <c r="H1995">
        <v>43.171805999999997</v>
      </c>
      <c r="I1995">
        <v>7.51</v>
      </c>
      <c r="J1995">
        <v>83.74</v>
      </c>
      <c r="K1995">
        <v>48</v>
      </c>
      <c r="L1995">
        <v>36.5</v>
      </c>
      <c r="M1995">
        <v>0.9</v>
      </c>
      <c r="O1995">
        <v>5250000</v>
      </c>
      <c r="P1995">
        <v>3.194356515</v>
      </c>
      <c r="Q1995">
        <v>523.94597139999996</v>
      </c>
      <c r="R1995">
        <v>8.5</v>
      </c>
      <c r="S1995">
        <v>587041</v>
      </c>
      <c r="T1995">
        <v>-18.766946999999998</v>
      </c>
      <c r="U1995">
        <v>46.869107</v>
      </c>
    </row>
    <row r="1996" spans="1:21">
      <c r="A1996" t="s">
        <v>116</v>
      </c>
      <c r="B1996">
        <v>2019</v>
      </c>
      <c r="C1996">
        <v>678.70403999999996</v>
      </c>
      <c r="D1996">
        <v>4119.9998859999996</v>
      </c>
      <c r="E1996">
        <v>1.1000000000000001</v>
      </c>
      <c r="F1996">
        <v>0</v>
      </c>
      <c r="G1996">
        <v>0.91</v>
      </c>
      <c r="H1996">
        <v>45.273631999999999</v>
      </c>
      <c r="I1996">
        <v>7.31</v>
      </c>
      <c r="J1996">
        <v>82.77</v>
      </c>
      <c r="K1996">
        <v>48</v>
      </c>
      <c r="L1996">
        <v>31.04</v>
      </c>
      <c r="M1996">
        <v>0.9</v>
      </c>
      <c r="O1996">
        <v>43730000</v>
      </c>
      <c r="P1996">
        <v>4.4112321300000001</v>
      </c>
      <c r="Q1996">
        <v>522.98952429999997</v>
      </c>
      <c r="R1996">
        <v>8.56</v>
      </c>
      <c r="S1996">
        <v>587041</v>
      </c>
      <c r="T1996">
        <v>-18.766946999999998</v>
      </c>
      <c r="U1996">
        <v>46.869107</v>
      </c>
    </row>
    <row r="1997" spans="1:21">
      <c r="A1997" t="s">
        <v>116</v>
      </c>
      <c r="B1997">
        <v>2020</v>
      </c>
      <c r="C1997">
        <v>447.50405999999998</v>
      </c>
      <c r="E1997">
        <v>1.29</v>
      </c>
      <c r="F1997">
        <v>0</v>
      </c>
      <c r="G1997">
        <v>0.68</v>
      </c>
      <c r="H1997">
        <v>34.517764999999997</v>
      </c>
      <c r="I1997">
        <v>7.12</v>
      </c>
      <c r="K1997">
        <v>48</v>
      </c>
      <c r="L1997">
        <v>33.735076999999997</v>
      </c>
      <c r="M1997">
        <v>1</v>
      </c>
      <c r="P1997">
        <v>-7.1406115909999999</v>
      </c>
      <c r="Q1997">
        <v>471.49149629999999</v>
      </c>
      <c r="S1997">
        <v>587041</v>
      </c>
      <c r="T1997">
        <v>-18.766946999999998</v>
      </c>
      <c r="U1997">
        <v>46.869107</v>
      </c>
    </row>
    <row r="1998" spans="1:21">
      <c r="A1998" t="s">
        <v>117</v>
      </c>
      <c r="B1998">
        <v>2000</v>
      </c>
      <c r="C1998">
        <v>606.25274999999999</v>
      </c>
      <c r="D1998">
        <v>710</v>
      </c>
      <c r="E1998">
        <v>0.15</v>
      </c>
      <c r="F1998">
        <v>0</v>
      </c>
      <c r="G1998">
        <v>1.0900000000000001</v>
      </c>
      <c r="H1998">
        <v>87.903229999999994</v>
      </c>
      <c r="I1998">
        <v>26.9</v>
      </c>
      <c r="J1998">
        <v>82.62</v>
      </c>
      <c r="K1998">
        <v>203</v>
      </c>
      <c r="L1998">
        <v>4.8</v>
      </c>
      <c r="M1998">
        <v>2.1</v>
      </c>
      <c r="O1998">
        <v>6840000</v>
      </c>
      <c r="P1998">
        <v>1.5760778369999999</v>
      </c>
      <c r="Q1998">
        <v>156.38581679999999</v>
      </c>
      <c r="R1998">
        <v>5.29</v>
      </c>
      <c r="S1998">
        <v>118484</v>
      </c>
      <c r="T1998">
        <v>-13.254308</v>
      </c>
      <c r="U1998">
        <v>34.301524999999998</v>
      </c>
    </row>
    <row r="1999" spans="1:21">
      <c r="A1999" t="s">
        <v>117</v>
      </c>
      <c r="B1999">
        <v>2001</v>
      </c>
      <c r="C1999">
        <v>581.44939999999997</v>
      </c>
      <c r="D1999">
        <v>680</v>
      </c>
      <c r="E1999">
        <v>0.15</v>
      </c>
      <c r="F1999">
        <v>0</v>
      </c>
      <c r="G1999">
        <v>1.1100000000000001</v>
      </c>
      <c r="H1999">
        <v>88.095240000000004</v>
      </c>
      <c r="I1999">
        <v>26.24</v>
      </c>
      <c r="J1999">
        <v>83.13</v>
      </c>
      <c r="K1999">
        <v>203</v>
      </c>
      <c r="L1999">
        <v>5.1395200000000001</v>
      </c>
      <c r="M1999">
        <v>2.1</v>
      </c>
      <c r="P1999">
        <v>-4.9749638479999998</v>
      </c>
      <c r="Q1999">
        <v>150.1489426</v>
      </c>
      <c r="R1999">
        <v>5.51</v>
      </c>
      <c r="S1999">
        <v>118484</v>
      </c>
      <c r="T1999">
        <v>-13.254308</v>
      </c>
      <c r="U1999">
        <v>34.301524999999998</v>
      </c>
    </row>
    <row r="2000" spans="1:21">
      <c r="A2000" t="s">
        <v>117</v>
      </c>
      <c r="B2000">
        <v>2002</v>
      </c>
      <c r="C2000">
        <v>560.57740000000001</v>
      </c>
      <c r="D2000">
        <v>680.00000720000003</v>
      </c>
      <c r="E2000">
        <v>0.16</v>
      </c>
      <c r="F2000">
        <v>0</v>
      </c>
      <c r="G2000">
        <v>1.17</v>
      </c>
      <c r="H2000">
        <v>87.969920000000002</v>
      </c>
      <c r="I2000">
        <v>25.6</v>
      </c>
      <c r="J2000">
        <v>83.3</v>
      </c>
      <c r="K2000">
        <v>203</v>
      </c>
      <c r="L2000">
        <v>5.5341597</v>
      </c>
      <c r="M2000">
        <v>2.1</v>
      </c>
      <c r="P2000">
        <v>1.700000014</v>
      </c>
      <c r="Q2000">
        <v>298.43341040000001</v>
      </c>
      <c r="R2000">
        <v>5.66</v>
      </c>
      <c r="S2000">
        <v>118484</v>
      </c>
      <c r="T2000">
        <v>-13.254308</v>
      </c>
      <c r="U2000">
        <v>34.301524999999998</v>
      </c>
    </row>
    <row r="2001" spans="1:21">
      <c r="A2001" t="s">
        <v>117</v>
      </c>
      <c r="B2001">
        <v>2003</v>
      </c>
      <c r="C2001">
        <v>574.14386000000002</v>
      </c>
      <c r="D2001">
        <v>750</v>
      </c>
      <c r="E2001">
        <v>0.12</v>
      </c>
      <c r="F2001">
        <v>0</v>
      </c>
      <c r="G2001">
        <v>1.23</v>
      </c>
      <c r="H2001">
        <v>91.111109999999996</v>
      </c>
      <c r="I2001">
        <v>24.94</v>
      </c>
      <c r="J2001">
        <v>82.83</v>
      </c>
      <c r="K2001">
        <v>203</v>
      </c>
      <c r="L2001">
        <v>6.2</v>
      </c>
      <c r="M2001">
        <v>2.1</v>
      </c>
      <c r="O2001">
        <v>510000</v>
      </c>
      <c r="P2001">
        <v>5.7056394380000004</v>
      </c>
      <c r="Q2001">
        <v>267.3990119</v>
      </c>
      <c r="R2001">
        <v>5.43</v>
      </c>
      <c r="S2001">
        <v>118484</v>
      </c>
      <c r="T2001">
        <v>-13.254308</v>
      </c>
      <c r="U2001">
        <v>34.301524999999998</v>
      </c>
    </row>
    <row r="2002" spans="1:21">
      <c r="A2002" t="s">
        <v>117</v>
      </c>
      <c r="B2002">
        <v>2004</v>
      </c>
      <c r="C2002">
        <v>596.34100000000001</v>
      </c>
      <c r="D2002">
        <v>769.99998089999997</v>
      </c>
      <c r="E2002">
        <v>0.15</v>
      </c>
      <c r="F2002">
        <v>0</v>
      </c>
      <c r="G2002">
        <v>1.34</v>
      </c>
      <c r="H2002">
        <v>89.932884000000001</v>
      </c>
      <c r="I2002">
        <v>24.33</v>
      </c>
      <c r="J2002">
        <v>82.45</v>
      </c>
      <c r="K2002">
        <v>203</v>
      </c>
      <c r="L2002">
        <v>6.9</v>
      </c>
      <c r="M2002">
        <v>2.1</v>
      </c>
      <c r="O2002">
        <v>60000</v>
      </c>
      <c r="P2002">
        <v>5.4204976929999997</v>
      </c>
      <c r="Q2002">
        <v>282.56710759999999</v>
      </c>
      <c r="R2002">
        <v>5.23</v>
      </c>
      <c r="S2002">
        <v>118484</v>
      </c>
      <c r="T2002">
        <v>-13.254308</v>
      </c>
      <c r="U2002">
        <v>34.301524999999998</v>
      </c>
    </row>
    <row r="2003" spans="1:21">
      <c r="A2003" t="s">
        <v>117</v>
      </c>
      <c r="B2003">
        <v>2005</v>
      </c>
      <c r="C2003">
        <v>564.41669999999999</v>
      </c>
      <c r="D2003">
        <v>759.99999049999997</v>
      </c>
      <c r="E2003">
        <v>0.14000000000000001</v>
      </c>
      <c r="F2003">
        <v>0</v>
      </c>
      <c r="G2003">
        <v>1.39</v>
      </c>
      <c r="H2003">
        <v>90.849680000000006</v>
      </c>
      <c r="I2003">
        <v>23.7</v>
      </c>
      <c r="J2003">
        <v>83.17</v>
      </c>
      <c r="K2003">
        <v>203</v>
      </c>
      <c r="L2003">
        <v>6.6960629999999997</v>
      </c>
      <c r="M2003">
        <v>2.2000000000000002</v>
      </c>
      <c r="O2003">
        <v>60000</v>
      </c>
      <c r="P2003">
        <v>3.2687258269999999</v>
      </c>
      <c r="Q2003">
        <v>289.55521479999999</v>
      </c>
      <c r="R2003">
        <v>5.09</v>
      </c>
      <c r="S2003">
        <v>118484</v>
      </c>
      <c r="T2003">
        <v>-13.254308</v>
      </c>
      <c r="U2003">
        <v>34.301524999999998</v>
      </c>
    </row>
    <row r="2004" spans="1:21">
      <c r="A2004" t="s">
        <v>117</v>
      </c>
      <c r="B2004">
        <v>2006</v>
      </c>
      <c r="C2004">
        <v>566.84424000000001</v>
      </c>
      <c r="D2004">
        <v>779.99997140000005</v>
      </c>
      <c r="E2004">
        <v>0.14000000000000001</v>
      </c>
      <c r="F2004">
        <v>0</v>
      </c>
      <c r="G2004">
        <v>1.42</v>
      </c>
      <c r="H2004">
        <v>91.025639999999996</v>
      </c>
      <c r="I2004">
        <v>23.07</v>
      </c>
      <c r="J2004">
        <v>82.8</v>
      </c>
      <c r="K2004">
        <v>203</v>
      </c>
      <c r="L2004">
        <v>3.6532273000000002</v>
      </c>
      <c r="M2004">
        <v>2.2999999999999998</v>
      </c>
      <c r="O2004">
        <v>50000</v>
      </c>
      <c r="P2004">
        <v>4.6999999920000004</v>
      </c>
      <c r="Q2004">
        <v>308.16361819999997</v>
      </c>
      <c r="R2004">
        <v>4.8499999999999996</v>
      </c>
      <c r="S2004">
        <v>118484</v>
      </c>
      <c r="T2004">
        <v>-13.254308</v>
      </c>
      <c r="U2004">
        <v>34.301524999999998</v>
      </c>
    </row>
    <row r="2005" spans="1:21">
      <c r="A2005" t="s">
        <v>117</v>
      </c>
      <c r="B2005">
        <v>2007</v>
      </c>
      <c r="C2005">
        <v>548.93409999999994</v>
      </c>
      <c r="D2005">
        <v>829.99998330000005</v>
      </c>
      <c r="E2005">
        <v>0.14000000000000001</v>
      </c>
      <c r="F2005">
        <v>0</v>
      </c>
      <c r="G2005">
        <v>1.45</v>
      </c>
      <c r="H2005">
        <v>91.194969999999998</v>
      </c>
      <c r="I2005">
        <v>22.45</v>
      </c>
      <c r="J2005">
        <v>82.21</v>
      </c>
      <c r="K2005">
        <v>203</v>
      </c>
      <c r="L2005">
        <v>7.4762919999999999</v>
      </c>
      <c r="M2005">
        <v>2.2999999999999998</v>
      </c>
      <c r="O2005">
        <v>60000</v>
      </c>
      <c r="P2005">
        <v>9.600000004</v>
      </c>
      <c r="Q2005">
        <v>332.25909460000003</v>
      </c>
      <c r="R2005">
        <v>4.59</v>
      </c>
      <c r="S2005">
        <v>118484</v>
      </c>
      <c r="T2005">
        <v>-13.254308</v>
      </c>
      <c r="U2005">
        <v>34.301524999999998</v>
      </c>
    </row>
    <row r="2006" spans="1:21">
      <c r="A2006" t="s">
        <v>117</v>
      </c>
      <c r="B2006">
        <v>2008</v>
      </c>
      <c r="C2006">
        <v>607.96954000000005</v>
      </c>
      <c r="D2006">
        <v>959.9999785</v>
      </c>
      <c r="E2006">
        <v>0.11</v>
      </c>
      <c r="F2006">
        <v>0</v>
      </c>
      <c r="G2006">
        <v>1.62</v>
      </c>
      <c r="H2006">
        <v>93.641620000000003</v>
      </c>
      <c r="I2006">
        <v>21.82</v>
      </c>
      <c r="J2006">
        <v>80.39</v>
      </c>
      <c r="K2006">
        <v>203</v>
      </c>
      <c r="L2006">
        <v>7.8758983999999996</v>
      </c>
      <c r="M2006">
        <v>2.4</v>
      </c>
      <c r="P2006">
        <v>7.6397367750000003</v>
      </c>
      <c r="Q2006">
        <v>387.6057212</v>
      </c>
      <c r="R2006">
        <v>4.46</v>
      </c>
      <c r="S2006">
        <v>118484</v>
      </c>
      <c r="T2006">
        <v>-13.254308</v>
      </c>
      <c r="U2006">
        <v>34.301524999999998</v>
      </c>
    </row>
    <row r="2007" spans="1:21">
      <c r="A2007" t="s">
        <v>117</v>
      </c>
      <c r="B2007">
        <v>2009</v>
      </c>
      <c r="C2007">
        <v>549.87850000000003</v>
      </c>
      <c r="D2007">
        <v>980.00001910000003</v>
      </c>
      <c r="E2007">
        <v>0.13</v>
      </c>
      <c r="F2007">
        <v>0</v>
      </c>
      <c r="G2007">
        <v>1.58</v>
      </c>
      <c r="H2007">
        <v>92.397660000000002</v>
      </c>
      <c r="I2007">
        <v>21.22</v>
      </c>
      <c r="J2007">
        <v>80.010000000000005</v>
      </c>
      <c r="K2007">
        <v>203</v>
      </c>
      <c r="L2007">
        <v>8.285444</v>
      </c>
      <c r="M2007">
        <v>2.4500000000000002</v>
      </c>
      <c r="O2007">
        <v>70000</v>
      </c>
      <c r="P2007">
        <v>8.3281102760000003</v>
      </c>
      <c r="Q2007">
        <v>438.21185680000002</v>
      </c>
      <c r="R2007">
        <v>4.1500000000000004</v>
      </c>
      <c r="S2007">
        <v>118484</v>
      </c>
      <c r="T2007">
        <v>-13.254308</v>
      </c>
      <c r="U2007">
        <v>34.301524999999998</v>
      </c>
    </row>
    <row r="2008" spans="1:21">
      <c r="A2008" t="s">
        <v>117</v>
      </c>
      <c r="B2008">
        <v>2010</v>
      </c>
      <c r="C2008">
        <v>640.52892999999995</v>
      </c>
      <c r="D2008">
        <v>889.99998570000002</v>
      </c>
      <c r="E2008">
        <v>0.13</v>
      </c>
      <c r="F2008">
        <v>0</v>
      </c>
      <c r="G2008">
        <v>1.83</v>
      </c>
      <c r="H2008">
        <v>93.367350000000002</v>
      </c>
      <c r="I2008">
        <v>20.63</v>
      </c>
      <c r="J2008">
        <v>81.209999999999994</v>
      </c>
      <c r="K2008">
        <v>203</v>
      </c>
      <c r="L2008">
        <v>8.6999999999999993</v>
      </c>
      <c r="M2008">
        <v>2.5</v>
      </c>
      <c r="O2008">
        <v>15180000</v>
      </c>
      <c r="P2008">
        <v>6.8740656329999998</v>
      </c>
      <c r="Q2008">
        <v>478.66868849999997</v>
      </c>
      <c r="R2008">
        <v>3.86</v>
      </c>
      <c r="S2008">
        <v>118484</v>
      </c>
      <c r="T2008">
        <v>-13.254308</v>
      </c>
      <c r="U2008">
        <v>34.301524999999998</v>
      </c>
    </row>
    <row r="2009" spans="1:21">
      <c r="A2009" t="s">
        <v>117</v>
      </c>
      <c r="B2009">
        <v>2011</v>
      </c>
      <c r="C2009">
        <v>626.80560000000003</v>
      </c>
      <c r="D2009">
        <v>930.00000720000003</v>
      </c>
      <c r="E2009">
        <v>0.13</v>
      </c>
      <c r="F2009">
        <v>0</v>
      </c>
      <c r="G2009">
        <v>1.88</v>
      </c>
      <c r="H2009">
        <v>93.532340000000005</v>
      </c>
      <c r="I2009">
        <v>20.12</v>
      </c>
      <c r="J2009">
        <v>80.17</v>
      </c>
      <c r="K2009">
        <v>203</v>
      </c>
      <c r="L2009">
        <v>7.6</v>
      </c>
      <c r="M2009">
        <v>2.5</v>
      </c>
      <c r="O2009">
        <v>2410000</v>
      </c>
      <c r="P2009">
        <v>4.8540551110000001</v>
      </c>
      <c r="Q2009">
        <v>534.95105020000005</v>
      </c>
      <c r="R2009">
        <v>3.79</v>
      </c>
      <c r="S2009">
        <v>118484</v>
      </c>
      <c r="T2009">
        <v>-13.254308</v>
      </c>
      <c r="U2009">
        <v>34.301524999999998</v>
      </c>
    </row>
    <row r="2010" spans="1:21">
      <c r="A2010" t="s">
        <v>117</v>
      </c>
      <c r="B2010">
        <v>2012</v>
      </c>
      <c r="C2010">
        <v>611.75289999999995</v>
      </c>
      <c r="D2010">
        <v>949.9999881</v>
      </c>
      <c r="E2010">
        <v>0.13</v>
      </c>
      <c r="F2010">
        <v>0</v>
      </c>
      <c r="G2010">
        <v>1.96</v>
      </c>
      <c r="H2010">
        <v>93.779910000000001</v>
      </c>
      <c r="I2010">
        <v>19.61</v>
      </c>
      <c r="J2010">
        <v>80.11</v>
      </c>
      <c r="K2010">
        <v>203</v>
      </c>
      <c r="L2010">
        <v>7.4</v>
      </c>
      <c r="M2010">
        <v>2.4</v>
      </c>
      <c r="O2010">
        <v>1690000</v>
      </c>
      <c r="P2010">
        <v>1.885799507</v>
      </c>
      <c r="Q2010">
        <v>391.56170520000001</v>
      </c>
      <c r="R2010">
        <v>3.77</v>
      </c>
      <c r="S2010">
        <v>118484</v>
      </c>
      <c r="T2010">
        <v>-13.254308</v>
      </c>
      <c r="U2010">
        <v>34.301524999999998</v>
      </c>
    </row>
    <row r="2011" spans="1:21">
      <c r="A2011" t="s">
        <v>117</v>
      </c>
      <c r="B2011">
        <v>2013</v>
      </c>
      <c r="C2011">
        <v>604.72019999999998</v>
      </c>
      <c r="D2011">
        <v>980.00001910000003</v>
      </c>
      <c r="E2011">
        <v>0.13</v>
      </c>
      <c r="F2011">
        <v>0</v>
      </c>
      <c r="G2011">
        <v>1.96</v>
      </c>
      <c r="H2011">
        <v>93.779910000000001</v>
      </c>
      <c r="I2011">
        <v>19.239999999999998</v>
      </c>
      <c r="J2011">
        <v>79.680000000000007</v>
      </c>
      <c r="K2011">
        <v>203</v>
      </c>
      <c r="L2011">
        <v>9</v>
      </c>
      <c r="M2011">
        <v>2.2999999999999998</v>
      </c>
      <c r="O2011">
        <v>36020000</v>
      </c>
      <c r="P2011">
        <v>5.1999999969999999</v>
      </c>
      <c r="Q2011">
        <v>348.42987369999997</v>
      </c>
      <c r="R2011">
        <v>3.61</v>
      </c>
      <c r="S2011">
        <v>118484</v>
      </c>
      <c r="T2011">
        <v>-13.254308</v>
      </c>
      <c r="U2011">
        <v>34.301524999999998</v>
      </c>
    </row>
    <row r="2012" spans="1:21">
      <c r="A2012" t="s">
        <v>117</v>
      </c>
      <c r="B2012">
        <v>2014</v>
      </c>
      <c r="C2012">
        <v>605.31539999999995</v>
      </c>
      <c r="D2012">
        <v>850.00002380000001</v>
      </c>
      <c r="E2012">
        <v>0.13</v>
      </c>
      <c r="F2012">
        <v>0</v>
      </c>
      <c r="G2012">
        <v>2.08</v>
      </c>
      <c r="H2012">
        <v>94.117644999999996</v>
      </c>
      <c r="I2012">
        <v>22.77</v>
      </c>
      <c r="J2012">
        <v>82.7</v>
      </c>
      <c r="K2012">
        <v>203</v>
      </c>
      <c r="L2012">
        <v>11.9</v>
      </c>
      <c r="M2012">
        <v>2.2000000000000002</v>
      </c>
      <c r="O2012">
        <v>1930000</v>
      </c>
      <c r="P2012">
        <v>5.7000000039999996</v>
      </c>
      <c r="Q2012">
        <v>371.26952169999998</v>
      </c>
      <c r="R2012">
        <v>3.38</v>
      </c>
      <c r="S2012">
        <v>118484</v>
      </c>
      <c r="T2012">
        <v>-13.254308</v>
      </c>
      <c r="U2012">
        <v>34.301524999999998</v>
      </c>
    </row>
    <row r="2013" spans="1:21">
      <c r="A2013" t="s">
        <v>117</v>
      </c>
      <c r="B2013">
        <v>2015</v>
      </c>
      <c r="C2013">
        <v>567.38477</v>
      </c>
      <c r="D2013">
        <v>930.00000720000003</v>
      </c>
      <c r="E2013">
        <v>0.13</v>
      </c>
      <c r="F2013">
        <v>0</v>
      </c>
      <c r="G2013">
        <v>2.08</v>
      </c>
      <c r="H2013">
        <v>94.117644999999996</v>
      </c>
      <c r="I2013">
        <v>22.42</v>
      </c>
      <c r="J2013">
        <v>80.87</v>
      </c>
      <c r="K2013">
        <v>203</v>
      </c>
      <c r="L2013">
        <v>10.8</v>
      </c>
      <c r="M2013">
        <v>2</v>
      </c>
      <c r="O2013">
        <v>63510000</v>
      </c>
      <c r="P2013">
        <v>2.8</v>
      </c>
      <c r="Q2013">
        <v>380.5969877</v>
      </c>
      <c r="R2013">
        <v>3.37</v>
      </c>
      <c r="S2013">
        <v>118484</v>
      </c>
      <c r="T2013">
        <v>-13.254308</v>
      </c>
      <c r="U2013">
        <v>34.301524999999998</v>
      </c>
    </row>
    <row r="2014" spans="1:21">
      <c r="A2014" t="s">
        <v>117</v>
      </c>
      <c r="B2014">
        <v>2016</v>
      </c>
      <c r="C2014">
        <v>581.61189999999999</v>
      </c>
      <c r="D2014">
        <v>1120.0000050000001</v>
      </c>
      <c r="E2014">
        <v>0.15</v>
      </c>
      <c r="F2014">
        <v>0</v>
      </c>
      <c r="G2014">
        <v>2.0499999999999998</v>
      </c>
      <c r="H2014">
        <v>93.181815999999998</v>
      </c>
      <c r="I2014">
        <v>21.84</v>
      </c>
      <c r="J2014">
        <v>78.69</v>
      </c>
      <c r="K2014">
        <v>203</v>
      </c>
      <c r="L2014">
        <v>11</v>
      </c>
      <c r="M2014">
        <v>1.8</v>
      </c>
      <c r="O2014">
        <v>350000</v>
      </c>
      <c r="P2014">
        <v>2.484040625</v>
      </c>
      <c r="Q2014">
        <v>315.77798710000002</v>
      </c>
      <c r="R2014">
        <v>3.36</v>
      </c>
      <c r="S2014">
        <v>118484</v>
      </c>
      <c r="T2014">
        <v>-13.254308</v>
      </c>
      <c r="U2014">
        <v>34.301524999999998</v>
      </c>
    </row>
    <row r="2015" spans="1:21">
      <c r="A2015" t="s">
        <v>117</v>
      </c>
      <c r="B2015">
        <v>2017</v>
      </c>
      <c r="C2015">
        <v>583.40607</v>
      </c>
      <c r="D2015">
        <v>1190.000057</v>
      </c>
      <c r="E2015">
        <v>0.19</v>
      </c>
      <c r="F2015">
        <v>0</v>
      </c>
      <c r="G2015">
        <v>1.9</v>
      </c>
      <c r="H2015">
        <v>90.909096000000005</v>
      </c>
      <c r="I2015">
        <v>21.66</v>
      </c>
      <c r="J2015">
        <v>75.94</v>
      </c>
      <c r="K2015">
        <v>203</v>
      </c>
      <c r="L2015">
        <v>12.7</v>
      </c>
      <c r="M2015">
        <v>1.6</v>
      </c>
      <c r="O2015">
        <v>3860000</v>
      </c>
      <c r="P2015">
        <v>4.0000305169999999</v>
      </c>
      <c r="Q2015">
        <v>506.13729439999997</v>
      </c>
      <c r="R2015">
        <v>3.32</v>
      </c>
      <c r="S2015">
        <v>118484</v>
      </c>
      <c r="T2015">
        <v>-13.254308</v>
      </c>
      <c r="U2015">
        <v>34.301524999999998</v>
      </c>
    </row>
    <row r="2016" spans="1:21">
      <c r="A2016" t="s">
        <v>117</v>
      </c>
      <c r="B2016">
        <v>2018</v>
      </c>
      <c r="C2016">
        <v>542.38490000000002</v>
      </c>
      <c r="D2016">
        <v>1379.9999949999999</v>
      </c>
      <c r="E2016">
        <v>0.2</v>
      </c>
      <c r="F2016">
        <v>0</v>
      </c>
      <c r="G2016">
        <v>1.44</v>
      </c>
      <c r="H2016">
        <v>87.804879999999997</v>
      </c>
      <c r="I2016">
        <v>22.14</v>
      </c>
      <c r="J2016">
        <v>73.03</v>
      </c>
      <c r="K2016">
        <v>203</v>
      </c>
      <c r="L2016">
        <v>18.02</v>
      </c>
      <c r="M2016">
        <v>1.3</v>
      </c>
      <c r="O2016">
        <v>17150000</v>
      </c>
      <c r="P2016">
        <v>4.3916882959999999</v>
      </c>
      <c r="Q2016">
        <v>544.59343539999998</v>
      </c>
      <c r="R2016">
        <v>3.28</v>
      </c>
      <c r="S2016">
        <v>118484</v>
      </c>
      <c r="T2016">
        <v>-13.254308</v>
      </c>
      <c r="U2016">
        <v>34.301524999999998</v>
      </c>
    </row>
    <row r="2017" spans="1:21">
      <c r="A2017" t="s">
        <v>117</v>
      </c>
      <c r="B2017">
        <v>2019</v>
      </c>
      <c r="C2017">
        <v>537.81979999999999</v>
      </c>
      <c r="D2017">
        <v>1450.0000480000001</v>
      </c>
      <c r="E2017">
        <v>0.2</v>
      </c>
      <c r="F2017">
        <v>0</v>
      </c>
      <c r="G2017">
        <v>1.5</v>
      </c>
      <c r="H2017">
        <v>88.235290000000006</v>
      </c>
      <c r="I2017">
        <v>21.94</v>
      </c>
      <c r="J2017">
        <v>73.02</v>
      </c>
      <c r="K2017">
        <v>203</v>
      </c>
      <c r="L2017">
        <v>11.2</v>
      </c>
      <c r="M2017">
        <v>1.2</v>
      </c>
      <c r="O2017">
        <v>101610000</v>
      </c>
      <c r="P2017">
        <v>5.4481813360000002</v>
      </c>
      <c r="Q2017">
        <v>591.84638959999995</v>
      </c>
      <c r="R2017">
        <v>3.18</v>
      </c>
      <c r="S2017">
        <v>118484</v>
      </c>
      <c r="T2017">
        <v>-13.254308</v>
      </c>
      <c r="U2017">
        <v>34.301524999999998</v>
      </c>
    </row>
    <row r="2018" spans="1:21">
      <c r="A2018" t="s">
        <v>117</v>
      </c>
      <c r="B2018">
        <v>2020</v>
      </c>
      <c r="C2018">
        <v>503.25734999999997</v>
      </c>
      <c r="E2018">
        <v>0.21</v>
      </c>
      <c r="F2018">
        <v>0</v>
      </c>
      <c r="G2018">
        <v>1.5</v>
      </c>
      <c r="H2018">
        <v>87.719300000000004</v>
      </c>
      <c r="I2018">
        <v>21.43</v>
      </c>
      <c r="K2018">
        <v>203</v>
      </c>
      <c r="L2018">
        <v>14.866769</v>
      </c>
      <c r="M2018">
        <v>1</v>
      </c>
      <c r="P2018">
        <v>0.79999833099999995</v>
      </c>
      <c r="Q2018">
        <v>636.82053680000001</v>
      </c>
      <c r="S2018">
        <v>118484</v>
      </c>
      <c r="T2018">
        <v>-13.254308</v>
      </c>
      <c r="U2018">
        <v>34.301524999999998</v>
      </c>
    </row>
    <row r="2019" spans="1:21">
      <c r="A2019" t="s">
        <v>118</v>
      </c>
      <c r="B2019">
        <v>2000</v>
      </c>
      <c r="C2019">
        <v>26639.928</v>
      </c>
      <c r="D2019">
        <v>124360</v>
      </c>
      <c r="E2019">
        <v>62.91</v>
      </c>
      <c r="G2019">
        <v>7.56</v>
      </c>
      <c r="H2019">
        <v>10.727969</v>
      </c>
      <c r="I2019">
        <v>119.04</v>
      </c>
      <c r="J2019">
        <v>4.4400000000000004</v>
      </c>
      <c r="K2019">
        <v>99</v>
      </c>
      <c r="L2019">
        <v>99.103970000000004</v>
      </c>
      <c r="M2019">
        <v>98</v>
      </c>
      <c r="N2019">
        <v>3.6813028000000001</v>
      </c>
      <c r="O2019">
        <v>141190000</v>
      </c>
      <c r="P2019">
        <v>8.8588681699999992</v>
      </c>
      <c r="Q2019">
        <v>4043.6629229999999</v>
      </c>
      <c r="R2019">
        <v>5.48</v>
      </c>
      <c r="S2019">
        <v>329847</v>
      </c>
      <c r="T2019">
        <v>4.2104840000000001</v>
      </c>
      <c r="U2019">
        <v>101.97576599999999</v>
      </c>
    </row>
    <row r="2020" spans="1:21">
      <c r="A2020" t="s">
        <v>118</v>
      </c>
      <c r="B2020">
        <v>2001</v>
      </c>
      <c r="C2020">
        <v>26582.326000000001</v>
      </c>
      <c r="D2020">
        <v>129460</v>
      </c>
      <c r="E2020">
        <v>69.709999999999994</v>
      </c>
      <c r="G2020">
        <v>6.64</v>
      </c>
      <c r="H2020">
        <v>8.6967920000000003</v>
      </c>
      <c r="I2020">
        <v>115.99</v>
      </c>
      <c r="J2020">
        <v>4.26</v>
      </c>
      <c r="K2020">
        <v>99</v>
      </c>
      <c r="L2020">
        <v>99.12567</v>
      </c>
      <c r="M2020">
        <v>98</v>
      </c>
      <c r="N2020">
        <v>3.1399819999999998</v>
      </c>
      <c r="P2020">
        <v>0.51767531899999997</v>
      </c>
      <c r="Q2020">
        <v>3913.4293859999998</v>
      </c>
      <c r="R2020">
        <v>5.67</v>
      </c>
      <c r="S2020">
        <v>329847</v>
      </c>
      <c r="T2020">
        <v>4.2104840000000001</v>
      </c>
      <c r="U2020">
        <v>101.97576599999999</v>
      </c>
    </row>
    <row r="2021" spans="1:21">
      <c r="A2021" t="s">
        <v>118</v>
      </c>
      <c r="B2021">
        <v>2002</v>
      </c>
      <c r="C2021">
        <v>27303.565999999999</v>
      </c>
      <c r="D2021">
        <v>136380.0049</v>
      </c>
      <c r="E2021">
        <v>74.78</v>
      </c>
      <c r="G2021">
        <v>5.81</v>
      </c>
      <c r="H2021">
        <v>7.2093315000000002</v>
      </c>
      <c r="I2021">
        <v>115.13</v>
      </c>
      <c r="J2021">
        <v>3.57</v>
      </c>
      <c r="K2021">
        <v>99</v>
      </c>
      <c r="L2021">
        <v>99.139786000000001</v>
      </c>
      <c r="M2021">
        <v>98.1</v>
      </c>
      <c r="N2021">
        <v>2.5937573999999999</v>
      </c>
      <c r="O2021">
        <v>20000</v>
      </c>
      <c r="P2021">
        <v>5.3909883069999998</v>
      </c>
      <c r="Q2021">
        <v>4165.7261040000003</v>
      </c>
      <c r="R2021">
        <v>5.56</v>
      </c>
      <c r="S2021">
        <v>329847</v>
      </c>
      <c r="T2021">
        <v>4.2104840000000001</v>
      </c>
      <c r="U2021">
        <v>101.97576599999999</v>
      </c>
    </row>
    <row r="2022" spans="1:21">
      <c r="A2022" t="s">
        <v>118</v>
      </c>
      <c r="B2022">
        <v>2003</v>
      </c>
      <c r="C2022">
        <v>28867.148000000001</v>
      </c>
      <c r="D2022">
        <v>144490.0055</v>
      </c>
      <c r="E2022">
        <v>77.25</v>
      </c>
      <c r="G2022">
        <v>5.51</v>
      </c>
      <c r="H2022">
        <v>6.6578054</v>
      </c>
      <c r="I2022">
        <v>113.41</v>
      </c>
      <c r="J2022">
        <v>3.33</v>
      </c>
      <c r="K2022">
        <v>99</v>
      </c>
      <c r="L2022">
        <v>99.148660000000007</v>
      </c>
      <c r="M2022">
        <v>98.2</v>
      </c>
      <c r="N2022">
        <v>2.2532131999999998</v>
      </c>
      <c r="P2022">
        <v>5.7884992860000004</v>
      </c>
      <c r="Q2022">
        <v>4461.8473249999997</v>
      </c>
      <c r="R2022">
        <v>5.63</v>
      </c>
      <c r="S2022">
        <v>329847</v>
      </c>
      <c r="T2022">
        <v>4.2104840000000001</v>
      </c>
      <c r="U2022">
        <v>101.97576599999999</v>
      </c>
    </row>
    <row r="2023" spans="1:21">
      <c r="A2023" t="s">
        <v>118</v>
      </c>
      <c r="B2023">
        <v>2004</v>
      </c>
      <c r="C2023">
        <v>30459.574000000001</v>
      </c>
      <c r="D2023">
        <v>158270.0043</v>
      </c>
      <c r="E2023">
        <v>89.3</v>
      </c>
      <c r="G2023">
        <v>6.15</v>
      </c>
      <c r="H2023">
        <v>6.4431643000000003</v>
      </c>
      <c r="I2023">
        <v>111.19</v>
      </c>
      <c r="J2023">
        <v>3.22</v>
      </c>
      <c r="K2023">
        <v>99</v>
      </c>
      <c r="L2023">
        <v>99.154655000000005</v>
      </c>
      <c r="M2023">
        <v>98.1</v>
      </c>
      <c r="N2023">
        <v>2.3197203000000002</v>
      </c>
      <c r="O2023">
        <v>270000</v>
      </c>
      <c r="P2023">
        <v>6.7834377239999997</v>
      </c>
      <c r="Q2023">
        <v>4952.2139580000003</v>
      </c>
      <c r="R2023">
        <v>5.68</v>
      </c>
      <c r="S2023">
        <v>329847</v>
      </c>
      <c r="T2023">
        <v>4.2104840000000001</v>
      </c>
      <c r="U2023">
        <v>101.97576599999999</v>
      </c>
    </row>
    <row r="2024" spans="1:21">
      <c r="A2024" t="s">
        <v>118</v>
      </c>
      <c r="B2024">
        <v>2005</v>
      </c>
      <c r="C2024">
        <v>32213.138999999999</v>
      </c>
      <c r="D2024">
        <v>167419.9982</v>
      </c>
      <c r="E2024">
        <v>91.79</v>
      </c>
      <c r="G2024">
        <v>6.6</v>
      </c>
      <c r="H2024">
        <v>6.7079988000000004</v>
      </c>
      <c r="I2024">
        <v>107.28</v>
      </c>
      <c r="J2024">
        <v>3.01</v>
      </c>
      <c r="K2024">
        <v>99</v>
      </c>
      <c r="L2024">
        <v>99.160110000000003</v>
      </c>
      <c r="M2024">
        <v>98.1</v>
      </c>
      <c r="N2024">
        <v>2.2862065</v>
      </c>
      <c r="P2024">
        <v>5.3321391609999997</v>
      </c>
      <c r="Q2024">
        <v>5587.0247799999997</v>
      </c>
      <c r="R2024">
        <v>5.85</v>
      </c>
      <c r="S2024">
        <v>329847</v>
      </c>
      <c r="T2024">
        <v>4.2104840000000001</v>
      </c>
      <c r="U2024">
        <v>101.97576599999999</v>
      </c>
    </row>
    <row r="2025" spans="1:21">
      <c r="A2025" t="s">
        <v>118</v>
      </c>
      <c r="B2025">
        <v>2006</v>
      </c>
      <c r="C2025">
        <v>31831.440999999999</v>
      </c>
      <c r="D2025">
        <v>174100.0061</v>
      </c>
      <c r="E2025">
        <v>96.31</v>
      </c>
      <c r="G2025">
        <v>6.94</v>
      </c>
      <c r="H2025">
        <v>6.7215495000000001</v>
      </c>
      <c r="I2025">
        <v>106.98</v>
      </c>
      <c r="J2025">
        <v>3.13</v>
      </c>
      <c r="K2025">
        <v>99</v>
      </c>
      <c r="L2025">
        <v>99.167434999999998</v>
      </c>
      <c r="M2025">
        <v>98.1</v>
      </c>
      <c r="N2025">
        <v>2.3655073999999998</v>
      </c>
      <c r="O2025">
        <v>10000</v>
      </c>
      <c r="P2025">
        <v>5.5848470670000001</v>
      </c>
      <c r="Q2025">
        <v>6209.1261670000004</v>
      </c>
      <c r="R2025">
        <v>5.57</v>
      </c>
      <c r="S2025">
        <v>329847</v>
      </c>
      <c r="T2025">
        <v>4.2104840000000001</v>
      </c>
      <c r="U2025">
        <v>101.97576599999999</v>
      </c>
    </row>
    <row r="2026" spans="1:21">
      <c r="A2026" t="s">
        <v>118</v>
      </c>
      <c r="B2026">
        <v>2007</v>
      </c>
      <c r="C2026">
        <v>33221.49</v>
      </c>
      <c r="D2026">
        <v>189940.0024</v>
      </c>
      <c r="E2026">
        <v>101.52</v>
      </c>
      <c r="G2026">
        <v>6.72</v>
      </c>
      <c r="H2026">
        <v>6.2084260000000002</v>
      </c>
      <c r="I2026">
        <v>105.86</v>
      </c>
      <c r="J2026">
        <v>2.85</v>
      </c>
      <c r="K2026">
        <v>99</v>
      </c>
      <c r="L2026">
        <v>99.179280000000006</v>
      </c>
      <c r="M2026">
        <v>98</v>
      </c>
      <c r="N2026">
        <v>2.1384601999999999</v>
      </c>
      <c r="O2026">
        <v>10000</v>
      </c>
      <c r="P2026">
        <v>6.298785927</v>
      </c>
      <c r="Q2026">
        <v>7243.4568010000003</v>
      </c>
      <c r="R2026">
        <v>5.59</v>
      </c>
      <c r="S2026">
        <v>329847</v>
      </c>
      <c r="T2026">
        <v>4.2104840000000001</v>
      </c>
      <c r="U2026">
        <v>101.97576599999999</v>
      </c>
    </row>
    <row r="2027" spans="1:21">
      <c r="A2027" t="s">
        <v>118</v>
      </c>
      <c r="B2027">
        <v>2008</v>
      </c>
      <c r="C2027">
        <v>33712.133000000002</v>
      </c>
      <c r="D2027">
        <v>202910.0037</v>
      </c>
      <c r="E2027">
        <v>105.01</v>
      </c>
      <c r="G2027">
        <v>8.61</v>
      </c>
      <c r="H2027">
        <v>7.5778904000000002</v>
      </c>
      <c r="I2027">
        <v>104.09</v>
      </c>
      <c r="J2027">
        <v>3.04</v>
      </c>
      <c r="K2027">
        <v>99</v>
      </c>
      <c r="L2027">
        <v>99.198363999999998</v>
      </c>
      <c r="M2027">
        <v>98</v>
      </c>
      <c r="N2027">
        <v>2.6245639999999999</v>
      </c>
      <c r="P2027">
        <v>4.8317698890000003</v>
      </c>
      <c r="Q2027">
        <v>8474.5877619999992</v>
      </c>
      <c r="R2027">
        <v>5.65</v>
      </c>
      <c r="S2027">
        <v>329847</v>
      </c>
      <c r="T2027">
        <v>4.2104840000000001</v>
      </c>
      <c r="U2027">
        <v>101.97576599999999</v>
      </c>
    </row>
    <row r="2028" spans="1:21">
      <c r="A2028" t="s">
        <v>118</v>
      </c>
      <c r="B2028">
        <v>2009</v>
      </c>
      <c r="C2028">
        <v>32003.473000000002</v>
      </c>
      <c r="D2028">
        <v>181929.9927</v>
      </c>
      <c r="E2028">
        <v>107.66</v>
      </c>
      <c r="G2028">
        <v>8.2799999999999994</v>
      </c>
      <c r="H2028">
        <v>7.1416250000000003</v>
      </c>
      <c r="I2028">
        <v>102.42</v>
      </c>
      <c r="J2028">
        <v>2.27</v>
      </c>
      <c r="K2028">
        <v>99</v>
      </c>
      <c r="L2028">
        <v>99.3</v>
      </c>
      <c r="M2028">
        <v>97.7</v>
      </c>
      <c r="N2028">
        <v>2.6226810999999999</v>
      </c>
      <c r="O2028">
        <v>30000</v>
      </c>
      <c r="P2028">
        <v>-1.5135287159999999</v>
      </c>
      <c r="Q2028">
        <v>7292.4949729999998</v>
      </c>
      <c r="R2028">
        <v>5.42</v>
      </c>
      <c r="S2028">
        <v>329847</v>
      </c>
      <c r="T2028">
        <v>4.2104840000000001</v>
      </c>
      <c r="U2028">
        <v>101.97576599999999</v>
      </c>
    </row>
    <row r="2029" spans="1:21">
      <c r="A2029" t="s">
        <v>118</v>
      </c>
      <c r="B2029">
        <v>2010</v>
      </c>
      <c r="C2029">
        <v>32487.745999999999</v>
      </c>
      <c r="D2029">
        <v>200220.0012</v>
      </c>
      <c r="E2029">
        <v>117.16</v>
      </c>
      <c r="G2029">
        <v>7.62</v>
      </c>
      <c r="H2029">
        <v>6.1067479999999996</v>
      </c>
      <c r="I2029">
        <v>99.15</v>
      </c>
      <c r="J2029">
        <v>1.96</v>
      </c>
      <c r="K2029">
        <v>99</v>
      </c>
      <c r="L2029">
        <v>99.374054000000001</v>
      </c>
      <c r="M2029">
        <v>97.7</v>
      </c>
      <c r="N2029">
        <v>2.3254187000000002</v>
      </c>
      <c r="O2029">
        <v>140000</v>
      </c>
      <c r="P2029">
        <v>7.4248473830000004</v>
      </c>
      <c r="Q2029">
        <v>9040.5684949999995</v>
      </c>
      <c r="R2029">
        <v>5.24</v>
      </c>
      <c r="S2029">
        <v>329847</v>
      </c>
      <c r="T2029">
        <v>4.2104840000000001</v>
      </c>
      <c r="U2029">
        <v>101.97576599999999</v>
      </c>
    </row>
    <row r="2030" spans="1:21">
      <c r="A2030" t="s">
        <v>118</v>
      </c>
      <c r="B2030">
        <v>2011</v>
      </c>
      <c r="C2030">
        <v>32524.594000000001</v>
      </c>
      <c r="D2030">
        <v>202740.0055</v>
      </c>
      <c r="E2030">
        <v>117.43</v>
      </c>
      <c r="G2030">
        <v>9.6</v>
      </c>
      <c r="H2030">
        <v>7.5572704999999996</v>
      </c>
      <c r="I2030">
        <v>135.94999999999999</v>
      </c>
      <c r="J2030">
        <v>2.16</v>
      </c>
      <c r="K2030">
        <v>99</v>
      </c>
      <c r="L2030">
        <v>99.465469999999996</v>
      </c>
      <c r="M2030">
        <v>97.6</v>
      </c>
      <c r="N2030">
        <v>2.8593704999999998</v>
      </c>
      <c r="O2030">
        <v>60000</v>
      </c>
      <c r="P2030">
        <v>5.2939128340000003</v>
      </c>
      <c r="Q2030">
        <v>10399.370209999999</v>
      </c>
      <c r="R2030">
        <v>5.19</v>
      </c>
      <c r="S2030">
        <v>329847</v>
      </c>
      <c r="T2030">
        <v>4.2104840000000001</v>
      </c>
      <c r="U2030">
        <v>101.97576599999999</v>
      </c>
    </row>
    <row r="2031" spans="1:21">
      <c r="A2031" t="s">
        <v>118</v>
      </c>
      <c r="B2031">
        <v>2012</v>
      </c>
      <c r="C2031">
        <v>35010.120000000003</v>
      </c>
      <c r="D2031">
        <v>205809.9976</v>
      </c>
      <c r="E2031">
        <v>123.23</v>
      </c>
      <c r="G2031">
        <v>10.76</v>
      </c>
      <c r="H2031">
        <v>8.0304500000000001</v>
      </c>
      <c r="I2031">
        <v>145.91</v>
      </c>
      <c r="J2031">
        <v>2.52</v>
      </c>
      <c r="K2031">
        <v>99</v>
      </c>
      <c r="L2031">
        <v>99.8</v>
      </c>
      <c r="M2031">
        <v>97.4</v>
      </c>
      <c r="N2031">
        <v>2.9071403</v>
      </c>
      <c r="O2031">
        <v>4000000</v>
      </c>
      <c r="P2031">
        <v>5.4734541930000002</v>
      </c>
      <c r="Q2031">
        <v>10817.431710000001</v>
      </c>
      <c r="R2031">
        <v>4.99</v>
      </c>
      <c r="S2031">
        <v>329847</v>
      </c>
      <c r="T2031">
        <v>4.2104840000000001</v>
      </c>
      <c r="U2031">
        <v>101.97576599999999</v>
      </c>
    </row>
    <row r="2032" spans="1:21">
      <c r="A2032" t="s">
        <v>118</v>
      </c>
      <c r="B2032">
        <v>2013</v>
      </c>
      <c r="C2032">
        <v>36062.542999999998</v>
      </c>
      <c r="D2032">
        <v>223660.0037</v>
      </c>
      <c r="E2032">
        <v>127.86</v>
      </c>
      <c r="G2032">
        <v>13.04</v>
      </c>
      <c r="H2032">
        <v>9.2547910000000009</v>
      </c>
      <c r="I2032">
        <v>192.63</v>
      </c>
      <c r="J2032">
        <v>2.75</v>
      </c>
      <c r="K2032">
        <v>99</v>
      </c>
      <c r="L2032">
        <v>99.60445</v>
      </c>
      <c r="M2032">
        <v>97.2</v>
      </c>
      <c r="N2032">
        <v>3.3195534000000002</v>
      </c>
      <c r="O2032">
        <v>70000</v>
      </c>
      <c r="P2032">
        <v>4.6937225260000002</v>
      </c>
      <c r="Q2032">
        <v>10970.104300000001</v>
      </c>
      <c r="R2032">
        <v>5.38</v>
      </c>
      <c r="S2032">
        <v>329847</v>
      </c>
      <c r="T2032">
        <v>4.2104840000000001</v>
      </c>
      <c r="U2032">
        <v>101.97576599999999</v>
      </c>
    </row>
    <row r="2033" spans="1:21">
      <c r="A2033" t="s">
        <v>118</v>
      </c>
      <c r="B2033">
        <v>2014</v>
      </c>
      <c r="C2033">
        <v>35862.222999999998</v>
      </c>
      <c r="D2033">
        <v>236649.9939</v>
      </c>
      <c r="E2033">
        <v>133.16</v>
      </c>
      <c r="G2033">
        <v>14.31</v>
      </c>
      <c r="H2033">
        <v>9.7036689999999997</v>
      </c>
      <c r="I2033">
        <v>212.85</v>
      </c>
      <c r="J2033">
        <v>3.03</v>
      </c>
      <c r="K2033">
        <v>99</v>
      </c>
      <c r="L2033">
        <v>99.650940000000006</v>
      </c>
      <c r="M2033">
        <v>97.1</v>
      </c>
      <c r="N2033">
        <v>3.5630174000000001</v>
      </c>
      <c r="O2033">
        <v>160000</v>
      </c>
      <c r="P2033">
        <v>6.0067219459999999</v>
      </c>
      <c r="Q2033">
        <v>11319.06194</v>
      </c>
      <c r="R2033">
        <v>5.18</v>
      </c>
      <c r="S2033">
        <v>329847</v>
      </c>
      <c r="T2033">
        <v>4.2104840000000001</v>
      </c>
      <c r="U2033">
        <v>101.97576599999999</v>
      </c>
    </row>
    <row r="2034" spans="1:21">
      <c r="A2034" t="s">
        <v>118</v>
      </c>
      <c r="B2034">
        <v>2015</v>
      </c>
      <c r="C2034">
        <v>35878.008000000002</v>
      </c>
      <c r="D2034">
        <v>236539.9933</v>
      </c>
      <c r="E2034">
        <v>135.16999999999999</v>
      </c>
      <c r="G2034">
        <v>14.94</v>
      </c>
      <c r="H2034">
        <v>9.9527020000000004</v>
      </c>
      <c r="I2034">
        <v>249.45</v>
      </c>
      <c r="J2034">
        <v>3.41</v>
      </c>
      <c r="K2034">
        <v>99</v>
      </c>
      <c r="L2034">
        <v>99.778819999999996</v>
      </c>
      <c r="M2034">
        <v>96.8</v>
      </c>
      <c r="N2034">
        <v>3.6460347</v>
      </c>
      <c r="O2034">
        <v>170000</v>
      </c>
      <c r="P2034">
        <v>5.0915324220000002</v>
      </c>
      <c r="Q2034">
        <v>9955.2427220000009</v>
      </c>
      <c r="R2034">
        <v>4.72</v>
      </c>
      <c r="S2034">
        <v>329847</v>
      </c>
      <c r="T2034">
        <v>4.2104840000000001</v>
      </c>
      <c r="U2034">
        <v>101.97576599999999</v>
      </c>
    </row>
    <row r="2035" spans="1:21">
      <c r="A2035" t="s">
        <v>118</v>
      </c>
      <c r="B2035">
        <v>2016</v>
      </c>
      <c r="C2035">
        <v>37199.58</v>
      </c>
      <c r="D2035">
        <v>235960.0067</v>
      </c>
      <c r="E2035">
        <v>135.56</v>
      </c>
      <c r="G2035">
        <v>21.09</v>
      </c>
      <c r="H2035">
        <v>13.463134999999999</v>
      </c>
      <c r="I2035">
        <v>259.33</v>
      </c>
      <c r="J2035">
        <v>4.43</v>
      </c>
      <c r="K2035">
        <v>99</v>
      </c>
      <c r="L2035">
        <v>99.9</v>
      </c>
      <c r="M2035">
        <v>96.6</v>
      </c>
      <c r="N2035">
        <v>4.8482789999999998</v>
      </c>
      <c r="O2035">
        <v>1290000</v>
      </c>
      <c r="P2035">
        <v>4.4497813979999998</v>
      </c>
      <c r="Q2035">
        <v>9817.7870899999998</v>
      </c>
      <c r="R2035">
        <v>4.6900000000000004</v>
      </c>
      <c r="S2035">
        <v>329847</v>
      </c>
      <c r="T2035">
        <v>4.2104840000000001</v>
      </c>
      <c r="U2035">
        <v>101.97576599999999</v>
      </c>
    </row>
    <row r="2036" spans="1:21">
      <c r="A2036" t="s">
        <v>118</v>
      </c>
      <c r="B2036">
        <v>2017</v>
      </c>
      <c r="C2036">
        <v>37162.887000000002</v>
      </c>
      <c r="D2036">
        <v>227619.9951</v>
      </c>
      <c r="E2036">
        <v>132.69999999999999</v>
      </c>
      <c r="G2036">
        <v>27.94</v>
      </c>
      <c r="H2036">
        <v>17.39293</v>
      </c>
      <c r="I2036">
        <v>235.74</v>
      </c>
      <c r="J2036">
        <v>5.22</v>
      </c>
      <c r="K2036">
        <v>99</v>
      </c>
      <c r="L2036">
        <v>99.952483999999998</v>
      </c>
      <c r="M2036">
        <v>96.5</v>
      </c>
      <c r="N2036">
        <v>6.2915109999999999</v>
      </c>
      <c r="O2036">
        <v>50000</v>
      </c>
      <c r="P2036">
        <v>5.8127224100000001</v>
      </c>
      <c r="Q2036">
        <v>10259.30481</v>
      </c>
      <c r="R2036">
        <v>4.28</v>
      </c>
      <c r="S2036">
        <v>329847</v>
      </c>
      <c r="T2036">
        <v>4.2104840000000001</v>
      </c>
      <c r="U2036">
        <v>101.97576599999999</v>
      </c>
    </row>
    <row r="2037" spans="1:21">
      <c r="A2037" t="s">
        <v>118</v>
      </c>
      <c r="B2037">
        <v>2018</v>
      </c>
      <c r="C2037">
        <v>37333.03</v>
      </c>
      <c r="D2037">
        <v>244410.0037</v>
      </c>
      <c r="E2037">
        <v>142.27000000000001</v>
      </c>
      <c r="G2037">
        <v>28.31</v>
      </c>
      <c r="H2037">
        <v>16.596319999999999</v>
      </c>
      <c r="I2037">
        <v>239.17</v>
      </c>
      <c r="J2037">
        <v>5.31</v>
      </c>
      <c r="K2037">
        <v>99</v>
      </c>
      <c r="L2037">
        <v>99.992239999999995</v>
      </c>
      <c r="M2037">
        <v>96.1</v>
      </c>
      <c r="N2037">
        <v>6.2534175000000003</v>
      </c>
      <c r="O2037">
        <v>60000</v>
      </c>
      <c r="P2037">
        <v>4.8430566099999997</v>
      </c>
      <c r="Q2037">
        <v>11380.08209</v>
      </c>
      <c r="R2037">
        <v>4.5</v>
      </c>
      <c r="S2037">
        <v>329847</v>
      </c>
      <c r="T2037">
        <v>4.2104840000000001</v>
      </c>
      <c r="U2037">
        <v>101.97576599999999</v>
      </c>
    </row>
    <row r="2038" spans="1:21">
      <c r="A2038" t="s">
        <v>118</v>
      </c>
      <c r="B2038">
        <v>2019</v>
      </c>
      <c r="C2038">
        <v>37823.5</v>
      </c>
      <c r="D2038">
        <v>253270.0043</v>
      </c>
      <c r="E2038">
        <v>149.69999999999999</v>
      </c>
      <c r="G2038">
        <v>28.76</v>
      </c>
      <c r="H2038">
        <v>16.115656000000001</v>
      </c>
      <c r="I2038">
        <v>251.85</v>
      </c>
      <c r="J2038">
        <v>5.1100000000000003</v>
      </c>
      <c r="K2038">
        <v>99</v>
      </c>
      <c r="L2038">
        <v>100</v>
      </c>
      <c r="M2038">
        <v>95.8</v>
      </c>
      <c r="N2038">
        <v>6.1784086</v>
      </c>
      <c r="O2038">
        <v>20000</v>
      </c>
      <c r="P2038">
        <v>4.439471288</v>
      </c>
      <c r="Q2038">
        <v>11432.823</v>
      </c>
      <c r="R2038">
        <v>4.25</v>
      </c>
      <c r="S2038">
        <v>329847</v>
      </c>
      <c r="T2038">
        <v>4.2104840000000001</v>
      </c>
      <c r="U2038">
        <v>101.97576599999999</v>
      </c>
    </row>
    <row r="2039" spans="1:21">
      <c r="A2039" t="s">
        <v>118</v>
      </c>
      <c r="B2039">
        <v>2020</v>
      </c>
      <c r="C2039">
        <v>35997.362999999998</v>
      </c>
      <c r="E2039">
        <v>138.77000000000001</v>
      </c>
      <c r="G2039">
        <v>30.54</v>
      </c>
      <c r="H2039">
        <v>18.037918000000001</v>
      </c>
      <c r="I2039">
        <v>268.76</v>
      </c>
      <c r="K2039">
        <v>99</v>
      </c>
      <c r="L2039">
        <v>100</v>
      </c>
      <c r="M2039">
        <v>95.5</v>
      </c>
      <c r="N2039">
        <v>7.1631722</v>
      </c>
      <c r="P2039">
        <v>-5.6469448360000003</v>
      </c>
      <c r="Q2039">
        <v>10412.348980000001</v>
      </c>
      <c r="S2039">
        <v>329847</v>
      </c>
      <c r="T2039">
        <v>4.2104840000000001</v>
      </c>
      <c r="U2039">
        <v>101.97576599999999</v>
      </c>
    </row>
    <row r="2040" spans="1:21">
      <c r="A2040" t="s">
        <v>119</v>
      </c>
      <c r="B2040">
        <v>2000</v>
      </c>
      <c r="C2040">
        <v>10129.736000000001</v>
      </c>
      <c r="D2040">
        <v>460</v>
      </c>
      <c r="E2040">
        <v>0.1</v>
      </c>
      <c r="F2040">
        <v>0</v>
      </c>
      <c r="G2040">
        <v>0</v>
      </c>
      <c r="H2040">
        <v>0</v>
      </c>
      <c r="I2040">
        <v>0</v>
      </c>
      <c r="J2040">
        <v>2.34</v>
      </c>
      <c r="K2040">
        <v>1802</v>
      </c>
      <c r="L2040">
        <v>83.8</v>
      </c>
      <c r="M2040">
        <v>53.1</v>
      </c>
      <c r="O2040">
        <v>4770000</v>
      </c>
      <c r="P2040">
        <v>3.8458103920000002</v>
      </c>
      <c r="Q2040">
        <v>2234.5958609999998</v>
      </c>
      <c r="R2040">
        <v>1.74</v>
      </c>
      <c r="S2040">
        <v>298</v>
      </c>
      <c r="T2040">
        <v>3.2027779999999999</v>
      </c>
      <c r="U2040">
        <v>73.220680000000002</v>
      </c>
    </row>
    <row r="2041" spans="1:21">
      <c r="A2041" t="s">
        <v>119</v>
      </c>
      <c r="B2041">
        <v>2001</v>
      </c>
      <c r="C2041">
        <v>8351.5830000000005</v>
      </c>
      <c r="D2041">
        <v>480</v>
      </c>
      <c r="E2041">
        <v>0.11</v>
      </c>
      <c r="F2041">
        <v>0</v>
      </c>
      <c r="G2041">
        <v>0</v>
      </c>
      <c r="H2041">
        <v>0</v>
      </c>
      <c r="I2041">
        <v>0</v>
      </c>
      <c r="J2041">
        <v>2.2599999999999998</v>
      </c>
      <c r="K2041">
        <v>1802</v>
      </c>
      <c r="L2041">
        <v>87.486289999999997</v>
      </c>
      <c r="M2041">
        <v>58.6</v>
      </c>
      <c r="P2041">
        <v>-3.9436343539999998</v>
      </c>
      <c r="Q2041">
        <v>3038.7814170000001</v>
      </c>
      <c r="R2041">
        <v>1.85</v>
      </c>
      <c r="S2041">
        <v>298</v>
      </c>
      <c r="T2041">
        <v>3.2027779999999999</v>
      </c>
      <c r="U2041">
        <v>73.220680000000002</v>
      </c>
    </row>
    <row r="2042" spans="1:21">
      <c r="A2042" t="s">
        <v>119</v>
      </c>
      <c r="B2042">
        <v>2002</v>
      </c>
      <c r="C2042">
        <v>9816.1730000000007</v>
      </c>
      <c r="D2042">
        <v>620.00000480000006</v>
      </c>
      <c r="E2042">
        <v>0.12</v>
      </c>
      <c r="F2042">
        <v>0</v>
      </c>
      <c r="G2042">
        <v>0</v>
      </c>
      <c r="H2042">
        <v>0</v>
      </c>
      <c r="I2042">
        <v>0</v>
      </c>
      <c r="J2042">
        <v>1.78</v>
      </c>
      <c r="K2042">
        <v>1802</v>
      </c>
      <c r="L2042">
        <v>88.357500000000002</v>
      </c>
      <c r="M2042">
        <v>63.7</v>
      </c>
      <c r="P2042">
        <v>7.2683863129999997</v>
      </c>
      <c r="Q2042">
        <v>3049.207981</v>
      </c>
      <c r="R2042">
        <v>2.2000000000000002</v>
      </c>
      <c r="S2042">
        <v>298</v>
      </c>
      <c r="T2042">
        <v>3.2027779999999999</v>
      </c>
      <c r="U2042">
        <v>73.220680000000002</v>
      </c>
    </row>
    <row r="2043" spans="1:21">
      <c r="A2043" t="s">
        <v>119</v>
      </c>
      <c r="B2043">
        <v>2003</v>
      </c>
      <c r="C2043">
        <v>8392.2049999999999</v>
      </c>
      <c r="D2043">
        <v>529.99997140000005</v>
      </c>
      <c r="E2043">
        <v>0.13</v>
      </c>
      <c r="F2043">
        <v>0</v>
      </c>
      <c r="G2043">
        <v>0</v>
      </c>
      <c r="H2043">
        <v>0</v>
      </c>
      <c r="I2043">
        <v>0</v>
      </c>
      <c r="J2043">
        <v>2.2200000000000002</v>
      </c>
      <c r="K2043">
        <v>1802</v>
      </c>
      <c r="L2043">
        <v>89.223465000000004</v>
      </c>
      <c r="M2043">
        <v>68.900000000000006</v>
      </c>
      <c r="P2043">
        <v>13.750049819999999</v>
      </c>
      <c r="Q2043">
        <v>3476.006273</v>
      </c>
      <c r="R2043">
        <v>1.66</v>
      </c>
      <c r="S2043">
        <v>298</v>
      </c>
      <c r="T2043">
        <v>3.2027779999999999</v>
      </c>
      <c r="U2043">
        <v>73.220680000000002</v>
      </c>
    </row>
    <row r="2044" spans="1:21">
      <c r="A2044" t="s">
        <v>119</v>
      </c>
      <c r="B2044">
        <v>2004</v>
      </c>
      <c r="C2044">
        <v>10799.323</v>
      </c>
      <c r="D2044">
        <v>750</v>
      </c>
      <c r="E2044">
        <v>0.15</v>
      </c>
      <c r="F2044">
        <v>0</v>
      </c>
      <c r="G2044">
        <v>0</v>
      </c>
      <c r="H2044">
        <v>0</v>
      </c>
      <c r="I2044">
        <v>0</v>
      </c>
      <c r="J2044">
        <v>1.67</v>
      </c>
      <c r="K2044">
        <v>1802</v>
      </c>
      <c r="L2044">
        <v>90.086550000000003</v>
      </c>
      <c r="M2044">
        <v>74</v>
      </c>
      <c r="P2044">
        <v>6.0337540489999997</v>
      </c>
      <c r="Q2044">
        <v>3941.4311360000002</v>
      </c>
      <c r="R2044">
        <v>2.0699999999999998</v>
      </c>
      <c r="S2044">
        <v>298</v>
      </c>
      <c r="T2044">
        <v>3.2027779999999999</v>
      </c>
      <c r="U2044">
        <v>73.220680000000002</v>
      </c>
    </row>
    <row r="2045" spans="1:21">
      <c r="A2045" t="s">
        <v>119</v>
      </c>
      <c r="B2045">
        <v>2005</v>
      </c>
      <c r="C2045">
        <v>9621.8240000000005</v>
      </c>
      <c r="D2045">
        <v>720.00002859999995</v>
      </c>
      <c r="E2045">
        <v>0.17</v>
      </c>
      <c r="F2045">
        <v>0</v>
      </c>
      <c r="G2045">
        <v>0</v>
      </c>
      <c r="H2045">
        <v>0</v>
      </c>
      <c r="I2045">
        <v>0.04</v>
      </c>
      <c r="J2045">
        <v>1.95</v>
      </c>
      <c r="K2045">
        <v>1802</v>
      </c>
      <c r="L2045">
        <v>90.949089999999998</v>
      </c>
      <c r="M2045">
        <v>78.7</v>
      </c>
      <c r="P2045">
        <v>-13.129053430000001</v>
      </c>
      <c r="Q2045">
        <v>3640.0121319999998</v>
      </c>
      <c r="R2045">
        <v>2.16</v>
      </c>
      <c r="S2045">
        <v>298</v>
      </c>
      <c r="T2045">
        <v>3.2027779999999999</v>
      </c>
      <c r="U2045">
        <v>73.220680000000002</v>
      </c>
    </row>
    <row r="2046" spans="1:21">
      <c r="A2046" t="s">
        <v>119</v>
      </c>
      <c r="B2046">
        <v>2006</v>
      </c>
      <c r="C2046">
        <v>11906.825999999999</v>
      </c>
      <c r="D2046">
        <v>870.00000480000006</v>
      </c>
      <c r="E2046">
        <v>0.2</v>
      </c>
      <c r="F2046">
        <v>0</v>
      </c>
      <c r="G2046">
        <v>0</v>
      </c>
      <c r="H2046">
        <v>0</v>
      </c>
      <c r="I2046">
        <v>0.19</v>
      </c>
      <c r="J2046">
        <v>1.59</v>
      </c>
      <c r="K2046">
        <v>1802</v>
      </c>
      <c r="L2046">
        <v>91.813509999999994</v>
      </c>
      <c r="M2046">
        <v>82.9</v>
      </c>
      <c r="P2046">
        <v>26.111493500000002</v>
      </c>
      <c r="Q2046">
        <v>4809.9337400000004</v>
      </c>
      <c r="R2046">
        <v>2.16</v>
      </c>
      <c r="S2046">
        <v>298</v>
      </c>
      <c r="T2046">
        <v>3.2027779999999999</v>
      </c>
      <c r="U2046">
        <v>73.220680000000002</v>
      </c>
    </row>
    <row r="2047" spans="1:21">
      <c r="A2047" t="s">
        <v>119</v>
      </c>
      <c r="B2047">
        <v>2007</v>
      </c>
      <c r="C2047">
        <v>11930.126</v>
      </c>
      <c r="D2047">
        <v>870.00000480000006</v>
      </c>
      <c r="E2047">
        <v>0.23</v>
      </c>
      <c r="F2047">
        <v>0</v>
      </c>
      <c r="G2047">
        <v>0</v>
      </c>
      <c r="H2047">
        <v>0</v>
      </c>
      <c r="I2047">
        <v>0.26</v>
      </c>
      <c r="J2047">
        <v>1.52</v>
      </c>
      <c r="K2047">
        <v>1802</v>
      </c>
      <c r="L2047">
        <v>92.682450000000003</v>
      </c>
      <c r="M2047">
        <v>86.15</v>
      </c>
      <c r="P2047">
        <v>7.7138672709999998</v>
      </c>
      <c r="Q2047">
        <v>5574.401981</v>
      </c>
      <c r="R2047">
        <v>2.06</v>
      </c>
      <c r="S2047">
        <v>298</v>
      </c>
      <c r="T2047">
        <v>3.2027779999999999</v>
      </c>
      <c r="U2047">
        <v>73.220680000000002</v>
      </c>
    </row>
    <row r="2048" spans="1:21">
      <c r="A2048" t="s">
        <v>119</v>
      </c>
      <c r="B2048">
        <v>2008</v>
      </c>
      <c r="C2048">
        <v>12517.4</v>
      </c>
      <c r="D2048">
        <v>870.00000480000006</v>
      </c>
      <c r="E2048">
        <v>0.26</v>
      </c>
      <c r="F2048">
        <v>0</v>
      </c>
      <c r="G2048">
        <v>0</v>
      </c>
      <c r="H2048">
        <v>0</v>
      </c>
      <c r="I2048">
        <v>4.3600000000000003</v>
      </c>
      <c r="J2048">
        <v>1.53</v>
      </c>
      <c r="K2048">
        <v>1802</v>
      </c>
      <c r="L2048">
        <v>93.558623999999995</v>
      </c>
      <c r="M2048">
        <v>89</v>
      </c>
      <c r="O2048">
        <v>110000</v>
      </c>
      <c r="P2048">
        <v>9.4853326609999993</v>
      </c>
      <c r="Q2048">
        <v>6614.2361799999999</v>
      </c>
      <c r="R2048">
        <v>2.02</v>
      </c>
      <c r="S2048">
        <v>298</v>
      </c>
      <c r="T2048">
        <v>3.2027779999999999</v>
      </c>
      <c r="U2048">
        <v>73.220680000000002</v>
      </c>
    </row>
    <row r="2049" spans="1:21">
      <c r="A2049" t="s">
        <v>119</v>
      </c>
      <c r="B2049">
        <v>2009</v>
      </c>
      <c r="C2049">
        <v>12835.753000000001</v>
      </c>
      <c r="D2049">
        <v>910.00002619999998</v>
      </c>
      <c r="E2049">
        <v>0.28000000000000003</v>
      </c>
      <c r="F2049">
        <v>0</v>
      </c>
      <c r="G2049">
        <v>0</v>
      </c>
      <c r="H2049">
        <v>0</v>
      </c>
      <c r="I2049">
        <v>4.63</v>
      </c>
      <c r="J2049">
        <v>1.49</v>
      </c>
      <c r="K2049">
        <v>1802</v>
      </c>
      <c r="L2049">
        <v>99.9</v>
      </c>
      <c r="M2049">
        <v>91.25</v>
      </c>
      <c r="O2049">
        <v>450000</v>
      </c>
      <c r="P2049">
        <v>-7.2288414650000004</v>
      </c>
      <c r="Q2049">
        <v>6636.5438709999999</v>
      </c>
      <c r="R2049">
        <v>2.29</v>
      </c>
      <c r="S2049">
        <v>298</v>
      </c>
      <c r="T2049">
        <v>3.2027779999999999</v>
      </c>
      <c r="U2049">
        <v>73.220680000000002</v>
      </c>
    </row>
    <row r="2050" spans="1:21">
      <c r="A2050" t="s">
        <v>119</v>
      </c>
      <c r="B2050">
        <v>2010</v>
      </c>
      <c r="C2050">
        <v>12524.812</v>
      </c>
      <c r="D2050">
        <v>959.9999785</v>
      </c>
      <c r="E2050">
        <v>0.34</v>
      </c>
      <c r="F2050">
        <v>0</v>
      </c>
      <c r="G2050">
        <v>0</v>
      </c>
      <c r="H2050">
        <v>0</v>
      </c>
      <c r="I2050">
        <v>4.53</v>
      </c>
      <c r="J2050">
        <v>1.36</v>
      </c>
      <c r="K2050">
        <v>1802</v>
      </c>
      <c r="L2050">
        <v>99.156859999999995</v>
      </c>
      <c r="M2050">
        <v>93.3</v>
      </c>
      <c r="O2050">
        <v>9710000</v>
      </c>
      <c r="P2050">
        <v>7.2651290680000002</v>
      </c>
      <c r="Q2050">
        <v>7076.7398210000001</v>
      </c>
      <c r="R2050">
        <v>2.25</v>
      </c>
      <c r="S2050">
        <v>298</v>
      </c>
      <c r="T2050">
        <v>3.2027779999999999</v>
      </c>
      <c r="U2050">
        <v>73.220680000000002</v>
      </c>
    </row>
    <row r="2051" spans="1:21">
      <c r="A2051" t="s">
        <v>119</v>
      </c>
      <c r="B2051">
        <v>2011</v>
      </c>
      <c r="C2051">
        <v>13070.632</v>
      </c>
      <c r="D2051">
        <v>1009.99999</v>
      </c>
      <c r="E2051">
        <v>0.36</v>
      </c>
      <c r="F2051">
        <v>0</v>
      </c>
      <c r="G2051">
        <v>0</v>
      </c>
      <c r="H2051">
        <v>0</v>
      </c>
      <c r="I2051">
        <v>4.41</v>
      </c>
      <c r="J2051">
        <v>1.34</v>
      </c>
      <c r="K2051">
        <v>1802</v>
      </c>
      <c r="L2051">
        <v>99.277249999999995</v>
      </c>
      <c r="M2051">
        <v>94.8</v>
      </c>
      <c r="O2051">
        <v>10000</v>
      </c>
      <c r="P2051">
        <v>8.5667335310000006</v>
      </c>
      <c r="Q2051">
        <v>7291.4659670000001</v>
      </c>
      <c r="R2051">
        <v>2.19</v>
      </c>
      <c r="S2051">
        <v>298</v>
      </c>
      <c r="T2051">
        <v>3.2027779999999999</v>
      </c>
      <c r="U2051">
        <v>73.220680000000002</v>
      </c>
    </row>
    <row r="2052" spans="1:21">
      <c r="A2052" t="s">
        <v>119</v>
      </c>
      <c r="B2052">
        <v>2012</v>
      </c>
      <c r="C2052">
        <v>16088.852999999999</v>
      </c>
      <c r="D2052">
        <v>1139.999986</v>
      </c>
      <c r="E2052">
        <v>0.39</v>
      </c>
      <c r="F2052">
        <v>0</v>
      </c>
      <c r="G2052">
        <v>0</v>
      </c>
      <c r="H2052">
        <v>0</v>
      </c>
      <c r="I2052">
        <v>7.09</v>
      </c>
      <c r="J2052">
        <v>1.2</v>
      </c>
      <c r="K2052">
        <v>1802</v>
      </c>
      <c r="L2052">
        <v>99.386669999999995</v>
      </c>
      <c r="M2052">
        <v>95.9</v>
      </c>
      <c r="O2052">
        <v>30000</v>
      </c>
      <c r="P2052">
        <v>2.5173839419999999</v>
      </c>
      <c r="Q2052">
        <v>7265.7233990000004</v>
      </c>
      <c r="R2052">
        <v>2.4</v>
      </c>
      <c r="S2052">
        <v>298</v>
      </c>
      <c r="T2052">
        <v>3.2027779999999999</v>
      </c>
      <c r="U2052">
        <v>73.220680000000002</v>
      </c>
    </row>
    <row r="2053" spans="1:21">
      <c r="A2053" t="s">
        <v>119</v>
      </c>
      <c r="B2053">
        <v>2013</v>
      </c>
      <c r="C2053">
        <v>16413.824000000001</v>
      </c>
      <c r="D2053">
        <v>1129.9999949999999</v>
      </c>
      <c r="E2053">
        <v>0.4</v>
      </c>
      <c r="F2053">
        <v>0</v>
      </c>
      <c r="G2053">
        <v>0</v>
      </c>
      <c r="H2053">
        <v>0</v>
      </c>
      <c r="I2053">
        <v>7.81</v>
      </c>
      <c r="J2053">
        <v>1.26</v>
      </c>
      <c r="K2053">
        <v>1802</v>
      </c>
      <c r="L2053">
        <v>99.474170000000001</v>
      </c>
      <c r="M2053">
        <v>96.6</v>
      </c>
      <c r="P2053">
        <v>7.2810739790000003</v>
      </c>
      <c r="Q2053">
        <v>7928.4764429999996</v>
      </c>
      <c r="R2053">
        <v>2.21</v>
      </c>
      <c r="S2053">
        <v>298</v>
      </c>
      <c r="T2053">
        <v>3.2027779999999999</v>
      </c>
      <c r="U2053">
        <v>73.220680000000002</v>
      </c>
    </row>
    <row r="2054" spans="1:21">
      <c r="A2054" t="s">
        <v>119</v>
      </c>
      <c r="B2054">
        <v>2014</v>
      </c>
      <c r="C2054">
        <v>21157.405999999999</v>
      </c>
      <c r="D2054">
        <v>1370.0000050000001</v>
      </c>
      <c r="E2054">
        <v>0.5</v>
      </c>
      <c r="F2054">
        <v>0</v>
      </c>
      <c r="G2054">
        <v>0.01</v>
      </c>
      <c r="H2054">
        <v>1.9607843</v>
      </c>
      <c r="I2054">
        <v>12.72</v>
      </c>
      <c r="J2054">
        <v>1.2</v>
      </c>
      <c r="K2054">
        <v>1802</v>
      </c>
      <c r="L2054">
        <v>100</v>
      </c>
      <c r="M2054">
        <v>97.3</v>
      </c>
      <c r="O2054">
        <v>42590000</v>
      </c>
      <c r="P2054">
        <v>7.3296262030000001</v>
      </c>
      <c r="Q2054">
        <v>8499.3071479999999</v>
      </c>
      <c r="R2054">
        <v>2.4700000000000002</v>
      </c>
      <c r="S2054">
        <v>298</v>
      </c>
      <c r="T2054">
        <v>3.2027779999999999</v>
      </c>
      <c r="U2054">
        <v>73.220680000000002</v>
      </c>
    </row>
    <row r="2055" spans="1:21">
      <c r="A2055" t="s">
        <v>119</v>
      </c>
      <c r="B2055">
        <v>2015</v>
      </c>
      <c r="C2055">
        <v>15149.076999999999</v>
      </c>
      <c r="D2055">
        <v>1370.0000050000001</v>
      </c>
      <c r="E2055">
        <v>0.56000000000000005</v>
      </c>
      <c r="F2055">
        <v>0</v>
      </c>
      <c r="G2055">
        <v>0.01</v>
      </c>
      <c r="H2055">
        <v>1.754386</v>
      </c>
      <c r="I2055">
        <v>12.2</v>
      </c>
      <c r="J2055">
        <v>1.38</v>
      </c>
      <c r="K2055">
        <v>1802</v>
      </c>
      <c r="L2055">
        <v>99.706474</v>
      </c>
      <c r="M2055">
        <v>97.9</v>
      </c>
      <c r="O2055">
        <v>6210000</v>
      </c>
      <c r="P2055">
        <v>2.88454853</v>
      </c>
      <c r="Q2055">
        <v>9033.4102700000003</v>
      </c>
      <c r="R2055">
        <v>2.4</v>
      </c>
      <c r="S2055">
        <v>298</v>
      </c>
      <c r="T2055">
        <v>3.2027779999999999</v>
      </c>
      <c r="U2055">
        <v>73.220680000000002</v>
      </c>
    </row>
    <row r="2056" spans="1:21">
      <c r="A2056" t="s">
        <v>119</v>
      </c>
      <c r="B2056">
        <v>2016</v>
      </c>
      <c r="C2056">
        <v>15410.745999999999</v>
      </c>
      <c r="D2056">
        <v>1759.99999</v>
      </c>
      <c r="E2056">
        <v>0.6</v>
      </c>
      <c r="F2056">
        <v>0</v>
      </c>
      <c r="G2056">
        <v>0.01</v>
      </c>
      <c r="H2056">
        <v>1.6393442</v>
      </c>
      <c r="I2056">
        <v>17.329999999999998</v>
      </c>
      <c r="J2056">
        <v>1.21</v>
      </c>
      <c r="K2056">
        <v>1802</v>
      </c>
      <c r="L2056">
        <v>100</v>
      </c>
      <c r="M2056">
        <v>98.3</v>
      </c>
      <c r="O2056">
        <v>10000</v>
      </c>
      <c r="P2056">
        <v>6.3383006359999996</v>
      </c>
      <c r="Q2056">
        <v>9209.4435639999992</v>
      </c>
      <c r="R2056">
        <v>2.4700000000000002</v>
      </c>
      <c r="S2056">
        <v>298</v>
      </c>
      <c r="T2056">
        <v>3.2027779999999999</v>
      </c>
      <c r="U2056">
        <v>73.220680000000002</v>
      </c>
    </row>
    <row r="2057" spans="1:21">
      <c r="A2057" t="s">
        <v>119</v>
      </c>
      <c r="B2057">
        <v>2017</v>
      </c>
      <c r="C2057">
        <v>15375.788</v>
      </c>
      <c r="D2057">
        <v>1860.000014</v>
      </c>
      <c r="E2057">
        <v>0.6</v>
      </c>
      <c r="F2057">
        <v>0</v>
      </c>
      <c r="G2057">
        <v>0.02</v>
      </c>
      <c r="H2057">
        <v>3.2258065</v>
      </c>
      <c r="I2057">
        <v>22.03</v>
      </c>
      <c r="J2057">
        <v>1.25</v>
      </c>
      <c r="K2057">
        <v>1802</v>
      </c>
      <c r="L2057">
        <v>99.8</v>
      </c>
      <c r="M2057">
        <v>98.6</v>
      </c>
      <c r="O2057">
        <v>20000</v>
      </c>
      <c r="P2057">
        <v>7.2099101230000002</v>
      </c>
      <c r="Q2057">
        <v>9577.3469459999997</v>
      </c>
      <c r="R2057">
        <v>2.42</v>
      </c>
      <c r="S2057">
        <v>298</v>
      </c>
      <c r="T2057">
        <v>3.2027779999999999</v>
      </c>
      <c r="U2057">
        <v>73.220680000000002</v>
      </c>
    </row>
    <row r="2058" spans="1:21">
      <c r="A2058" t="s">
        <v>119</v>
      </c>
      <c r="B2058">
        <v>2018</v>
      </c>
      <c r="C2058">
        <v>17020.91</v>
      </c>
      <c r="D2058">
        <v>2099.9999050000001</v>
      </c>
      <c r="E2058">
        <v>0.61</v>
      </c>
      <c r="F2058">
        <v>0</v>
      </c>
      <c r="G2058">
        <v>0.03</v>
      </c>
      <c r="H2058">
        <v>4.6875</v>
      </c>
      <c r="I2058">
        <v>21.21</v>
      </c>
      <c r="J2058">
        <v>1.1200000000000001</v>
      </c>
      <c r="K2058">
        <v>1802</v>
      </c>
      <c r="L2058">
        <v>100</v>
      </c>
      <c r="M2058">
        <v>98.8</v>
      </c>
      <c r="O2058">
        <v>5690000</v>
      </c>
      <c r="P2058">
        <v>8.123128908</v>
      </c>
      <c r="Q2058">
        <v>10279.07998</v>
      </c>
      <c r="R2058">
        <v>2.56</v>
      </c>
      <c r="S2058">
        <v>298</v>
      </c>
      <c r="T2058">
        <v>3.2027779999999999</v>
      </c>
      <c r="U2058">
        <v>73.220680000000002</v>
      </c>
    </row>
    <row r="2059" spans="1:21">
      <c r="A2059" t="s">
        <v>119</v>
      </c>
      <c r="B2059">
        <v>2019</v>
      </c>
      <c r="C2059">
        <v>18567.896000000001</v>
      </c>
      <c r="D2059">
        <v>2109.9998949999999</v>
      </c>
      <c r="E2059">
        <v>0.61</v>
      </c>
      <c r="F2059">
        <v>0</v>
      </c>
      <c r="G2059">
        <v>0.03</v>
      </c>
      <c r="H2059">
        <v>4.6875</v>
      </c>
      <c r="I2059">
        <v>27.89</v>
      </c>
      <c r="J2059">
        <v>1.1100000000000001</v>
      </c>
      <c r="K2059">
        <v>1802</v>
      </c>
      <c r="L2059">
        <v>100</v>
      </c>
      <c r="M2059">
        <v>99</v>
      </c>
      <c r="O2059">
        <v>4020000</v>
      </c>
      <c r="P2059">
        <v>6.8836888460000001</v>
      </c>
      <c r="Q2059">
        <v>10561.613509999999</v>
      </c>
      <c r="R2059">
        <v>2.69</v>
      </c>
      <c r="S2059">
        <v>298</v>
      </c>
      <c r="T2059">
        <v>3.2027779999999999</v>
      </c>
      <c r="U2059">
        <v>73.220680000000002</v>
      </c>
    </row>
    <row r="2060" spans="1:21">
      <c r="A2060" t="s">
        <v>119</v>
      </c>
      <c r="B2060">
        <v>2020</v>
      </c>
      <c r="C2060">
        <v>17308.588</v>
      </c>
      <c r="E2060">
        <v>0.56999999999999995</v>
      </c>
      <c r="F2060">
        <v>0</v>
      </c>
      <c r="G2060">
        <v>0.04</v>
      </c>
      <c r="H2060">
        <v>6.5573769999999998</v>
      </c>
      <c r="I2060">
        <v>31.1</v>
      </c>
      <c r="K2060">
        <v>1802</v>
      </c>
      <c r="L2060">
        <v>100</v>
      </c>
      <c r="M2060">
        <v>99.2</v>
      </c>
      <c r="P2060">
        <v>-33.4999021</v>
      </c>
      <c r="Q2060">
        <v>6924.1057449999998</v>
      </c>
      <c r="S2060">
        <v>298</v>
      </c>
      <c r="T2060">
        <v>3.2027779999999999</v>
      </c>
      <c r="U2060">
        <v>73.220680000000002</v>
      </c>
    </row>
    <row r="2061" spans="1:21">
      <c r="A2061" t="s">
        <v>120</v>
      </c>
      <c r="B2061">
        <v>2000</v>
      </c>
      <c r="C2061">
        <v>391.75387999999998</v>
      </c>
      <c r="D2061">
        <v>1410</v>
      </c>
      <c r="E2061">
        <v>0.14000000000000001</v>
      </c>
      <c r="F2061">
        <v>0</v>
      </c>
      <c r="G2061">
        <v>0.25</v>
      </c>
      <c r="H2061">
        <v>64.10257</v>
      </c>
      <c r="I2061">
        <v>7.75</v>
      </c>
      <c r="J2061">
        <v>83.47</v>
      </c>
      <c r="K2061">
        <v>17</v>
      </c>
      <c r="L2061">
        <v>9.5931999999999995</v>
      </c>
      <c r="M2061">
        <v>0.7</v>
      </c>
      <c r="O2061">
        <v>3560000</v>
      </c>
      <c r="P2061">
        <v>-6.0834972000000001E-2</v>
      </c>
      <c r="Q2061">
        <v>270.542236</v>
      </c>
      <c r="R2061">
        <v>4.82</v>
      </c>
      <c r="S2061">
        <v>1240192</v>
      </c>
      <c r="T2061">
        <v>17.570692000000001</v>
      </c>
      <c r="U2061">
        <v>-3.9961660000000001</v>
      </c>
    </row>
    <row r="2062" spans="1:21">
      <c r="A2062" t="s">
        <v>120</v>
      </c>
      <c r="B2062">
        <v>2001</v>
      </c>
      <c r="C2062">
        <v>384.58037999999999</v>
      </c>
      <c r="D2062">
        <v>1610</v>
      </c>
      <c r="E2062">
        <v>0.15</v>
      </c>
      <c r="F2062">
        <v>0</v>
      </c>
      <c r="G2062">
        <v>0.25</v>
      </c>
      <c r="H2062">
        <v>62.5</v>
      </c>
      <c r="I2062">
        <v>7.54</v>
      </c>
      <c r="J2062">
        <v>82.1</v>
      </c>
      <c r="K2062">
        <v>17</v>
      </c>
      <c r="L2062">
        <v>10.8</v>
      </c>
      <c r="M2062">
        <v>0.8</v>
      </c>
      <c r="O2062">
        <v>10190000</v>
      </c>
      <c r="P2062">
        <v>15.376239460000001</v>
      </c>
      <c r="Q2062">
        <v>307.7048595</v>
      </c>
      <c r="R2062">
        <v>4.38</v>
      </c>
      <c r="S2062">
        <v>1240192</v>
      </c>
      <c r="T2062">
        <v>17.570692000000001</v>
      </c>
      <c r="U2062">
        <v>-3.9961660000000001</v>
      </c>
    </row>
    <row r="2063" spans="1:21">
      <c r="A2063" t="s">
        <v>120</v>
      </c>
      <c r="B2063">
        <v>2002</v>
      </c>
      <c r="C2063">
        <v>360.90942000000001</v>
      </c>
      <c r="D2063">
        <v>1399.9999760000001</v>
      </c>
      <c r="E2063">
        <v>0.15</v>
      </c>
      <c r="F2063">
        <v>0</v>
      </c>
      <c r="G2063">
        <v>0.26</v>
      </c>
      <c r="H2063">
        <v>63.414634999999997</v>
      </c>
      <c r="I2063">
        <v>24.57</v>
      </c>
      <c r="J2063">
        <v>83.58</v>
      </c>
      <c r="K2063">
        <v>17</v>
      </c>
      <c r="L2063">
        <v>13.059765000000001</v>
      </c>
      <c r="M2063">
        <v>0.8</v>
      </c>
      <c r="O2063">
        <v>10000</v>
      </c>
      <c r="P2063">
        <v>3.1063082519999998</v>
      </c>
      <c r="Q2063">
        <v>336.4187392</v>
      </c>
      <c r="R2063">
        <v>4.7300000000000004</v>
      </c>
      <c r="S2063">
        <v>1240192</v>
      </c>
      <c r="T2063">
        <v>17.570692000000001</v>
      </c>
      <c r="U2063">
        <v>-3.9961660000000001</v>
      </c>
    </row>
    <row r="2064" spans="1:21">
      <c r="A2064" t="s">
        <v>120</v>
      </c>
      <c r="B2064">
        <v>2003</v>
      </c>
      <c r="C2064">
        <v>350.71346999999997</v>
      </c>
      <c r="D2064">
        <v>1399.9999760000001</v>
      </c>
      <c r="E2064">
        <v>0.17</v>
      </c>
      <c r="F2064">
        <v>0</v>
      </c>
      <c r="G2064">
        <v>0.26</v>
      </c>
      <c r="H2064">
        <v>60.465114999999997</v>
      </c>
      <c r="I2064">
        <v>23.85</v>
      </c>
      <c r="J2064">
        <v>85.79</v>
      </c>
      <c r="K2064">
        <v>17</v>
      </c>
      <c r="L2064">
        <v>14.784019000000001</v>
      </c>
      <c r="M2064">
        <v>0.8</v>
      </c>
      <c r="O2064">
        <v>20000</v>
      </c>
      <c r="P2064">
        <v>9.1190419949999999</v>
      </c>
      <c r="Q2064">
        <v>393.40500909999997</v>
      </c>
      <c r="R2064">
        <v>4.7699999999999996</v>
      </c>
      <c r="S2064">
        <v>1240192</v>
      </c>
      <c r="T2064">
        <v>17.570692000000001</v>
      </c>
      <c r="U2064">
        <v>-3.9961660000000001</v>
      </c>
    </row>
    <row r="2065" spans="1:21">
      <c r="A2065" t="s">
        <v>120</v>
      </c>
      <c r="B2065">
        <v>2004</v>
      </c>
      <c r="C2065">
        <v>353.03635000000003</v>
      </c>
      <c r="D2065">
        <v>1480.0000190000001</v>
      </c>
      <c r="E2065">
        <v>0.18</v>
      </c>
      <c r="F2065">
        <v>0</v>
      </c>
      <c r="G2065">
        <v>0.28000000000000003</v>
      </c>
      <c r="H2065">
        <v>60.869563999999997</v>
      </c>
      <c r="I2065">
        <v>23.15</v>
      </c>
      <c r="J2065">
        <v>81.53</v>
      </c>
      <c r="K2065">
        <v>17</v>
      </c>
      <c r="L2065">
        <v>16.505388</v>
      </c>
      <c r="M2065">
        <v>0.8</v>
      </c>
      <c r="O2065">
        <v>60000</v>
      </c>
      <c r="P2065">
        <v>1.5599986610000001</v>
      </c>
      <c r="Q2065">
        <v>440.95677710000001</v>
      </c>
      <c r="R2065">
        <v>5</v>
      </c>
      <c r="S2065">
        <v>1240192</v>
      </c>
      <c r="T2065">
        <v>17.570692000000001</v>
      </c>
      <c r="U2065">
        <v>-3.9961660000000001</v>
      </c>
    </row>
    <row r="2066" spans="1:21">
      <c r="A2066" t="s">
        <v>120</v>
      </c>
      <c r="B2066">
        <v>2005</v>
      </c>
      <c r="C2066">
        <v>378.31972999999999</v>
      </c>
      <c r="D2066">
        <v>1649.9999760000001</v>
      </c>
      <c r="E2066">
        <v>0.28999999999999998</v>
      </c>
      <c r="F2066">
        <v>0</v>
      </c>
      <c r="G2066">
        <v>0.49</v>
      </c>
      <c r="H2066">
        <v>62.820515</v>
      </c>
      <c r="I2066">
        <v>22.44</v>
      </c>
      <c r="J2066">
        <v>82.33</v>
      </c>
      <c r="K2066">
        <v>17</v>
      </c>
      <c r="L2066">
        <v>18.226220000000001</v>
      </c>
      <c r="M2066">
        <v>0.8</v>
      </c>
      <c r="O2066">
        <v>5950000</v>
      </c>
      <c r="P2066">
        <v>6.5347787750000004</v>
      </c>
      <c r="Q2066">
        <v>489.02133689999999</v>
      </c>
      <c r="R2066">
        <v>4.79</v>
      </c>
      <c r="S2066">
        <v>1240192</v>
      </c>
      <c r="T2066">
        <v>17.570692000000001</v>
      </c>
      <c r="U2066">
        <v>-3.9961660000000001</v>
      </c>
    </row>
    <row r="2067" spans="1:21">
      <c r="A2067" t="s">
        <v>120</v>
      </c>
      <c r="B2067">
        <v>2006</v>
      </c>
      <c r="C2067">
        <v>429.55984000000001</v>
      </c>
      <c r="D2067">
        <v>1889.999986</v>
      </c>
      <c r="E2067">
        <v>0.31</v>
      </c>
      <c r="F2067">
        <v>0</v>
      </c>
      <c r="G2067">
        <v>0.53</v>
      </c>
      <c r="H2067">
        <v>63.095233999999998</v>
      </c>
      <c r="I2067">
        <v>21.77</v>
      </c>
      <c r="J2067">
        <v>81.650000000000006</v>
      </c>
      <c r="K2067">
        <v>17</v>
      </c>
      <c r="L2067">
        <v>16.600000000000001</v>
      </c>
      <c r="M2067">
        <v>0.9</v>
      </c>
      <c r="O2067">
        <v>31390000</v>
      </c>
      <c r="P2067">
        <v>4.662186878</v>
      </c>
      <c r="Q2067">
        <v>523.03860310000005</v>
      </c>
      <c r="R2067">
        <v>4.7</v>
      </c>
      <c r="S2067">
        <v>1240192</v>
      </c>
      <c r="T2067">
        <v>17.570692000000001</v>
      </c>
      <c r="U2067">
        <v>-3.9961660000000001</v>
      </c>
    </row>
    <row r="2068" spans="1:21">
      <c r="A2068" t="s">
        <v>120</v>
      </c>
      <c r="B2068">
        <v>2007</v>
      </c>
      <c r="C2068">
        <v>489.21379999999999</v>
      </c>
      <c r="D2068">
        <v>2069.9999330000001</v>
      </c>
      <c r="E2068">
        <v>0.31</v>
      </c>
      <c r="F2068">
        <v>0</v>
      </c>
      <c r="G2068">
        <v>0.52</v>
      </c>
      <c r="H2068">
        <v>62.650604000000001</v>
      </c>
      <c r="I2068">
        <v>21.13</v>
      </c>
      <c r="J2068">
        <v>78.87</v>
      </c>
      <c r="K2068">
        <v>17</v>
      </c>
      <c r="L2068">
        <v>21.676151000000001</v>
      </c>
      <c r="M2068">
        <v>0.9</v>
      </c>
      <c r="O2068">
        <v>100000</v>
      </c>
      <c r="P2068">
        <v>3.493616813</v>
      </c>
      <c r="Q2068">
        <v>597.48445760000004</v>
      </c>
      <c r="R2068">
        <v>4.84</v>
      </c>
      <c r="S2068">
        <v>1240192</v>
      </c>
      <c r="T2068">
        <v>17.570692000000001</v>
      </c>
      <c r="U2068">
        <v>-3.9961660000000001</v>
      </c>
    </row>
    <row r="2069" spans="1:21">
      <c r="A2069" t="s">
        <v>120</v>
      </c>
      <c r="B2069">
        <v>2008</v>
      </c>
      <c r="C2069">
        <v>565.22515999999996</v>
      </c>
      <c r="D2069">
        <v>2079.9999240000002</v>
      </c>
      <c r="E2069">
        <v>0.37</v>
      </c>
      <c r="F2069">
        <v>0</v>
      </c>
      <c r="G2069">
        <v>0.63</v>
      </c>
      <c r="H2069">
        <v>63</v>
      </c>
      <c r="I2069">
        <v>20.47</v>
      </c>
      <c r="J2069">
        <v>74.989999999999995</v>
      </c>
      <c r="K2069">
        <v>17</v>
      </c>
      <c r="L2069">
        <v>23.410606000000001</v>
      </c>
      <c r="M2069">
        <v>0.9</v>
      </c>
      <c r="O2069">
        <v>50000</v>
      </c>
      <c r="P2069">
        <v>4.773145081</v>
      </c>
      <c r="Q2069">
        <v>697.08786850000001</v>
      </c>
      <c r="R2069">
        <v>4.7300000000000004</v>
      </c>
      <c r="S2069">
        <v>1240192</v>
      </c>
      <c r="T2069">
        <v>17.570692000000001</v>
      </c>
      <c r="U2069">
        <v>-3.9961660000000001</v>
      </c>
    </row>
    <row r="2070" spans="1:21">
      <c r="A2070" t="s">
        <v>120</v>
      </c>
      <c r="B2070">
        <v>2009</v>
      </c>
      <c r="C2070">
        <v>691.58307000000002</v>
      </c>
      <c r="D2070">
        <v>2509.9999899999998</v>
      </c>
      <c r="E2070">
        <v>0.39</v>
      </c>
      <c r="F2070">
        <v>0</v>
      </c>
      <c r="G2070">
        <v>0.73</v>
      </c>
      <c r="H2070">
        <v>65.178569999999993</v>
      </c>
      <c r="I2070">
        <v>19.809999999999999</v>
      </c>
      <c r="J2070">
        <v>78.680000000000007</v>
      </c>
      <c r="K2070">
        <v>17</v>
      </c>
      <c r="L2070">
        <v>24.030895000000001</v>
      </c>
      <c r="M2070">
        <v>0.9</v>
      </c>
      <c r="O2070">
        <v>38440000</v>
      </c>
      <c r="P2070">
        <v>4.8063222669999996</v>
      </c>
      <c r="Q2070">
        <v>701.71711340000002</v>
      </c>
      <c r="R2070">
        <v>4.7699999999999996</v>
      </c>
      <c r="S2070">
        <v>1240192</v>
      </c>
      <c r="T2070">
        <v>17.570692000000001</v>
      </c>
      <c r="U2070">
        <v>-3.9961660000000001</v>
      </c>
    </row>
    <row r="2071" spans="1:21">
      <c r="A2071" t="s">
        <v>120</v>
      </c>
      <c r="B2071">
        <v>2010</v>
      </c>
      <c r="C2071">
        <v>757.35393999999997</v>
      </c>
      <c r="D2071">
        <v>2779.9999710000002</v>
      </c>
      <c r="E2071">
        <v>0.53</v>
      </c>
      <c r="F2071">
        <v>0</v>
      </c>
      <c r="G2071">
        <v>1.18</v>
      </c>
      <c r="H2071">
        <v>69.005843999999996</v>
      </c>
      <c r="I2071">
        <v>19.37</v>
      </c>
      <c r="J2071">
        <v>79.239999999999995</v>
      </c>
      <c r="K2071">
        <v>17</v>
      </c>
      <c r="L2071">
        <v>26.912050000000001</v>
      </c>
      <c r="M2071">
        <v>0.9</v>
      </c>
      <c r="O2071">
        <v>20000</v>
      </c>
      <c r="P2071">
        <v>5.3139352789999998</v>
      </c>
      <c r="Q2071">
        <v>710.27424940000003</v>
      </c>
      <c r="R2071">
        <v>4.88</v>
      </c>
      <c r="S2071">
        <v>1240192</v>
      </c>
      <c r="T2071">
        <v>17.570692000000001</v>
      </c>
      <c r="U2071">
        <v>-3.9961660000000001</v>
      </c>
    </row>
    <row r="2072" spans="1:21">
      <c r="A2072" t="s">
        <v>120</v>
      </c>
      <c r="B2072">
        <v>2011</v>
      </c>
      <c r="C2072">
        <v>804.06682999999998</v>
      </c>
      <c r="D2072">
        <v>3119.9998860000001</v>
      </c>
      <c r="E2072">
        <v>0.66</v>
      </c>
      <c r="F2072">
        <v>0</v>
      </c>
      <c r="G2072">
        <v>1.24</v>
      </c>
      <c r="H2072">
        <v>65.263159999999999</v>
      </c>
      <c r="I2072">
        <v>19</v>
      </c>
      <c r="J2072">
        <v>78.849999999999994</v>
      </c>
      <c r="K2072">
        <v>17</v>
      </c>
      <c r="L2072">
        <v>28.684453999999999</v>
      </c>
      <c r="M2072">
        <v>0.9</v>
      </c>
      <c r="O2072">
        <v>230000</v>
      </c>
      <c r="P2072">
        <v>3.2131337800000002</v>
      </c>
      <c r="Q2072">
        <v>837.60582099999999</v>
      </c>
      <c r="R2072">
        <v>5.12</v>
      </c>
      <c r="S2072">
        <v>1240192</v>
      </c>
      <c r="T2072">
        <v>17.570692000000001</v>
      </c>
      <c r="U2072">
        <v>-3.9961660000000001</v>
      </c>
    </row>
    <row r="2073" spans="1:21">
      <c r="A2073" t="s">
        <v>120</v>
      </c>
      <c r="B2073">
        <v>2012</v>
      </c>
      <c r="C2073">
        <v>830.39940000000001</v>
      </c>
      <c r="D2073">
        <v>3109.9998949999999</v>
      </c>
      <c r="E2073">
        <v>0.89</v>
      </c>
      <c r="F2073">
        <v>0</v>
      </c>
      <c r="G2073">
        <v>1.37</v>
      </c>
      <c r="H2073">
        <v>60.61947</v>
      </c>
      <c r="I2073">
        <v>18.82</v>
      </c>
      <c r="J2073">
        <v>78.7</v>
      </c>
      <c r="K2073">
        <v>17</v>
      </c>
      <c r="L2073">
        <v>25.6</v>
      </c>
      <c r="M2073">
        <v>0.8</v>
      </c>
      <c r="O2073">
        <v>170000</v>
      </c>
      <c r="P2073">
        <v>-0.83673463199999998</v>
      </c>
      <c r="Q2073">
        <v>778.62526949999994</v>
      </c>
      <c r="R2073">
        <v>5.52</v>
      </c>
      <c r="S2073">
        <v>1240192</v>
      </c>
      <c r="T2073">
        <v>17.570692000000001</v>
      </c>
      <c r="U2073">
        <v>-3.9961660000000001</v>
      </c>
    </row>
    <row r="2074" spans="1:21">
      <c r="A2074" t="s">
        <v>120</v>
      </c>
      <c r="B2074">
        <v>2013</v>
      </c>
      <c r="C2074">
        <v>830.25072999999998</v>
      </c>
      <c r="D2074">
        <v>3220.0000289999998</v>
      </c>
      <c r="E2074">
        <v>1.04</v>
      </c>
      <c r="F2074">
        <v>0</v>
      </c>
      <c r="G2074">
        <v>1.24</v>
      </c>
      <c r="H2074">
        <v>54.385967000000001</v>
      </c>
      <c r="I2074">
        <v>22.07</v>
      </c>
      <c r="J2074">
        <v>80.92</v>
      </c>
      <c r="K2074">
        <v>17</v>
      </c>
      <c r="L2074">
        <v>32.285229999999999</v>
      </c>
      <c r="M2074">
        <v>0.9</v>
      </c>
      <c r="O2074">
        <v>445280000</v>
      </c>
      <c r="P2074">
        <v>2.2950682900000001</v>
      </c>
      <c r="Q2074">
        <v>805.03397959999995</v>
      </c>
      <c r="R2074">
        <v>5.58</v>
      </c>
      <c r="S2074">
        <v>1240192</v>
      </c>
      <c r="T2074">
        <v>17.570692000000001</v>
      </c>
      <c r="U2074">
        <v>-3.9961660000000001</v>
      </c>
    </row>
    <row r="2075" spans="1:21">
      <c r="A2075" t="s">
        <v>120</v>
      </c>
      <c r="B2075">
        <v>2014</v>
      </c>
      <c r="C2075">
        <v>899.23505</v>
      </c>
      <c r="D2075">
        <v>3380.0001139999999</v>
      </c>
      <c r="E2075">
        <v>0.85</v>
      </c>
      <c r="F2075">
        <v>0</v>
      </c>
      <c r="G2075">
        <v>1.51</v>
      </c>
      <c r="H2075">
        <v>63.983055</v>
      </c>
      <c r="I2075">
        <v>21.93</v>
      </c>
      <c r="J2075">
        <v>80.930000000000007</v>
      </c>
      <c r="K2075">
        <v>17</v>
      </c>
      <c r="L2075">
        <v>34.113340000000001</v>
      </c>
      <c r="M2075">
        <v>0.9</v>
      </c>
      <c r="O2075">
        <v>99900000</v>
      </c>
      <c r="P2075">
        <v>7.0846838810000001</v>
      </c>
      <c r="Q2075">
        <v>848.279043</v>
      </c>
      <c r="R2075">
        <v>5.44</v>
      </c>
      <c r="S2075">
        <v>1240192</v>
      </c>
      <c r="T2075">
        <v>17.570692000000001</v>
      </c>
      <c r="U2075">
        <v>-3.9961660000000001</v>
      </c>
    </row>
    <row r="2076" spans="1:21">
      <c r="A2076" t="s">
        <v>120</v>
      </c>
      <c r="B2076">
        <v>2015</v>
      </c>
      <c r="C2076">
        <v>952.77562999999998</v>
      </c>
      <c r="D2076">
        <v>3650.0000949999999</v>
      </c>
      <c r="E2076">
        <v>1.05</v>
      </c>
      <c r="F2076">
        <v>0</v>
      </c>
      <c r="G2076">
        <v>1.27</v>
      </c>
      <c r="H2076">
        <v>54.741382999999999</v>
      </c>
      <c r="I2076">
        <v>21.36</v>
      </c>
      <c r="J2076">
        <v>79.930000000000007</v>
      </c>
      <c r="K2076">
        <v>17</v>
      </c>
      <c r="L2076">
        <v>37.6</v>
      </c>
      <c r="M2076">
        <v>0.9</v>
      </c>
      <c r="O2076">
        <v>9440000</v>
      </c>
      <c r="P2076">
        <v>6.1718000240000004</v>
      </c>
      <c r="Q2076">
        <v>751.47288660000004</v>
      </c>
      <c r="R2076">
        <v>5.23</v>
      </c>
      <c r="S2076">
        <v>1240192</v>
      </c>
      <c r="T2076">
        <v>17.570692000000001</v>
      </c>
      <c r="U2076">
        <v>-3.9961660000000001</v>
      </c>
    </row>
    <row r="2077" spans="1:21">
      <c r="A2077" t="s">
        <v>120</v>
      </c>
      <c r="B2077">
        <v>2016</v>
      </c>
      <c r="C2077">
        <v>1172.1898000000001</v>
      </c>
      <c r="D2077">
        <v>4670.0000760000003</v>
      </c>
      <c r="E2077">
        <v>1.1499999999999999</v>
      </c>
      <c r="F2077">
        <v>0</v>
      </c>
      <c r="G2077">
        <v>1.62</v>
      </c>
      <c r="H2077">
        <v>58.483753</v>
      </c>
      <c r="I2077">
        <v>20.75</v>
      </c>
      <c r="J2077">
        <v>76.16</v>
      </c>
      <c r="K2077">
        <v>17</v>
      </c>
      <c r="L2077">
        <v>38.789819999999999</v>
      </c>
      <c r="M2077">
        <v>0.9</v>
      </c>
      <c r="O2077">
        <v>50960000</v>
      </c>
      <c r="P2077">
        <v>5.852299199</v>
      </c>
      <c r="Q2077">
        <v>780.72356950000005</v>
      </c>
      <c r="R2077">
        <v>5.0199999999999996</v>
      </c>
      <c r="S2077">
        <v>1240192</v>
      </c>
      <c r="T2077">
        <v>17.570692000000001</v>
      </c>
      <c r="U2077">
        <v>-3.9961660000000001</v>
      </c>
    </row>
    <row r="2078" spans="1:21">
      <c r="A2078" t="s">
        <v>120</v>
      </c>
      <c r="B2078">
        <v>2017</v>
      </c>
      <c r="C2078">
        <v>1234.1934000000001</v>
      </c>
      <c r="D2078">
        <v>5179.999828</v>
      </c>
      <c r="E2078">
        <v>1.64</v>
      </c>
      <c r="F2078">
        <v>0</v>
      </c>
      <c r="G2078">
        <v>1.65</v>
      </c>
      <c r="H2078">
        <v>50.151978</v>
      </c>
      <c r="I2078">
        <v>20.23</v>
      </c>
      <c r="J2078">
        <v>76.37</v>
      </c>
      <c r="K2078">
        <v>17</v>
      </c>
      <c r="L2078">
        <v>34.78</v>
      </c>
      <c r="M2078">
        <v>0.9</v>
      </c>
      <c r="O2078">
        <v>7520000</v>
      </c>
      <c r="P2078">
        <v>5.3054560840000002</v>
      </c>
      <c r="Q2078">
        <v>830.02151530000003</v>
      </c>
      <c r="R2078">
        <v>4.9000000000000004</v>
      </c>
      <c r="S2078">
        <v>1240192</v>
      </c>
      <c r="T2078">
        <v>17.570692000000001</v>
      </c>
      <c r="U2078">
        <v>-3.9961660000000001</v>
      </c>
    </row>
    <row r="2079" spans="1:21">
      <c r="A2079" t="s">
        <v>120</v>
      </c>
      <c r="B2079">
        <v>2018</v>
      </c>
      <c r="C2079">
        <v>1243.7677000000001</v>
      </c>
      <c r="D2079">
        <v>5469.9997899999998</v>
      </c>
      <c r="E2079">
        <v>1.97</v>
      </c>
      <c r="F2079">
        <v>0</v>
      </c>
      <c r="G2079">
        <v>1.56</v>
      </c>
      <c r="H2079">
        <v>44.192635000000003</v>
      </c>
      <c r="I2079">
        <v>19.63</v>
      </c>
      <c r="J2079">
        <v>76.61</v>
      </c>
      <c r="K2079">
        <v>17</v>
      </c>
      <c r="L2079">
        <v>50.9</v>
      </c>
      <c r="M2079">
        <v>0.9</v>
      </c>
      <c r="O2079">
        <v>20870000</v>
      </c>
      <c r="P2079">
        <v>4.7464843270000001</v>
      </c>
      <c r="Q2079">
        <v>894.8047765</v>
      </c>
      <c r="R2079">
        <v>4.76</v>
      </c>
      <c r="S2079">
        <v>1240192</v>
      </c>
      <c r="T2079">
        <v>17.570692000000001</v>
      </c>
      <c r="U2079">
        <v>-3.9961660000000001</v>
      </c>
    </row>
    <row r="2080" spans="1:21">
      <c r="A2080" t="s">
        <v>120</v>
      </c>
      <c r="B2080">
        <v>2019</v>
      </c>
      <c r="C2080">
        <v>1231.7150999999999</v>
      </c>
      <c r="D2080">
        <v>5829.9999239999997</v>
      </c>
      <c r="E2080">
        <v>2.15</v>
      </c>
      <c r="F2080">
        <v>0</v>
      </c>
      <c r="G2080">
        <v>1.17</v>
      </c>
      <c r="H2080">
        <v>35.240963000000001</v>
      </c>
      <c r="I2080">
        <v>19.059999999999999</v>
      </c>
      <c r="J2080">
        <v>76.64</v>
      </c>
      <c r="K2080">
        <v>17</v>
      </c>
      <c r="L2080">
        <v>47.836277000000003</v>
      </c>
      <c r="M2080">
        <v>0.9</v>
      </c>
      <c r="O2080">
        <v>44950000</v>
      </c>
      <c r="P2080">
        <v>4.7561608079999997</v>
      </c>
      <c r="Q2080">
        <v>879.0431873</v>
      </c>
      <c r="R2080">
        <v>4.59</v>
      </c>
      <c r="S2080">
        <v>1240192</v>
      </c>
      <c r="T2080">
        <v>17.570692000000001</v>
      </c>
      <c r="U2080">
        <v>-3.9961660000000001</v>
      </c>
    </row>
    <row r="2081" spans="1:21">
      <c r="A2081" t="s">
        <v>120</v>
      </c>
      <c r="B2081">
        <v>2020</v>
      </c>
      <c r="C2081">
        <v>1142.8833999999999</v>
      </c>
      <c r="E2081">
        <v>2.04</v>
      </c>
      <c r="F2081">
        <v>0</v>
      </c>
      <c r="G2081">
        <v>1.1599999999999999</v>
      </c>
      <c r="H2081">
        <v>36.25</v>
      </c>
      <c r="I2081">
        <v>20.98</v>
      </c>
      <c r="K2081">
        <v>17</v>
      </c>
      <c r="L2081">
        <v>50.561416999999999</v>
      </c>
      <c r="M2081">
        <v>0.9</v>
      </c>
      <c r="P2081">
        <v>-1.2354504470000001</v>
      </c>
      <c r="Q2081">
        <v>862.4530188</v>
      </c>
      <c r="S2081">
        <v>1240192</v>
      </c>
      <c r="T2081">
        <v>17.570692000000001</v>
      </c>
      <c r="U2081">
        <v>-3.9961660000000001</v>
      </c>
    </row>
    <row r="2082" spans="1:21">
      <c r="A2082" t="s">
        <v>121</v>
      </c>
      <c r="B2082">
        <v>2000</v>
      </c>
      <c r="C2082">
        <v>46378.05</v>
      </c>
      <c r="D2082">
        <v>2130</v>
      </c>
      <c r="E2082">
        <v>1.92</v>
      </c>
      <c r="F2082">
        <v>0</v>
      </c>
      <c r="G2082">
        <v>0</v>
      </c>
      <c r="H2082">
        <v>0</v>
      </c>
      <c r="J2082">
        <v>0</v>
      </c>
      <c r="K2082">
        <v>1380</v>
      </c>
      <c r="L2082">
        <v>100</v>
      </c>
      <c r="M2082">
        <v>100</v>
      </c>
      <c r="P2082">
        <v>19.681270099999999</v>
      </c>
      <c r="Q2082">
        <v>10432.32812</v>
      </c>
      <c r="R2082">
        <v>2.64</v>
      </c>
      <c r="S2082">
        <v>316</v>
      </c>
      <c r="T2082">
        <v>35.937496000000003</v>
      </c>
      <c r="U2082">
        <v>14.375416</v>
      </c>
    </row>
    <row r="2083" spans="1:21">
      <c r="A2083" t="s">
        <v>121</v>
      </c>
      <c r="B2083">
        <v>2001</v>
      </c>
      <c r="C2083">
        <v>50713.89</v>
      </c>
      <c r="D2083">
        <v>2490</v>
      </c>
      <c r="E2083">
        <v>1.94</v>
      </c>
      <c r="F2083">
        <v>0</v>
      </c>
      <c r="G2083">
        <v>0</v>
      </c>
      <c r="H2083">
        <v>0</v>
      </c>
      <c r="J2083">
        <v>0</v>
      </c>
      <c r="K2083">
        <v>1380</v>
      </c>
      <c r="L2083">
        <v>100</v>
      </c>
      <c r="M2083">
        <v>100</v>
      </c>
      <c r="P2083">
        <v>-1.174697348</v>
      </c>
      <c r="Q2083">
        <v>10402.23337</v>
      </c>
      <c r="R2083">
        <v>3.11</v>
      </c>
      <c r="S2083">
        <v>316</v>
      </c>
      <c r="T2083">
        <v>35.937496000000003</v>
      </c>
      <c r="U2083">
        <v>14.375416</v>
      </c>
    </row>
    <row r="2084" spans="1:21">
      <c r="A2084" t="s">
        <v>121</v>
      </c>
      <c r="B2084">
        <v>2002</v>
      </c>
      <c r="C2084">
        <v>49170.387000000002</v>
      </c>
      <c r="D2084">
        <v>2319.9999330000001</v>
      </c>
      <c r="E2084">
        <v>2.0499999999999998</v>
      </c>
      <c r="F2084">
        <v>0</v>
      </c>
      <c r="G2084">
        <v>0</v>
      </c>
      <c r="H2084">
        <v>0</v>
      </c>
      <c r="J2084">
        <v>0.09</v>
      </c>
      <c r="K2084">
        <v>1380</v>
      </c>
      <c r="L2084">
        <v>100</v>
      </c>
      <c r="M2084">
        <v>100</v>
      </c>
      <c r="P2084">
        <v>2.5652632529999999</v>
      </c>
      <c r="Q2084">
        <v>11289.88984</v>
      </c>
      <c r="R2084">
        <v>2.83</v>
      </c>
      <c r="S2084">
        <v>316</v>
      </c>
      <c r="T2084">
        <v>35.937496000000003</v>
      </c>
      <c r="U2084">
        <v>14.375416</v>
      </c>
    </row>
    <row r="2085" spans="1:21">
      <c r="A2085" t="s">
        <v>121</v>
      </c>
      <c r="B2085">
        <v>2003</v>
      </c>
      <c r="C2085">
        <v>56833.483999999997</v>
      </c>
      <c r="D2085">
        <v>2609.9998949999999</v>
      </c>
      <c r="E2085">
        <v>2.2400000000000002</v>
      </c>
      <c r="F2085">
        <v>0</v>
      </c>
      <c r="G2085">
        <v>0</v>
      </c>
      <c r="H2085">
        <v>0</v>
      </c>
      <c r="J2085">
        <v>0.1</v>
      </c>
      <c r="K2085">
        <v>1380</v>
      </c>
      <c r="L2085">
        <v>100</v>
      </c>
      <c r="M2085">
        <v>100</v>
      </c>
      <c r="P2085">
        <v>4.0740688499999997</v>
      </c>
      <c r="Q2085">
        <v>13669.49712</v>
      </c>
      <c r="R2085">
        <v>3.06</v>
      </c>
      <c r="S2085">
        <v>316</v>
      </c>
      <c r="T2085">
        <v>35.937496000000003</v>
      </c>
      <c r="U2085">
        <v>14.375416</v>
      </c>
    </row>
    <row r="2086" spans="1:21">
      <c r="A2086" t="s">
        <v>121</v>
      </c>
      <c r="B2086">
        <v>2004</v>
      </c>
      <c r="C2086">
        <v>59390.21</v>
      </c>
      <c r="D2086">
        <v>2599.9999050000001</v>
      </c>
      <c r="E2086">
        <v>2.2200000000000002</v>
      </c>
      <c r="F2086">
        <v>0</v>
      </c>
      <c r="G2086">
        <v>0</v>
      </c>
      <c r="H2086">
        <v>0</v>
      </c>
      <c r="J2086">
        <v>0.12</v>
      </c>
      <c r="K2086">
        <v>1380</v>
      </c>
      <c r="L2086">
        <v>100</v>
      </c>
      <c r="M2086">
        <v>100</v>
      </c>
      <c r="P2086">
        <v>0.14026812699999999</v>
      </c>
      <c r="Q2086">
        <v>15197.056710000001</v>
      </c>
      <c r="R2086">
        <v>3.07</v>
      </c>
      <c r="S2086">
        <v>316</v>
      </c>
      <c r="T2086">
        <v>35.937496000000003</v>
      </c>
      <c r="U2086">
        <v>14.375416</v>
      </c>
    </row>
    <row r="2087" spans="1:21">
      <c r="A2087" t="s">
        <v>121</v>
      </c>
      <c r="B2087">
        <v>2005</v>
      </c>
      <c r="C2087">
        <v>50493.625</v>
      </c>
      <c r="D2087">
        <v>2630.0001139999999</v>
      </c>
      <c r="E2087">
        <v>2.2400000000000002</v>
      </c>
      <c r="F2087">
        <v>0</v>
      </c>
      <c r="G2087">
        <v>0</v>
      </c>
      <c r="H2087">
        <v>0</v>
      </c>
      <c r="J2087">
        <v>0.14000000000000001</v>
      </c>
      <c r="K2087">
        <v>1380</v>
      </c>
      <c r="L2087">
        <v>100</v>
      </c>
      <c r="M2087">
        <v>100</v>
      </c>
      <c r="P2087">
        <v>3.383593576</v>
      </c>
      <c r="Q2087">
        <v>15888.17232</v>
      </c>
      <c r="R2087">
        <v>3.04</v>
      </c>
      <c r="S2087">
        <v>316</v>
      </c>
      <c r="T2087">
        <v>35.937496000000003</v>
      </c>
      <c r="U2087">
        <v>14.375416</v>
      </c>
    </row>
    <row r="2088" spans="1:21">
      <c r="A2088" t="s">
        <v>121</v>
      </c>
      <c r="B2088">
        <v>2006</v>
      </c>
      <c r="C2088">
        <v>51478.542999999998</v>
      </c>
      <c r="D2088">
        <v>2650.0000949999999</v>
      </c>
      <c r="E2088">
        <v>2.2599999999999998</v>
      </c>
      <c r="F2088">
        <v>0</v>
      </c>
      <c r="G2088">
        <v>0</v>
      </c>
      <c r="H2088">
        <v>0</v>
      </c>
      <c r="J2088">
        <v>0.17</v>
      </c>
      <c r="K2088">
        <v>1380</v>
      </c>
      <c r="L2088">
        <v>100</v>
      </c>
      <c r="M2088">
        <v>100</v>
      </c>
      <c r="P2088">
        <v>2.5101423450000002</v>
      </c>
      <c r="Q2088">
        <v>16723.884180000001</v>
      </c>
      <c r="R2088">
        <v>2.97</v>
      </c>
      <c r="S2088">
        <v>316</v>
      </c>
      <c r="T2088">
        <v>35.937496000000003</v>
      </c>
      <c r="U2088">
        <v>14.375416</v>
      </c>
    </row>
    <row r="2089" spans="1:21">
      <c r="A2089" t="s">
        <v>121</v>
      </c>
      <c r="B2089">
        <v>2007</v>
      </c>
      <c r="C2089">
        <v>55957.79</v>
      </c>
      <c r="D2089">
        <v>2720.0000289999998</v>
      </c>
      <c r="E2089">
        <v>2.2999999999999998</v>
      </c>
      <c r="F2089">
        <v>0</v>
      </c>
      <c r="G2089">
        <v>0</v>
      </c>
      <c r="H2089">
        <v>0</v>
      </c>
      <c r="J2089">
        <v>0.2</v>
      </c>
      <c r="K2089">
        <v>1380</v>
      </c>
      <c r="L2089">
        <v>100</v>
      </c>
      <c r="M2089">
        <v>100</v>
      </c>
      <c r="P2089">
        <v>4.7747055999999999</v>
      </c>
      <c r="Q2089">
        <v>19485.871190000002</v>
      </c>
      <c r="R2089">
        <v>2.89</v>
      </c>
      <c r="S2089">
        <v>316</v>
      </c>
      <c r="T2089">
        <v>35.937496000000003</v>
      </c>
      <c r="U2089">
        <v>14.375416</v>
      </c>
    </row>
    <row r="2090" spans="1:21">
      <c r="A2090" t="s">
        <v>121</v>
      </c>
      <c r="B2090">
        <v>2008</v>
      </c>
      <c r="C2090">
        <v>57768.11</v>
      </c>
      <c r="D2090">
        <v>2720.0000289999998</v>
      </c>
      <c r="E2090">
        <v>2.31</v>
      </c>
      <c r="F2090">
        <v>0</v>
      </c>
      <c r="G2090">
        <v>0</v>
      </c>
      <c r="H2090">
        <v>0</v>
      </c>
      <c r="J2090">
        <v>0.22</v>
      </c>
      <c r="K2090">
        <v>1380</v>
      </c>
      <c r="L2090">
        <v>100</v>
      </c>
      <c r="M2090">
        <v>100</v>
      </c>
      <c r="P2090">
        <v>3.8263594159999998</v>
      </c>
      <c r="Q2090">
        <v>22205.356810000001</v>
      </c>
      <c r="R2090">
        <v>2.83</v>
      </c>
      <c r="S2090">
        <v>316</v>
      </c>
      <c r="T2090">
        <v>35.937496000000003</v>
      </c>
      <c r="U2090">
        <v>14.375416</v>
      </c>
    </row>
    <row r="2091" spans="1:21">
      <c r="A2091" t="s">
        <v>121</v>
      </c>
      <c r="B2091">
        <v>2009</v>
      </c>
      <c r="C2091">
        <v>61248.995999999999</v>
      </c>
      <c r="D2091">
        <v>2509.9999899999998</v>
      </c>
      <c r="E2091">
        <v>2.17</v>
      </c>
      <c r="F2091">
        <v>0</v>
      </c>
      <c r="G2091">
        <v>0</v>
      </c>
      <c r="H2091">
        <v>0</v>
      </c>
      <c r="J2091">
        <v>0.26</v>
      </c>
      <c r="K2091">
        <v>1380</v>
      </c>
      <c r="L2091">
        <v>100</v>
      </c>
      <c r="M2091">
        <v>100</v>
      </c>
      <c r="P2091">
        <v>-1.133873468</v>
      </c>
      <c r="Q2091">
        <v>21083.277150000002</v>
      </c>
      <c r="R2091">
        <v>2.61</v>
      </c>
      <c r="S2091">
        <v>316</v>
      </c>
      <c r="T2091">
        <v>35.937496000000003</v>
      </c>
      <c r="U2091">
        <v>14.375416</v>
      </c>
    </row>
    <row r="2092" spans="1:21">
      <c r="A2092" t="s">
        <v>121</v>
      </c>
      <c r="B2092">
        <v>2010</v>
      </c>
      <c r="C2092">
        <v>72549.08</v>
      </c>
      <c r="D2092">
        <v>2589.999914</v>
      </c>
      <c r="E2092">
        <v>2.11</v>
      </c>
      <c r="F2092">
        <v>0</v>
      </c>
      <c r="G2092">
        <v>0</v>
      </c>
      <c r="H2092">
        <v>0</v>
      </c>
      <c r="J2092">
        <v>1.22</v>
      </c>
      <c r="K2092">
        <v>1380</v>
      </c>
      <c r="L2092">
        <v>100</v>
      </c>
      <c r="M2092">
        <v>100</v>
      </c>
      <c r="P2092">
        <v>5.5436393849999996</v>
      </c>
      <c r="Q2092">
        <v>21799.17426</v>
      </c>
      <c r="R2092">
        <v>2.58</v>
      </c>
      <c r="S2092">
        <v>316</v>
      </c>
      <c r="T2092">
        <v>35.937496000000003</v>
      </c>
      <c r="U2092">
        <v>14.375416</v>
      </c>
    </row>
    <row r="2093" spans="1:21">
      <c r="A2093" t="s">
        <v>121</v>
      </c>
      <c r="B2093">
        <v>2011</v>
      </c>
      <c r="C2093">
        <v>68190.570000000007</v>
      </c>
      <c r="D2093">
        <v>2569.9999330000001</v>
      </c>
      <c r="E2093">
        <v>2.17</v>
      </c>
      <c r="F2093">
        <v>0</v>
      </c>
      <c r="G2093">
        <v>0</v>
      </c>
      <c r="H2093">
        <v>0</v>
      </c>
      <c r="J2093">
        <v>1.97</v>
      </c>
      <c r="K2093">
        <v>1380</v>
      </c>
      <c r="L2093">
        <v>100</v>
      </c>
      <c r="M2093">
        <v>100</v>
      </c>
      <c r="P2093">
        <v>0.46705085600000001</v>
      </c>
      <c r="Q2093">
        <v>23155.554789999998</v>
      </c>
      <c r="R2093">
        <v>2.5499999999999998</v>
      </c>
      <c r="S2093">
        <v>316</v>
      </c>
      <c r="T2093">
        <v>35.937496000000003</v>
      </c>
      <c r="U2093">
        <v>14.375416</v>
      </c>
    </row>
    <row r="2094" spans="1:21">
      <c r="A2094" t="s">
        <v>121</v>
      </c>
      <c r="B2094">
        <v>2012</v>
      </c>
      <c r="C2094">
        <v>64067.15</v>
      </c>
      <c r="D2094">
        <v>2720.0000289999998</v>
      </c>
      <c r="E2094">
        <v>2.27</v>
      </c>
      <c r="F2094">
        <v>0</v>
      </c>
      <c r="G2094">
        <v>0.03</v>
      </c>
      <c r="H2094">
        <v>1.3043479</v>
      </c>
      <c r="J2094">
        <v>2.67</v>
      </c>
      <c r="K2094">
        <v>1380</v>
      </c>
      <c r="L2094">
        <v>100</v>
      </c>
      <c r="M2094">
        <v>100</v>
      </c>
      <c r="P2094">
        <v>4.1177072990000001</v>
      </c>
      <c r="Q2094">
        <v>22527.636760000001</v>
      </c>
      <c r="R2094">
        <v>2.6</v>
      </c>
      <c r="S2094">
        <v>316</v>
      </c>
      <c r="T2094">
        <v>35.937496000000003</v>
      </c>
      <c r="U2094">
        <v>14.375416</v>
      </c>
    </row>
    <row r="2095" spans="1:21">
      <c r="A2095" t="s">
        <v>121</v>
      </c>
      <c r="B2095">
        <v>2013</v>
      </c>
      <c r="C2095">
        <v>59756.480000000003</v>
      </c>
      <c r="D2095">
        <v>2369.9998860000001</v>
      </c>
      <c r="E2095">
        <v>2.2200000000000002</v>
      </c>
      <c r="F2095">
        <v>0</v>
      </c>
      <c r="G2095">
        <v>0.04</v>
      </c>
      <c r="H2095">
        <v>1.7699115000000001</v>
      </c>
      <c r="J2095">
        <v>3.24</v>
      </c>
      <c r="K2095">
        <v>1380</v>
      </c>
      <c r="L2095">
        <v>100</v>
      </c>
      <c r="M2095">
        <v>100</v>
      </c>
      <c r="P2095">
        <v>5.4733556950000004</v>
      </c>
      <c r="Q2095">
        <v>24771.076580000001</v>
      </c>
      <c r="R2095">
        <v>2.16</v>
      </c>
      <c r="S2095">
        <v>316</v>
      </c>
      <c r="T2095">
        <v>35.937496000000003</v>
      </c>
      <c r="U2095">
        <v>14.375416</v>
      </c>
    </row>
    <row r="2096" spans="1:21">
      <c r="A2096" t="s">
        <v>121</v>
      </c>
      <c r="B2096">
        <v>2014</v>
      </c>
      <c r="C2096">
        <v>59933.56</v>
      </c>
      <c r="D2096">
        <v>2359.9998949999999</v>
      </c>
      <c r="E2096">
        <v>2.17</v>
      </c>
      <c r="F2096">
        <v>0</v>
      </c>
      <c r="G2096">
        <v>0.08</v>
      </c>
      <c r="H2096">
        <v>3.5555555999999999</v>
      </c>
      <c r="J2096">
        <v>4.4800000000000004</v>
      </c>
      <c r="K2096">
        <v>1380</v>
      </c>
      <c r="L2096">
        <v>100</v>
      </c>
      <c r="M2096">
        <v>100</v>
      </c>
      <c r="P2096">
        <v>7.6335381120000001</v>
      </c>
      <c r="Q2096">
        <v>26754.26845</v>
      </c>
      <c r="R2096">
        <v>2.0099999999999998</v>
      </c>
      <c r="S2096">
        <v>316</v>
      </c>
      <c r="T2096">
        <v>35.937496000000003</v>
      </c>
      <c r="U2096">
        <v>14.375416</v>
      </c>
    </row>
    <row r="2097" spans="1:21">
      <c r="A2097" t="s">
        <v>121</v>
      </c>
      <c r="B2097">
        <v>2015</v>
      </c>
      <c r="C2097">
        <v>64130.957000000002</v>
      </c>
      <c r="D2097">
        <v>1659.999967</v>
      </c>
      <c r="E2097">
        <v>1.2</v>
      </c>
      <c r="F2097">
        <v>0</v>
      </c>
      <c r="G2097">
        <v>0.1</v>
      </c>
      <c r="H2097">
        <v>7.6923079999999997</v>
      </c>
      <c r="J2097">
        <v>5.98</v>
      </c>
      <c r="K2097">
        <v>1380</v>
      </c>
      <c r="L2097">
        <v>100</v>
      </c>
      <c r="M2097">
        <v>100</v>
      </c>
      <c r="P2097">
        <v>9.6081328110000008</v>
      </c>
      <c r="Q2097">
        <v>24921.60368</v>
      </c>
      <c r="R2097">
        <v>1.52</v>
      </c>
      <c r="S2097">
        <v>316</v>
      </c>
      <c r="T2097">
        <v>35.937496000000003</v>
      </c>
      <c r="U2097">
        <v>14.375416</v>
      </c>
    </row>
    <row r="2098" spans="1:21">
      <c r="A2098" t="s">
        <v>121</v>
      </c>
      <c r="B2098">
        <v>2016</v>
      </c>
      <c r="C2098">
        <v>69591.945000000007</v>
      </c>
      <c r="D2098">
        <v>1350.0000239999999</v>
      </c>
      <c r="E2098">
        <v>0.72</v>
      </c>
      <c r="F2098">
        <v>0</v>
      </c>
      <c r="G2098">
        <v>0.14000000000000001</v>
      </c>
      <c r="H2098">
        <v>16.279070000000001</v>
      </c>
      <c r="J2098">
        <v>9.2200000000000006</v>
      </c>
      <c r="K2098">
        <v>1380</v>
      </c>
      <c r="L2098">
        <v>100</v>
      </c>
      <c r="M2098">
        <v>100</v>
      </c>
      <c r="P2098">
        <v>4.0909174290000001</v>
      </c>
      <c r="Q2098">
        <v>25741.446059999998</v>
      </c>
      <c r="R2098">
        <v>1.35</v>
      </c>
      <c r="S2098">
        <v>316</v>
      </c>
      <c r="T2098">
        <v>35.937496000000003</v>
      </c>
      <c r="U2098">
        <v>14.375416</v>
      </c>
    </row>
    <row r="2099" spans="1:21">
      <c r="A2099" t="s">
        <v>121</v>
      </c>
      <c r="B2099">
        <v>2017</v>
      </c>
      <c r="C2099">
        <v>77316.09</v>
      </c>
      <c r="D2099">
        <v>1519.9999809999999</v>
      </c>
      <c r="E2099">
        <v>1.48</v>
      </c>
      <c r="F2099">
        <v>0</v>
      </c>
      <c r="G2099">
        <v>0.17</v>
      </c>
      <c r="H2099">
        <v>10.30303</v>
      </c>
      <c r="J2099">
        <v>7.27</v>
      </c>
      <c r="K2099">
        <v>1380</v>
      </c>
      <c r="L2099">
        <v>100</v>
      </c>
      <c r="M2099">
        <v>100</v>
      </c>
      <c r="P2099">
        <v>8.1194252890000005</v>
      </c>
      <c r="Q2099">
        <v>28250.697769999999</v>
      </c>
      <c r="R2099">
        <v>1.42</v>
      </c>
      <c r="S2099">
        <v>316</v>
      </c>
      <c r="T2099">
        <v>35.937496000000003</v>
      </c>
      <c r="U2099">
        <v>14.375416</v>
      </c>
    </row>
    <row r="2100" spans="1:21">
      <c r="A2100" t="s">
        <v>121</v>
      </c>
      <c r="B2100">
        <v>2018</v>
      </c>
      <c r="C2100">
        <v>78729.375</v>
      </c>
      <c r="D2100">
        <v>1549.9999519999999</v>
      </c>
      <c r="E2100">
        <v>1.77</v>
      </c>
      <c r="F2100">
        <v>0</v>
      </c>
      <c r="G2100">
        <v>0.2</v>
      </c>
      <c r="H2100">
        <v>10.152284</v>
      </c>
      <c r="J2100">
        <v>7.54</v>
      </c>
      <c r="K2100">
        <v>1380</v>
      </c>
      <c r="L2100">
        <v>100</v>
      </c>
      <c r="M2100">
        <v>100</v>
      </c>
      <c r="P2100">
        <v>5.1792247959999997</v>
      </c>
      <c r="Q2100">
        <v>30672.292239999999</v>
      </c>
      <c r="R2100">
        <v>1.36</v>
      </c>
      <c r="S2100">
        <v>316</v>
      </c>
      <c r="T2100">
        <v>35.937496000000003</v>
      </c>
      <c r="U2100">
        <v>14.375416</v>
      </c>
    </row>
    <row r="2101" spans="1:21">
      <c r="A2101" t="s">
        <v>121</v>
      </c>
      <c r="B2101">
        <v>2019</v>
      </c>
      <c r="C2101">
        <v>80081.509999999995</v>
      </c>
      <c r="D2101">
        <v>1659.999967</v>
      </c>
      <c r="E2101">
        <v>1.86</v>
      </c>
      <c r="F2101">
        <v>0</v>
      </c>
      <c r="G2101">
        <v>0.21</v>
      </c>
      <c r="H2101">
        <v>10.144928</v>
      </c>
      <c r="J2101">
        <v>7.7</v>
      </c>
      <c r="K2101">
        <v>1380</v>
      </c>
      <c r="L2101">
        <v>100</v>
      </c>
      <c r="M2101">
        <v>100</v>
      </c>
      <c r="P2101">
        <v>5.5395663370000001</v>
      </c>
      <c r="Q2101">
        <v>30186.195960000001</v>
      </c>
      <c r="R2101">
        <v>1.37</v>
      </c>
      <c r="S2101">
        <v>316</v>
      </c>
      <c r="T2101">
        <v>35.937496000000003</v>
      </c>
      <c r="U2101">
        <v>14.375416</v>
      </c>
    </row>
    <row r="2102" spans="1:21">
      <c r="A2102" t="s">
        <v>121</v>
      </c>
      <c r="B2102">
        <v>2020</v>
      </c>
      <c r="C2102">
        <v>72065.460000000006</v>
      </c>
      <c r="E2102">
        <v>1.9</v>
      </c>
      <c r="F2102">
        <v>0</v>
      </c>
      <c r="G2102">
        <v>0.25</v>
      </c>
      <c r="H2102">
        <v>11.627907</v>
      </c>
      <c r="K2102">
        <v>1380</v>
      </c>
      <c r="L2102">
        <v>100</v>
      </c>
      <c r="M2102">
        <v>100</v>
      </c>
      <c r="P2102">
        <v>-7.001129615</v>
      </c>
      <c r="Q2102">
        <v>27884.642830000001</v>
      </c>
      <c r="S2102">
        <v>316</v>
      </c>
      <c r="T2102">
        <v>35.937496000000003</v>
      </c>
      <c r="U2102">
        <v>14.375416</v>
      </c>
    </row>
    <row r="2103" spans="1:21">
      <c r="A2103" t="s">
        <v>122</v>
      </c>
      <c r="B2103">
        <v>2000</v>
      </c>
      <c r="C2103">
        <v>1872.364</v>
      </c>
      <c r="D2103">
        <v>1270</v>
      </c>
      <c r="E2103">
        <v>0.2</v>
      </c>
      <c r="F2103">
        <v>0</v>
      </c>
      <c r="G2103">
        <v>0.03</v>
      </c>
      <c r="H2103">
        <v>13.043478</v>
      </c>
      <c r="I2103">
        <v>0</v>
      </c>
      <c r="J2103">
        <v>44.41</v>
      </c>
      <c r="K2103">
        <v>5</v>
      </c>
      <c r="L2103">
        <v>18.746131999999999</v>
      </c>
      <c r="M2103">
        <v>29.6</v>
      </c>
      <c r="P2103">
        <v>-3.918025879</v>
      </c>
      <c r="Q2103">
        <v>676.56902239999999</v>
      </c>
      <c r="R2103">
        <v>2.5</v>
      </c>
      <c r="S2103">
        <v>1030700</v>
      </c>
      <c r="T2103">
        <v>21.00789</v>
      </c>
      <c r="U2103">
        <v>-10.940835</v>
      </c>
    </row>
    <row r="2104" spans="1:21">
      <c r="A2104" t="s">
        <v>122</v>
      </c>
      <c r="B2104">
        <v>2001</v>
      </c>
      <c r="C2104">
        <v>1906.9939999999999</v>
      </c>
      <c r="D2104">
        <v>1400</v>
      </c>
      <c r="E2104">
        <v>0.24</v>
      </c>
      <c r="F2104">
        <v>0</v>
      </c>
      <c r="G2104">
        <v>0.03</v>
      </c>
      <c r="H2104">
        <v>11.111110999999999</v>
      </c>
      <c r="I2104">
        <v>0</v>
      </c>
      <c r="J2104">
        <v>44.18</v>
      </c>
      <c r="K2104">
        <v>5</v>
      </c>
      <c r="L2104">
        <v>22.2</v>
      </c>
      <c r="M2104">
        <v>31.4</v>
      </c>
      <c r="O2104">
        <v>200000</v>
      </c>
      <c r="P2104">
        <v>-0.79949381600000002</v>
      </c>
      <c r="Q2104">
        <v>646.1151155</v>
      </c>
      <c r="R2104">
        <v>2.62</v>
      </c>
      <c r="S2104">
        <v>1030700</v>
      </c>
      <c r="T2104">
        <v>21.00789</v>
      </c>
      <c r="U2104">
        <v>-10.940835</v>
      </c>
    </row>
    <row r="2105" spans="1:21">
      <c r="A2105" t="s">
        <v>122</v>
      </c>
      <c r="B2105">
        <v>2002</v>
      </c>
      <c r="C2105">
        <v>2004.1155000000001</v>
      </c>
      <c r="D2105">
        <v>1549.9999519999999</v>
      </c>
      <c r="E2105">
        <v>0.47</v>
      </c>
      <c r="F2105">
        <v>0</v>
      </c>
      <c r="G2105">
        <v>0.03</v>
      </c>
      <c r="H2105">
        <v>6</v>
      </c>
      <c r="I2105">
        <v>0</v>
      </c>
      <c r="J2105">
        <v>42.13</v>
      </c>
      <c r="K2105">
        <v>5</v>
      </c>
      <c r="L2105">
        <v>21.503219999999999</v>
      </c>
      <c r="M2105">
        <v>33.200000000000003</v>
      </c>
      <c r="P2105">
        <v>1.3814839619999999</v>
      </c>
      <c r="Q2105">
        <v>639.66758289999996</v>
      </c>
      <c r="R2105">
        <v>2.73</v>
      </c>
      <c r="S2105">
        <v>1030700</v>
      </c>
      <c r="T2105">
        <v>21.00789</v>
      </c>
      <c r="U2105">
        <v>-10.940835</v>
      </c>
    </row>
    <row r="2106" spans="1:21">
      <c r="A2106" t="s">
        <v>122</v>
      </c>
      <c r="B2106">
        <v>2003</v>
      </c>
      <c r="C2106">
        <v>2054.2487999999998</v>
      </c>
      <c r="D2106">
        <v>1480.0000190000001</v>
      </c>
      <c r="E2106">
        <v>0.43</v>
      </c>
      <c r="F2106">
        <v>0</v>
      </c>
      <c r="G2106">
        <v>0.04</v>
      </c>
      <c r="H2106">
        <v>8.5106380000000001</v>
      </c>
      <c r="I2106">
        <v>0</v>
      </c>
      <c r="J2106">
        <v>40.17</v>
      </c>
      <c r="K2106">
        <v>5</v>
      </c>
      <c r="L2106">
        <v>22.872734000000001</v>
      </c>
      <c r="M2106">
        <v>34.5</v>
      </c>
      <c r="P2106">
        <v>6.9282695509999996</v>
      </c>
      <c r="Q2106">
        <v>717.89986759999999</v>
      </c>
      <c r="R2106">
        <v>2.64</v>
      </c>
      <c r="S2106">
        <v>1030700</v>
      </c>
      <c r="T2106">
        <v>21.00789</v>
      </c>
      <c r="U2106">
        <v>-10.940835</v>
      </c>
    </row>
    <row r="2107" spans="1:21">
      <c r="A2107" t="s">
        <v>122</v>
      </c>
      <c r="B2107">
        <v>2004</v>
      </c>
      <c r="C2107">
        <v>2161.6206000000002</v>
      </c>
      <c r="D2107">
        <v>1639.999986</v>
      </c>
      <c r="E2107">
        <v>0.47</v>
      </c>
      <c r="F2107">
        <v>0</v>
      </c>
      <c r="G2107">
        <v>0.04</v>
      </c>
      <c r="H2107">
        <v>7.8431373000000004</v>
      </c>
      <c r="I2107">
        <v>0</v>
      </c>
      <c r="J2107">
        <v>38.590000000000003</v>
      </c>
      <c r="K2107">
        <v>5</v>
      </c>
      <c r="L2107">
        <v>24.239364999999999</v>
      </c>
      <c r="M2107">
        <v>36.1</v>
      </c>
      <c r="P2107">
        <v>4.7327579249999996</v>
      </c>
      <c r="Q2107">
        <v>803.77791560000003</v>
      </c>
      <c r="R2107">
        <v>2.66</v>
      </c>
      <c r="S2107">
        <v>1030700</v>
      </c>
      <c r="T2107">
        <v>21.00789</v>
      </c>
      <c r="U2107">
        <v>-10.940835</v>
      </c>
    </row>
    <row r="2108" spans="1:21">
      <c r="A2108" t="s">
        <v>122</v>
      </c>
      <c r="B2108">
        <v>2005</v>
      </c>
      <c r="C2108">
        <v>2206.7163</v>
      </c>
      <c r="D2108">
        <v>1509.99999</v>
      </c>
      <c r="E2108">
        <v>0.45</v>
      </c>
      <c r="F2108">
        <v>0</v>
      </c>
      <c r="G2108">
        <v>0.05</v>
      </c>
      <c r="H2108">
        <v>10</v>
      </c>
      <c r="I2108">
        <v>0</v>
      </c>
      <c r="J2108">
        <v>38.770000000000003</v>
      </c>
      <c r="K2108">
        <v>5</v>
      </c>
      <c r="L2108">
        <v>18.2</v>
      </c>
      <c r="M2108">
        <v>37.700000000000003</v>
      </c>
      <c r="P2108">
        <v>8.5662872490000002</v>
      </c>
      <c r="Q2108">
        <v>970.84236069999997</v>
      </c>
      <c r="R2108">
        <v>2.5299999999999998</v>
      </c>
      <c r="S2108">
        <v>1030700</v>
      </c>
      <c r="T2108">
        <v>21.00789</v>
      </c>
      <c r="U2108">
        <v>-10.940835</v>
      </c>
    </row>
    <row r="2109" spans="1:21">
      <c r="A2109" t="s">
        <v>122</v>
      </c>
      <c r="B2109">
        <v>2006</v>
      </c>
      <c r="C2109">
        <v>2100.9645999999998</v>
      </c>
      <c r="D2109">
        <v>1730.0000190000001</v>
      </c>
      <c r="E2109">
        <v>0.4</v>
      </c>
      <c r="F2109">
        <v>0</v>
      </c>
      <c r="G2109">
        <v>0.05</v>
      </c>
      <c r="H2109">
        <v>11.111112</v>
      </c>
      <c r="I2109">
        <v>0</v>
      </c>
      <c r="J2109">
        <v>39.119999999999997</v>
      </c>
      <c r="K2109">
        <v>5</v>
      </c>
      <c r="L2109">
        <v>26.973423</v>
      </c>
      <c r="M2109">
        <v>38.700000000000003</v>
      </c>
      <c r="O2109">
        <v>24330000</v>
      </c>
      <c r="P2109">
        <v>18.333198759999998</v>
      </c>
      <c r="Q2109">
        <v>1259.5415049999999</v>
      </c>
      <c r="R2109">
        <v>2.15</v>
      </c>
      <c r="S2109">
        <v>1030700</v>
      </c>
      <c r="T2109">
        <v>21.00789</v>
      </c>
      <c r="U2109">
        <v>-10.940835</v>
      </c>
    </row>
    <row r="2110" spans="1:21">
      <c r="A2110" t="s">
        <v>122</v>
      </c>
      <c r="B2110">
        <v>2007</v>
      </c>
      <c r="C2110">
        <v>2318.1570000000002</v>
      </c>
      <c r="D2110">
        <v>1990.00001</v>
      </c>
      <c r="E2110">
        <v>0.42</v>
      </c>
      <c r="F2110">
        <v>0</v>
      </c>
      <c r="G2110">
        <v>0.05</v>
      </c>
      <c r="H2110">
        <v>10.638298000000001</v>
      </c>
      <c r="I2110">
        <v>0</v>
      </c>
      <c r="J2110">
        <v>35.630000000000003</v>
      </c>
      <c r="K2110">
        <v>5</v>
      </c>
      <c r="L2110">
        <v>33.04054</v>
      </c>
      <c r="M2110">
        <v>39.799999999999997</v>
      </c>
      <c r="O2110">
        <v>70000</v>
      </c>
      <c r="P2110">
        <v>-1.9694227520000001</v>
      </c>
      <c r="Q2110">
        <v>1357.1242850000001</v>
      </c>
      <c r="R2110">
        <v>2.39</v>
      </c>
      <c r="S2110">
        <v>1030700</v>
      </c>
      <c r="T2110">
        <v>21.00789</v>
      </c>
      <c r="U2110">
        <v>-10.940835</v>
      </c>
    </row>
    <row r="2111" spans="1:21">
      <c r="A2111" t="s">
        <v>122</v>
      </c>
      <c r="B2111">
        <v>2008</v>
      </c>
      <c r="C2111">
        <v>2781.5295000000001</v>
      </c>
      <c r="D2111">
        <v>1899.9999760000001</v>
      </c>
      <c r="E2111">
        <v>0.49</v>
      </c>
      <c r="F2111">
        <v>0</v>
      </c>
      <c r="G2111">
        <v>0.06</v>
      </c>
      <c r="H2111">
        <v>10.909091</v>
      </c>
      <c r="I2111">
        <v>0</v>
      </c>
      <c r="J2111">
        <v>35.799999999999997</v>
      </c>
      <c r="K2111">
        <v>5</v>
      </c>
      <c r="L2111">
        <v>30</v>
      </c>
      <c r="M2111">
        <v>40.9</v>
      </c>
      <c r="P2111">
        <v>-0.33107919499999999</v>
      </c>
      <c r="Q2111">
        <v>1579.5115479999999</v>
      </c>
      <c r="R2111">
        <v>2.54</v>
      </c>
      <c r="S2111">
        <v>1030700</v>
      </c>
      <c r="T2111">
        <v>21.00789</v>
      </c>
      <c r="U2111">
        <v>-10.940835</v>
      </c>
    </row>
    <row r="2112" spans="1:21">
      <c r="A2112" t="s">
        <v>122</v>
      </c>
      <c r="B2112">
        <v>2009</v>
      </c>
      <c r="C2112">
        <v>2688.0106999999998</v>
      </c>
      <c r="D2112">
        <v>2349.9999050000001</v>
      </c>
      <c r="E2112">
        <v>0.47</v>
      </c>
      <c r="F2112">
        <v>0</v>
      </c>
      <c r="G2112">
        <v>0.11</v>
      </c>
      <c r="H2112">
        <v>18.965516999999998</v>
      </c>
      <c r="I2112">
        <v>0</v>
      </c>
      <c r="J2112">
        <v>33.43</v>
      </c>
      <c r="K2112">
        <v>5</v>
      </c>
      <c r="L2112">
        <v>31.115286000000001</v>
      </c>
      <c r="M2112">
        <v>41.3</v>
      </c>
      <c r="P2112">
        <v>9.7875872000000003E-2</v>
      </c>
      <c r="Q2112">
        <v>1389.3385330000001</v>
      </c>
      <c r="R2112">
        <v>2.74</v>
      </c>
      <c r="S2112">
        <v>1030700</v>
      </c>
      <c r="T2112">
        <v>21.00789</v>
      </c>
      <c r="U2112">
        <v>-10.940835</v>
      </c>
    </row>
    <row r="2113" spans="1:21">
      <c r="A2113" t="s">
        <v>122</v>
      </c>
      <c r="B2113">
        <v>2010</v>
      </c>
      <c r="C2113">
        <v>2594.6552999999999</v>
      </c>
      <c r="D2113">
        <v>2400.0000949999999</v>
      </c>
      <c r="E2113">
        <v>0.52</v>
      </c>
      <c r="F2113">
        <v>0</v>
      </c>
      <c r="G2113">
        <v>0.12</v>
      </c>
      <c r="H2113">
        <v>18.75</v>
      </c>
      <c r="I2113">
        <v>0</v>
      </c>
      <c r="J2113">
        <v>34</v>
      </c>
      <c r="K2113">
        <v>5</v>
      </c>
      <c r="L2113">
        <v>33.959515000000003</v>
      </c>
      <c r="M2113">
        <v>41.8</v>
      </c>
      <c r="P2113">
        <v>2.6202295210000002</v>
      </c>
      <c r="Q2113">
        <v>1610.921603</v>
      </c>
      <c r="R2113">
        <v>2.75</v>
      </c>
      <c r="S2113">
        <v>1030700</v>
      </c>
      <c r="T2113">
        <v>21.00789</v>
      </c>
      <c r="U2113">
        <v>-10.940835</v>
      </c>
    </row>
    <row r="2114" spans="1:21">
      <c r="A2114" t="s">
        <v>122</v>
      </c>
      <c r="B2114">
        <v>2011</v>
      </c>
      <c r="C2114">
        <v>2710.1729999999998</v>
      </c>
      <c r="D2114">
        <v>2460.0000380000001</v>
      </c>
      <c r="E2114">
        <v>0.7</v>
      </c>
      <c r="F2114">
        <v>0</v>
      </c>
      <c r="G2114">
        <v>0.13</v>
      </c>
      <c r="H2114">
        <v>15.662651</v>
      </c>
      <c r="I2114">
        <v>0</v>
      </c>
      <c r="J2114">
        <v>33.28</v>
      </c>
      <c r="K2114">
        <v>5</v>
      </c>
      <c r="L2114">
        <v>35.166319999999999</v>
      </c>
      <c r="M2114">
        <v>42.6</v>
      </c>
      <c r="O2114">
        <v>10000</v>
      </c>
      <c r="P2114">
        <v>4.1727832830000002</v>
      </c>
      <c r="Q2114">
        <v>1879.7724720000001</v>
      </c>
      <c r="R2114">
        <v>2.76</v>
      </c>
      <c r="S2114">
        <v>1030700</v>
      </c>
      <c r="T2114">
        <v>21.00789</v>
      </c>
      <c r="U2114">
        <v>-10.940835</v>
      </c>
    </row>
    <row r="2115" spans="1:21">
      <c r="A2115" t="s">
        <v>122</v>
      </c>
      <c r="B2115">
        <v>2012</v>
      </c>
      <c r="C2115">
        <v>2906.24</v>
      </c>
      <c r="D2115">
        <v>2730.0000190000001</v>
      </c>
      <c r="E2115">
        <v>0.77</v>
      </c>
      <c r="F2115">
        <v>0</v>
      </c>
      <c r="G2115">
        <v>0.14000000000000001</v>
      </c>
      <c r="H2115">
        <v>15.384615</v>
      </c>
      <c r="I2115">
        <v>0</v>
      </c>
      <c r="J2115">
        <v>31.84</v>
      </c>
      <c r="K2115">
        <v>5</v>
      </c>
      <c r="L2115">
        <v>36.362160000000003</v>
      </c>
      <c r="M2115">
        <v>42.7</v>
      </c>
      <c r="O2115">
        <v>67620000</v>
      </c>
      <c r="P2115">
        <v>4.4700131819999998</v>
      </c>
      <c r="Q2115">
        <v>1815.2189390000001</v>
      </c>
      <c r="R2115">
        <v>2.81</v>
      </c>
      <c r="S2115">
        <v>1030700</v>
      </c>
      <c r="T2115">
        <v>21.00789</v>
      </c>
      <c r="U2115">
        <v>-10.940835</v>
      </c>
    </row>
    <row r="2116" spans="1:21">
      <c r="A2116" t="s">
        <v>122</v>
      </c>
      <c r="B2116">
        <v>2013</v>
      </c>
      <c r="C2116">
        <v>2568.1190999999999</v>
      </c>
      <c r="D2116">
        <v>2589.999914</v>
      </c>
      <c r="E2116">
        <v>0.73</v>
      </c>
      <c r="F2116">
        <v>0</v>
      </c>
      <c r="G2116">
        <v>0.21</v>
      </c>
      <c r="H2116">
        <v>22.340425</v>
      </c>
      <c r="I2116">
        <v>5.87</v>
      </c>
      <c r="J2116">
        <v>35.020000000000003</v>
      </c>
      <c r="K2116">
        <v>5</v>
      </c>
      <c r="L2116">
        <v>37.536064000000003</v>
      </c>
      <c r="M2116">
        <v>43</v>
      </c>
      <c r="O2116">
        <v>68690000</v>
      </c>
      <c r="P2116">
        <v>4.1508131859999997</v>
      </c>
      <c r="Q2116">
        <v>1892.0940000000001</v>
      </c>
      <c r="R2116">
        <v>2.5299999999999998</v>
      </c>
      <c r="S2116">
        <v>1030700</v>
      </c>
      <c r="T2116">
        <v>21.00789</v>
      </c>
      <c r="U2116">
        <v>-10.940835</v>
      </c>
    </row>
    <row r="2117" spans="1:21">
      <c r="A2117" t="s">
        <v>122</v>
      </c>
      <c r="B2117">
        <v>2014</v>
      </c>
      <c r="C2117">
        <v>2994.4866000000002</v>
      </c>
      <c r="D2117">
        <v>2900.0000949999999</v>
      </c>
      <c r="E2117">
        <v>0.76</v>
      </c>
      <c r="F2117">
        <v>0</v>
      </c>
      <c r="G2117">
        <v>0.22</v>
      </c>
      <c r="H2117">
        <v>22.448978</v>
      </c>
      <c r="I2117">
        <v>5.74</v>
      </c>
      <c r="J2117">
        <v>30.92</v>
      </c>
      <c r="K2117">
        <v>5</v>
      </c>
      <c r="L2117">
        <v>38.799999999999997</v>
      </c>
      <c r="M2117">
        <v>43.1</v>
      </c>
      <c r="O2117">
        <v>6040000</v>
      </c>
      <c r="P2117">
        <v>4.2748232709999998</v>
      </c>
      <c r="Q2117">
        <v>1677.109019</v>
      </c>
      <c r="R2117">
        <v>2.75</v>
      </c>
      <c r="S2117">
        <v>1030700</v>
      </c>
      <c r="T2117">
        <v>21.00789</v>
      </c>
      <c r="U2117">
        <v>-10.940835</v>
      </c>
    </row>
    <row r="2118" spans="1:21">
      <c r="A2118" t="s">
        <v>122</v>
      </c>
      <c r="B2118">
        <v>2015</v>
      </c>
      <c r="C2118">
        <v>2955.3346999999999</v>
      </c>
      <c r="D2118">
        <v>3559.9999429999998</v>
      </c>
      <c r="E2118">
        <v>0.82</v>
      </c>
      <c r="F2118">
        <v>0</v>
      </c>
      <c r="G2118">
        <v>0.32</v>
      </c>
      <c r="H2118">
        <v>28.070174999999999</v>
      </c>
      <c r="I2118">
        <v>12.99</v>
      </c>
      <c r="J2118">
        <v>28.2</v>
      </c>
      <c r="K2118">
        <v>5</v>
      </c>
      <c r="L2118">
        <v>39.5</v>
      </c>
      <c r="M2118">
        <v>43.1</v>
      </c>
      <c r="O2118">
        <v>120000</v>
      </c>
      <c r="P2118">
        <v>5.3763392369999998</v>
      </c>
      <c r="Q2118">
        <v>1524.0717529999999</v>
      </c>
      <c r="R2118">
        <v>2.94</v>
      </c>
      <c r="S2118">
        <v>1030700</v>
      </c>
      <c r="T2118">
        <v>21.00789</v>
      </c>
      <c r="U2118">
        <v>-10.940835</v>
      </c>
    </row>
    <row r="2119" spans="1:21">
      <c r="A2119" t="s">
        <v>122</v>
      </c>
      <c r="B2119">
        <v>2016</v>
      </c>
      <c r="C2119">
        <v>2687.6682000000001</v>
      </c>
      <c r="D2119">
        <v>3259.9999899999998</v>
      </c>
      <c r="E2119">
        <v>0.92</v>
      </c>
      <c r="F2119">
        <v>0</v>
      </c>
      <c r="G2119">
        <v>0.28999999999999998</v>
      </c>
      <c r="H2119">
        <v>23.966942</v>
      </c>
      <c r="I2119">
        <v>16.61</v>
      </c>
      <c r="J2119">
        <v>31.66</v>
      </c>
      <c r="K2119">
        <v>5</v>
      </c>
      <c r="L2119">
        <v>41.321617000000003</v>
      </c>
      <c r="M2119">
        <v>43.3</v>
      </c>
      <c r="O2119">
        <v>178260000</v>
      </c>
      <c r="P2119">
        <v>1.2609092239999999</v>
      </c>
      <c r="Q2119">
        <v>1536.8548880000001</v>
      </c>
      <c r="R2119">
        <v>2.68</v>
      </c>
      <c r="S2119">
        <v>1030700</v>
      </c>
      <c r="T2119">
        <v>21.00789</v>
      </c>
      <c r="U2119">
        <v>-10.940835</v>
      </c>
    </row>
    <row r="2120" spans="1:21">
      <c r="A2120" t="s">
        <v>122</v>
      </c>
      <c r="B2120">
        <v>2017</v>
      </c>
      <c r="C2120">
        <v>3923.3762000000002</v>
      </c>
      <c r="D2120">
        <v>3490.0000100000002</v>
      </c>
      <c r="E2120">
        <v>1.18</v>
      </c>
      <c r="F2120">
        <v>0</v>
      </c>
      <c r="G2120">
        <v>0.33</v>
      </c>
      <c r="H2120">
        <v>21.854305</v>
      </c>
      <c r="I2120">
        <v>16.149999999999999</v>
      </c>
      <c r="J2120">
        <v>26.54</v>
      </c>
      <c r="K2120">
        <v>5</v>
      </c>
      <c r="L2120">
        <v>42.9</v>
      </c>
      <c r="M2120">
        <v>43.2</v>
      </c>
      <c r="O2120">
        <v>18440000</v>
      </c>
      <c r="P2120">
        <v>6.2705456939999999</v>
      </c>
      <c r="Q2120">
        <v>1587.611263</v>
      </c>
      <c r="R2120">
        <v>3.13</v>
      </c>
      <c r="S2120">
        <v>1030700</v>
      </c>
      <c r="T2120">
        <v>21.00789</v>
      </c>
      <c r="U2120">
        <v>-10.940835</v>
      </c>
    </row>
    <row r="2121" spans="1:21">
      <c r="A2121" t="s">
        <v>122</v>
      </c>
      <c r="B2121">
        <v>2018</v>
      </c>
      <c r="C2121">
        <v>4074.3656999999998</v>
      </c>
      <c r="D2121">
        <v>3690.0000570000002</v>
      </c>
      <c r="E2121">
        <v>1.26</v>
      </c>
      <c r="F2121">
        <v>0</v>
      </c>
      <c r="G2121">
        <v>0.43</v>
      </c>
      <c r="H2121">
        <v>25.443787</v>
      </c>
      <c r="I2121">
        <v>27.53</v>
      </c>
      <c r="J2121">
        <v>25.17</v>
      </c>
      <c r="K2121">
        <v>5</v>
      </c>
      <c r="L2121">
        <v>44.312137999999997</v>
      </c>
      <c r="M2121">
        <v>43.3</v>
      </c>
      <c r="O2121">
        <v>10000</v>
      </c>
      <c r="P2121">
        <v>4.5267462250000001</v>
      </c>
      <c r="Q2121">
        <v>1670.2041650000001</v>
      </c>
      <c r="R2121">
        <v>3.35</v>
      </c>
      <c r="S2121">
        <v>1030700</v>
      </c>
      <c r="T2121">
        <v>21.00789</v>
      </c>
      <c r="U2121">
        <v>-10.940835</v>
      </c>
    </row>
    <row r="2122" spans="1:21">
      <c r="A2122" t="s">
        <v>122</v>
      </c>
      <c r="B2122">
        <v>2019</v>
      </c>
      <c r="C2122">
        <v>4149.2290000000003</v>
      </c>
      <c r="D2122">
        <v>3950.0000479999999</v>
      </c>
      <c r="E2122">
        <v>1.36</v>
      </c>
      <c r="F2122">
        <v>0</v>
      </c>
      <c r="G2122">
        <v>0.46</v>
      </c>
      <c r="H2122">
        <v>25.274725</v>
      </c>
      <c r="I2122">
        <v>26.94</v>
      </c>
      <c r="J2122">
        <v>24.7</v>
      </c>
      <c r="K2122">
        <v>5</v>
      </c>
      <c r="L2122">
        <v>45.830032000000003</v>
      </c>
      <c r="M2122">
        <v>43</v>
      </c>
      <c r="O2122">
        <v>1000000</v>
      </c>
      <c r="P2122">
        <v>5.7599305899999997</v>
      </c>
      <c r="Q2122">
        <v>1743.302901</v>
      </c>
      <c r="R2122">
        <v>3.24</v>
      </c>
      <c r="S2122">
        <v>1030700</v>
      </c>
      <c r="T2122">
        <v>21.00789</v>
      </c>
      <c r="U2122">
        <v>-10.940835</v>
      </c>
    </row>
    <row r="2123" spans="1:21">
      <c r="A2123" t="s">
        <v>122</v>
      </c>
      <c r="B2123">
        <v>2020</v>
      </c>
      <c r="C2123">
        <v>3884.7750999999998</v>
      </c>
      <c r="E2123">
        <v>1.29</v>
      </c>
      <c r="F2123">
        <v>0</v>
      </c>
      <c r="G2123">
        <v>0.48</v>
      </c>
      <c r="H2123">
        <v>27.118645000000001</v>
      </c>
      <c r="I2123">
        <v>26.22</v>
      </c>
      <c r="K2123">
        <v>5</v>
      </c>
      <c r="L2123">
        <v>47.348419999999997</v>
      </c>
      <c r="M2123">
        <v>42.6</v>
      </c>
      <c r="P2123">
        <v>-1.7633217940000001</v>
      </c>
      <c r="Q2123">
        <v>1701.9911629999999</v>
      </c>
      <c r="S2123">
        <v>1030700</v>
      </c>
      <c r="T2123">
        <v>21.00789</v>
      </c>
      <c r="U2123">
        <v>-10.940835</v>
      </c>
    </row>
    <row r="2124" spans="1:21">
      <c r="A2124" t="s">
        <v>123</v>
      </c>
      <c r="B2124">
        <v>2000</v>
      </c>
      <c r="C2124">
        <v>13215.6</v>
      </c>
      <c r="D2124">
        <v>2430</v>
      </c>
      <c r="E2124">
        <v>1.4</v>
      </c>
      <c r="F2124">
        <v>0</v>
      </c>
      <c r="G2124">
        <v>0.28000000000000003</v>
      </c>
      <c r="H2124">
        <v>16.666668000000001</v>
      </c>
      <c r="I2124">
        <v>111.33</v>
      </c>
      <c r="J2124">
        <v>20.420000000000002</v>
      </c>
      <c r="K2124">
        <v>626</v>
      </c>
      <c r="L2124">
        <v>99</v>
      </c>
      <c r="M2124">
        <v>93.6</v>
      </c>
      <c r="P2124">
        <v>8.2027917830000003</v>
      </c>
      <c r="Q2124">
        <v>3929.075495</v>
      </c>
      <c r="R2124">
        <v>3</v>
      </c>
      <c r="S2124">
        <v>2040</v>
      </c>
      <c r="T2124">
        <v>-20.348403999999999</v>
      </c>
      <c r="U2124">
        <v>57.552152</v>
      </c>
    </row>
    <row r="2125" spans="1:21">
      <c r="A2125" t="s">
        <v>123</v>
      </c>
      <c r="B2125">
        <v>2001</v>
      </c>
      <c r="C2125">
        <v>13385.311</v>
      </c>
      <c r="D2125">
        <v>2570</v>
      </c>
      <c r="E2125">
        <v>1.49</v>
      </c>
      <c r="F2125">
        <v>0</v>
      </c>
      <c r="G2125">
        <v>0.31</v>
      </c>
      <c r="H2125">
        <v>17.222223</v>
      </c>
      <c r="I2125">
        <v>120.31</v>
      </c>
      <c r="J2125">
        <v>20.079999999999998</v>
      </c>
      <c r="K2125">
        <v>626</v>
      </c>
      <c r="L2125">
        <v>99.264724999999999</v>
      </c>
      <c r="M2125">
        <v>94.1</v>
      </c>
      <c r="P2125">
        <v>3.3475407110000002</v>
      </c>
      <c r="Q2125">
        <v>3856.625227</v>
      </c>
      <c r="R2125">
        <v>3.05</v>
      </c>
      <c r="S2125">
        <v>2040</v>
      </c>
      <c r="T2125">
        <v>-20.348403999999999</v>
      </c>
      <c r="U2125">
        <v>57.552152</v>
      </c>
    </row>
    <row r="2126" spans="1:21">
      <c r="A2126" t="s">
        <v>123</v>
      </c>
      <c r="B2126">
        <v>2002</v>
      </c>
      <c r="C2126">
        <v>13056.474</v>
      </c>
      <c r="D2126">
        <v>2609.9998949999999</v>
      </c>
      <c r="E2126">
        <v>1.52</v>
      </c>
      <c r="F2126">
        <v>0</v>
      </c>
      <c r="G2126">
        <v>0.33</v>
      </c>
      <c r="H2126">
        <v>17.837837</v>
      </c>
      <c r="I2126">
        <v>119.52</v>
      </c>
      <c r="J2126">
        <v>17.93</v>
      </c>
      <c r="K2126">
        <v>626</v>
      </c>
      <c r="L2126">
        <v>99.4</v>
      </c>
      <c r="M2126">
        <v>94.7</v>
      </c>
      <c r="P2126">
        <v>1.6149186449999999</v>
      </c>
      <c r="Q2126">
        <v>4018.9488970000002</v>
      </c>
      <c r="R2126">
        <v>2.97</v>
      </c>
      <c r="S2126">
        <v>2040</v>
      </c>
      <c r="T2126">
        <v>-20.348403999999999</v>
      </c>
      <c r="U2126">
        <v>57.552152</v>
      </c>
    </row>
    <row r="2127" spans="1:21">
      <c r="A2127" t="s">
        <v>123</v>
      </c>
      <c r="B2127">
        <v>2003</v>
      </c>
      <c r="C2127">
        <v>13249.851000000001</v>
      </c>
      <c r="D2127">
        <v>2750</v>
      </c>
      <c r="E2127">
        <v>1.61</v>
      </c>
      <c r="F2127">
        <v>0</v>
      </c>
      <c r="G2127">
        <v>0.37</v>
      </c>
      <c r="H2127">
        <v>18.686869000000002</v>
      </c>
      <c r="I2127">
        <v>118.81</v>
      </c>
      <c r="J2127">
        <v>18.899999999999999</v>
      </c>
      <c r="K2127">
        <v>626</v>
      </c>
      <c r="L2127">
        <v>99.185519999999997</v>
      </c>
      <c r="M2127">
        <v>95.05</v>
      </c>
      <c r="P2127">
        <v>5.9254454890000003</v>
      </c>
      <c r="Q2127">
        <v>4793.7181790000004</v>
      </c>
      <c r="R2127">
        <v>2.94</v>
      </c>
      <c r="S2127">
        <v>2040</v>
      </c>
      <c r="T2127">
        <v>-20.348403999999999</v>
      </c>
      <c r="U2127">
        <v>57.552152</v>
      </c>
    </row>
    <row r="2128" spans="1:21">
      <c r="A2128" t="s">
        <v>123</v>
      </c>
      <c r="B2128">
        <v>2004</v>
      </c>
      <c r="C2128">
        <v>13567.276</v>
      </c>
      <c r="D2128">
        <v>2769.9999809999999</v>
      </c>
      <c r="E2128">
        <v>1.68</v>
      </c>
      <c r="F2128">
        <v>0</v>
      </c>
      <c r="G2128">
        <v>0.37</v>
      </c>
      <c r="H2128">
        <v>18.048780000000001</v>
      </c>
      <c r="I2128">
        <v>118.32</v>
      </c>
      <c r="J2128">
        <v>19.079999999999998</v>
      </c>
      <c r="K2128">
        <v>626</v>
      </c>
      <c r="L2128">
        <v>99.140410000000003</v>
      </c>
      <c r="M2128">
        <v>95.5</v>
      </c>
      <c r="P2128">
        <v>4.3300198720000003</v>
      </c>
      <c r="Q2128">
        <v>5388.0657840000003</v>
      </c>
      <c r="R2128">
        <v>2.87</v>
      </c>
      <c r="S2128">
        <v>2040</v>
      </c>
      <c r="T2128">
        <v>-20.348403999999999</v>
      </c>
      <c r="U2128">
        <v>57.552152</v>
      </c>
    </row>
    <row r="2129" spans="1:21">
      <c r="A2129" t="s">
        <v>123</v>
      </c>
      <c r="B2129">
        <v>2005</v>
      </c>
      <c r="C2129">
        <v>14451.097</v>
      </c>
      <c r="D2129">
        <v>2960.0000380000001</v>
      </c>
      <c r="E2129">
        <v>1.52</v>
      </c>
      <c r="F2129">
        <v>0</v>
      </c>
      <c r="G2129">
        <v>0.62</v>
      </c>
      <c r="H2129">
        <v>28.971962000000001</v>
      </c>
      <c r="I2129">
        <v>117.54</v>
      </c>
      <c r="J2129">
        <v>17.649999999999999</v>
      </c>
      <c r="K2129">
        <v>626</v>
      </c>
      <c r="L2129">
        <v>99.094764999999995</v>
      </c>
      <c r="M2129">
        <v>95.8</v>
      </c>
      <c r="P2129">
        <v>1.777543037</v>
      </c>
      <c r="Q2129">
        <v>5282.9060220000001</v>
      </c>
      <c r="R2129">
        <v>2.92</v>
      </c>
      <c r="S2129">
        <v>2040</v>
      </c>
      <c r="T2129">
        <v>-20.348403999999999</v>
      </c>
      <c r="U2129">
        <v>57.552152</v>
      </c>
    </row>
    <row r="2130" spans="1:21">
      <c r="A2130" t="s">
        <v>123</v>
      </c>
      <c r="B2130">
        <v>2006</v>
      </c>
      <c r="C2130">
        <v>15004.636</v>
      </c>
      <c r="D2130">
        <v>3299.9999520000001</v>
      </c>
      <c r="E2130">
        <v>1.87</v>
      </c>
      <c r="F2130">
        <v>0</v>
      </c>
      <c r="G2130">
        <v>0.35</v>
      </c>
      <c r="H2130">
        <v>15.765765</v>
      </c>
      <c r="I2130">
        <v>116.93</v>
      </c>
      <c r="J2130">
        <v>16.41</v>
      </c>
      <c r="K2130">
        <v>626</v>
      </c>
      <c r="L2130">
        <v>99.050989999999999</v>
      </c>
      <c r="M2130">
        <v>96.1</v>
      </c>
      <c r="P2130">
        <v>4.8655445970000004</v>
      </c>
      <c r="Q2130">
        <v>5695.9693269999998</v>
      </c>
      <c r="R2130">
        <v>2.97</v>
      </c>
      <c r="S2130">
        <v>2040</v>
      </c>
      <c r="T2130">
        <v>-20.348403999999999</v>
      </c>
      <c r="U2130">
        <v>57.552152</v>
      </c>
    </row>
    <row r="2131" spans="1:21">
      <c r="A2131" t="s">
        <v>123</v>
      </c>
      <c r="B2131">
        <v>2007</v>
      </c>
      <c r="C2131">
        <v>15502.124</v>
      </c>
      <c r="D2131">
        <v>3400.0000949999999</v>
      </c>
      <c r="E2131">
        <v>1.97</v>
      </c>
      <c r="F2131">
        <v>0</v>
      </c>
      <c r="G2131">
        <v>0.35</v>
      </c>
      <c r="H2131">
        <v>15.086207</v>
      </c>
      <c r="I2131">
        <v>116.41</v>
      </c>
      <c r="J2131">
        <v>15.69</v>
      </c>
      <c r="K2131">
        <v>626</v>
      </c>
      <c r="L2131">
        <v>99.011740000000003</v>
      </c>
      <c r="M2131">
        <v>96.3</v>
      </c>
      <c r="P2131">
        <v>5.7270161469999996</v>
      </c>
      <c r="Q2131">
        <v>6574.6543380000003</v>
      </c>
      <c r="R2131">
        <v>2.83</v>
      </c>
      <c r="S2131">
        <v>2040</v>
      </c>
      <c r="T2131">
        <v>-20.348403999999999</v>
      </c>
      <c r="U2131">
        <v>57.552152</v>
      </c>
    </row>
    <row r="2132" spans="1:21">
      <c r="A2132" t="s">
        <v>123</v>
      </c>
      <c r="B2132">
        <v>2008</v>
      </c>
      <c r="C2132">
        <v>15889.464</v>
      </c>
      <c r="D2132">
        <v>3470.0000289999998</v>
      </c>
      <c r="E2132">
        <v>2.06</v>
      </c>
      <c r="F2132">
        <v>0</v>
      </c>
      <c r="G2132">
        <v>0.37</v>
      </c>
      <c r="H2132">
        <v>15.226336999999999</v>
      </c>
      <c r="I2132">
        <v>115.91</v>
      </c>
      <c r="J2132">
        <v>12.73</v>
      </c>
      <c r="K2132">
        <v>626</v>
      </c>
      <c r="L2132">
        <v>98.97972</v>
      </c>
      <c r="M2132">
        <v>96.5</v>
      </c>
      <c r="P2132">
        <v>5.3869625579999996</v>
      </c>
      <c r="Q2132">
        <v>8030.063005</v>
      </c>
      <c r="R2132">
        <v>2.75</v>
      </c>
      <c r="S2132">
        <v>2040</v>
      </c>
      <c r="T2132">
        <v>-20.348403999999999</v>
      </c>
      <c r="U2132">
        <v>57.552152</v>
      </c>
    </row>
    <row r="2133" spans="1:21">
      <c r="A2133" t="s">
        <v>123</v>
      </c>
      <c r="B2133">
        <v>2009</v>
      </c>
      <c r="C2133">
        <v>15279.018</v>
      </c>
      <c r="D2133">
        <v>3420.0000759999998</v>
      </c>
      <c r="E2133">
        <v>1.97</v>
      </c>
      <c r="F2133">
        <v>0</v>
      </c>
      <c r="G2133">
        <v>0.49</v>
      </c>
      <c r="H2133">
        <v>19.918700000000001</v>
      </c>
      <c r="I2133">
        <v>115.87</v>
      </c>
      <c r="J2133">
        <v>12.78</v>
      </c>
      <c r="K2133">
        <v>626</v>
      </c>
      <c r="L2133">
        <v>98.957633999999999</v>
      </c>
      <c r="M2133">
        <v>96.7</v>
      </c>
      <c r="P2133">
        <v>3.3150769900000001</v>
      </c>
      <c r="Q2133">
        <v>7318.1264099999999</v>
      </c>
      <c r="R2133">
        <v>2.59</v>
      </c>
      <c r="S2133">
        <v>2040</v>
      </c>
      <c r="T2133">
        <v>-20.348403999999999</v>
      </c>
      <c r="U2133">
        <v>57.552152</v>
      </c>
    </row>
    <row r="2134" spans="1:21">
      <c r="A2134" t="s">
        <v>123</v>
      </c>
      <c r="B2134">
        <v>2010</v>
      </c>
      <c r="C2134">
        <v>16415.437999999998</v>
      </c>
      <c r="D2134">
        <v>3660.000086</v>
      </c>
      <c r="E2134">
        <v>2.1</v>
      </c>
      <c r="F2134">
        <v>0</v>
      </c>
      <c r="G2134">
        <v>0.47</v>
      </c>
      <c r="H2134">
        <v>18.287939999999999</v>
      </c>
      <c r="I2134">
        <v>116.26</v>
      </c>
      <c r="J2134">
        <v>12.77</v>
      </c>
      <c r="K2134">
        <v>626</v>
      </c>
      <c r="L2134">
        <v>99.69</v>
      </c>
      <c r="M2134">
        <v>96.8</v>
      </c>
      <c r="O2134">
        <v>2040000</v>
      </c>
      <c r="P2134">
        <v>4.3772032269999999</v>
      </c>
      <c r="Q2134">
        <v>8000.376432</v>
      </c>
      <c r="R2134">
        <v>2.62</v>
      </c>
      <c r="S2134">
        <v>2040</v>
      </c>
      <c r="T2134">
        <v>-20.348403999999999</v>
      </c>
      <c r="U2134">
        <v>57.552152</v>
      </c>
    </row>
    <row r="2135" spans="1:21">
      <c r="A2135" t="s">
        <v>123</v>
      </c>
      <c r="B2135">
        <v>2011</v>
      </c>
      <c r="C2135">
        <v>16788.395</v>
      </c>
      <c r="D2135">
        <v>3640.0001050000001</v>
      </c>
      <c r="E2135">
        <v>2.2000000000000002</v>
      </c>
      <c r="F2135">
        <v>0</v>
      </c>
      <c r="G2135">
        <v>0.4</v>
      </c>
      <c r="H2135">
        <v>15.384615999999999</v>
      </c>
      <c r="I2135">
        <v>117.74</v>
      </c>
      <c r="J2135">
        <v>12.01</v>
      </c>
      <c r="K2135">
        <v>626</v>
      </c>
      <c r="L2135">
        <v>99.6</v>
      </c>
      <c r="M2135">
        <v>96.9</v>
      </c>
      <c r="P2135">
        <v>4.0775380759999997</v>
      </c>
      <c r="Q2135">
        <v>9197.0269719999997</v>
      </c>
      <c r="R2135">
        <v>2.5299999999999998</v>
      </c>
      <c r="S2135">
        <v>2040</v>
      </c>
      <c r="T2135">
        <v>-20.348403999999999</v>
      </c>
      <c r="U2135">
        <v>57.552152</v>
      </c>
    </row>
    <row r="2136" spans="1:21">
      <c r="A2136" t="s">
        <v>123</v>
      </c>
      <c r="B2136">
        <v>2012</v>
      </c>
      <c r="C2136">
        <v>16868.873</v>
      </c>
      <c r="D2136">
        <v>3730.0000190000001</v>
      </c>
      <c r="E2136">
        <v>2.29</v>
      </c>
      <c r="F2136">
        <v>0</v>
      </c>
      <c r="G2136">
        <v>0.35</v>
      </c>
      <c r="H2136">
        <v>13.257574999999999</v>
      </c>
      <c r="I2136">
        <v>118.71</v>
      </c>
      <c r="J2136">
        <v>11.45</v>
      </c>
      <c r="K2136">
        <v>626</v>
      </c>
      <c r="L2136">
        <v>99.568619999999996</v>
      </c>
      <c r="M2136">
        <v>97.1</v>
      </c>
      <c r="P2136">
        <v>3.4961183600000001</v>
      </c>
      <c r="Q2136">
        <v>9291.2276189999993</v>
      </c>
      <c r="R2136">
        <v>2.48</v>
      </c>
      <c r="S2136">
        <v>2040</v>
      </c>
      <c r="T2136">
        <v>-20.348403999999999</v>
      </c>
      <c r="U2136">
        <v>57.552152</v>
      </c>
    </row>
    <row r="2137" spans="1:21">
      <c r="A2137" t="s">
        <v>123</v>
      </c>
      <c r="B2137">
        <v>2013</v>
      </c>
      <c r="C2137">
        <v>17104.646000000001</v>
      </c>
      <c r="D2137">
        <v>3819.9999330000001</v>
      </c>
      <c r="E2137">
        <v>2.35</v>
      </c>
      <c r="F2137">
        <v>0</v>
      </c>
      <c r="G2137">
        <v>0.38</v>
      </c>
      <c r="H2137">
        <v>13.919414</v>
      </c>
      <c r="I2137">
        <v>120.66</v>
      </c>
      <c r="J2137">
        <v>11.39</v>
      </c>
      <c r="K2137">
        <v>626</v>
      </c>
      <c r="L2137">
        <v>99.480509999999995</v>
      </c>
      <c r="M2137">
        <v>97.1</v>
      </c>
      <c r="O2137">
        <v>58790000</v>
      </c>
      <c r="P2137">
        <v>3.3604060979999999</v>
      </c>
      <c r="Q2137">
        <v>9637.0026500000004</v>
      </c>
      <c r="R2137">
        <v>2.44</v>
      </c>
      <c r="S2137">
        <v>2040</v>
      </c>
      <c r="T2137">
        <v>-20.348403999999999</v>
      </c>
      <c r="U2137">
        <v>57.552152</v>
      </c>
    </row>
    <row r="2138" spans="1:21">
      <c r="A2138" t="s">
        <v>123</v>
      </c>
      <c r="B2138">
        <v>2014</v>
      </c>
      <c r="C2138">
        <v>17609.401999999998</v>
      </c>
      <c r="D2138">
        <v>3950.0000479999999</v>
      </c>
      <c r="E2138">
        <v>2.38</v>
      </c>
      <c r="F2138">
        <v>0</v>
      </c>
      <c r="G2138">
        <v>0.42</v>
      </c>
      <c r="H2138">
        <v>15</v>
      </c>
      <c r="I2138">
        <v>133</v>
      </c>
      <c r="J2138">
        <v>10.59</v>
      </c>
      <c r="K2138">
        <v>626</v>
      </c>
      <c r="L2138">
        <v>99.380369999999999</v>
      </c>
      <c r="M2138">
        <v>97.25</v>
      </c>
      <c r="O2138">
        <v>52610000</v>
      </c>
      <c r="P2138">
        <v>3.7445757770000001</v>
      </c>
      <c r="Q2138">
        <v>10153.93822</v>
      </c>
      <c r="R2138">
        <v>2.4</v>
      </c>
      <c r="S2138">
        <v>2040</v>
      </c>
      <c r="T2138">
        <v>-20.348403999999999</v>
      </c>
      <c r="U2138">
        <v>57.552152</v>
      </c>
    </row>
    <row r="2139" spans="1:21">
      <c r="A2139" t="s">
        <v>123</v>
      </c>
      <c r="B2139">
        <v>2015</v>
      </c>
      <c r="C2139">
        <v>18247.52</v>
      </c>
      <c r="D2139">
        <v>3960.0000380000001</v>
      </c>
      <c r="E2139">
        <v>2.37</v>
      </c>
      <c r="F2139">
        <v>0</v>
      </c>
      <c r="G2139">
        <v>0.49</v>
      </c>
      <c r="H2139">
        <v>17.132867999999998</v>
      </c>
      <c r="I2139">
        <v>141.21</v>
      </c>
      <c r="J2139">
        <v>11.49</v>
      </c>
      <c r="K2139">
        <v>626</v>
      </c>
      <c r="L2139">
        <v>99.361609999999999</v>
      </c>
      <c r="M2139">
        <v>97.2</v>
      </c>
      <c r="O2139">
        <v>9440000</v>
      </c>
      <c r="P2139">
        <v>3.5530717040000002</v>
      </c>
      <c r="Q2139">
        <v>9260.4473030000008</v>
      </c>
      <c r="R2139">
        <v>2.39</v>
      </c>
      <c r="S2139">
        <v>2040</v>
      </c>
      <c r="T2139">
        <v>-20.348403999999999</v>
      </c>
      <c r="U2139">
        <v>57.552152</v>
      </c>
    </row>
    <row r="2140" spans="1:21">
      <c r="A2140" t="s">
        <v>123</v>
      </c>
      <c r="B2140">
        <v>2016</v>
      </c>
      <c r="C2140">
        <v>18958.601999999999</v>
      </c>
      <c r="D2140">
        <v>4039.9999619999999</v>
      </c>
      <c r="E2140">
        <v>2.42</v>
      </c>
      <c r="F2140">
        <v>0</v>
      </c>
      <c r="G2140">
        <v>0.48</v>
      </c>
      <c r="H2140">
        <v>16.551722999999999</v>
      </c>
      <c r="I2140">
        <v>155.19</v>
      </c>
      <c r="J2140">
        <v>10.33</v>
      </c>
      <c r="K2140">
        <v>626</v>
      </c>
      <c r="L2140">
        <v>99.480009999999993</v>
      </c>
      <c r="M2140">
        <v>97.1</v>
      </c>
      <c r="O2140">
        <v>29400000</v>
      </c>
      <c r="P2140">
        <v>3.8379326539999998</v>
      </c>
      <c r="Q2140">
        <v>9681.6185669999995</v>
      </c>
      <c r="R2140">
        <v>2.2999999999999998</v>
      </c>
      <c r="S2140">
        <v>2040</v>
      </c>
      <c r="T2140">
        <v>-20.348403999999999</v>
      </c>
      <c r="U2140">
        <v>57.552152</v>
      </c>
    </row>
    <row r="2141" spans="1:21">
      <c r="A2141" t="s">
        <v>123</v>
      </c>
      <c r="B2141">
        <v>2017</v>
      </c>
      <c r="C2141">
        <v>20786.77</v>
      </c>
      <c r="D2141">
        <v>4170.0000760000003</v>
      </c>
      <c r="E2141">
        <v>2.52</v>
      </c>
      <c r="F2141">
        <v>0</v>
      </c>
      <c r="G2141">
        <v>0.45</v>
      </c>
      <c r="H2141">
        <v>15.151515</v>
      </c>
      <c r="I2141">
        <v>156.08000000000001</v>
      </c>
      <c r="J2141">
        <v>9.42</v>
      </c>
      <c r="K2141">
        <v>626</v>
      </c>
      <c r="L2141">
        <v>99.61</v>
      </c>
      <c r="M2141">
        <v>97.1</v>
      </c>
      <c r="O2141">
        <v>340000</v>
      </c>
      <c r="P2141">
        <v>3.814152108</v>
      </c>
      <c r="Q2141">
        <v>10484.908359999999</v>
      </c>
      <c r="R2141">
        <v>2.25</v>
      </c>
      <c r="S2141">
        <v>2040</v>
      </c>
      <c r="T2141">
        <v>-20.348403999999999</v>
      </c>
      <c r="U2141">
        <v>57.552152</v>
      </c>
    </row>
    <row r="2142" spans="1:21">
      <c r="A2142" t="s">
        <v>123</v>
      </c>
      <c r="B2142">
        <v>2018</v>
      </c>
      <c r="C2142">
        <v>21929.627</v>
      </c>
      <c r="D2142">
        <v>4130.0001140000004</v>
      </c>
      <c r="E2142">
        <v>2.4500000000000002</v>
      </c>
      <c r="F2142">
        <v>0</v>
      </c>
      <c r="G2142">
        <v>0.52</v>
      </c>
      <c r="H2142">
        <v>17.508417000000001</v>
      </c>
      <c r="I2142">
        <v>186.25</v>
      </c>
      <c r="J2142">
        <v>9.19</v>
      </c>
      <c r="K2142">
        <v>626</v>
      </c>
      <c r="L2142">
        <v>99.448845000000006</v>
      </c>
      <c r="M2142">
        <v>97</v>
      </c>
      <c r="P2142">
        <v>3.7596772270000001</v>
      </c>
      <c r="Q2142">
        <v>11208.34382</v>
      </c>
      <c r="R2142">
        <v>2.15</v>
      </c>
      <c r="S2142">
        <v>2040</v>
      </c>
      <c r="T2142">
        <v>-20.348403999999999</v>
      </c>
      <c r="U2142">
        <v>57.552152</v>
      </c>
    </row>
    <row r="2143" spans="1:21">
      <c r="A2143" t="s">
        <v>123</v>
      </c>
      <c r="B2143">
        <v>2019</v>
      </c>
      <c r="C2143">
        <v>22800.157999999999</v>
      </c>
      <c r="D2143">
        <v>4170.0000760000003</v>
      </c>
      <c r="E2143">
        <v>2.5</v>
      </c>
      <c r="F2143">
        <v>0</v>
      </c>
      <c r="G2143">
        <v>0.59</v>
      </c>
      <c r="H2143">
        <v>19.093851000000001</v>
      </c>
      <c r="I2143">
        <v>198.49</v>
      </c>
      <c r="J2143">
        <v>8.94</v>
      </c>
      <c r="K2143">
        <v>626</v>
      </c>
      <c r="L2143">
        <v>100</v>
      </c>
      <c r="M2143">
        <v>96.9</v>
      </c>
      <c r="P2143">
        <v>3.0123759030000001</v>
      </c>
      <c r="Q2143">
        <v>11097.16898</v>
      </c>
      <c r="R2143">
        <v>2.13</v>
      </c>
      <c r="S2143">
        <v>2040</v>
      </c>
      <c r="T2143">
        <v>-20.348403999999999</v>
      </c>
      <c r="U2143">
        <v>57.552152</v>
      </c>
    </row>
    <row r="2144" spans="1:21">
      <c r="A2144" t="s">
        <v>123</v>
      </c>
      <c r="B2144">
        <v>2020</v>
      </c>
      <c r="C2144">
        <v>19245.18</v>
      </c>
      <c r="E2144">
        <v>2.17</v>
      </c>
      <c r="F2144">
        <v>0</v>
      </c>
      <c r="G2144">
        <v>0.56999999999999995</v>
      </c>
      <c r="H2144">
        <v>20.80292</v>
      </c>
      <c r="I2144">
        <v>198.16</v>
      </c>
      <c r="K2144">
        <v>626</v>
      </c>
      <c r="L2144">
        <v>99.661649999999995</v>
      </c>
      <c r="M2144">
        <v>96.8</v>
      </c>
      <c r="P2144">
        <v>-14.89468757</v>
      </c>
      <c r="Q2144">
        <v>8627.8431569999993</v>
      </c>
      <c r="S2144">
        <v>2040</v>
      </c>
      <c r="T2144">
        <v>-20.348403999999999</v>
      </c>
      <c r="U2144">
        <v>57.552152</v>
      </c>
    </row>
    <row r="2145" spans="1:21">
      <c r="A2145" t="s">
        <v>124</v>
      </c>
      <c r="B2145">
        <v>2000</v>
      </c>
      <c r="C2145">
        <v>17300.662</v>
      </c>
      <c r="D2145">
        <v>379180</v>
      </c>
      <c r="E2145">
        <v>141.80000000000001</v>
      </c>
      <c r="F2145">
        <v>7.81</v>
      </c>
      <c r="G2145">
        <v>44.51</v>
      </c>
      <c r="H2145">
        <v>26.952401999999999</v>
      </c>
      <c r="I2145">
        <v>109.89</v>
      </c>
      <c r="J2145">
        <v>12.17</v>
      </c>
      <c r="K2145">
        <v>66</v>
      </c>
      <c r="L2145">
        <v>98.007130000000004</v>
      </c>
      <c r="M2145">
        <v>82.4</v>
      </c>
      <c r="N2145">
        <v>7.1508975000000001</v>
      </c>
      <c r="O2145">
        <v>2450000</v>
      </c>
      <c r="P2145">
        <v>4.9424537150000001</v>
      </c>
      <c r="Q2145">
        <v>7157.8145000000004</v>
      </c>
      <c r="R2145">
        <v>3.6</v>
      </c>
      <c r="S2145">
        <v>1964375</v>
      </c>
      <c r="T2145">
        <v>23.634501</v>
      </c>
      <c r="U2145">
        <v>-102.552784</v>
      </c>
    </row>
    <row r="2146" spans="1:21">
      <c r="A2146" t="s">
        <v>124</v>
      </c>
      <c r="B2146">
        <v>2001</v>
      </c>
      <c r="C2146">
        <v>16898.29</v>
      </c>
      <c r="D2146">
        <v>378830</v>
      </c>
      <c r="E2146">
        <v>153.32</v>
      </c>
      <c r="F2146">
        <v>8.2899999999999991</v>
      </c>
      <c r="G2146">
        <v>39.56</v>
      </c>
      <c r="H2146">
        <v>23.785851999999998</v>
      </c>
      <c r="I2146">
        <v>109.6</v>
      </c>
      <c r="J2146">
        <v>11.34</v>
      </c>
      <c r="K2146">
        <v>66</v>
      </c>
      <c r="L2146">
        <v>97.138319999999993</v>
      </c>
      <c r="M2146">
        <v>83.1</v>
      </c>
      <c r="N2146">
        <v>6.3393072999999998</v>
      </c>
      <c r="O2146">
        <v>3430000</v>
      </c>
      <c r="P2146">
        <v>-0.40439012699999999</v>
      </c>
      <c r="Q2146">
        <v>7544.5687230000003</v>
      </c>
      <c r="R2146">
        <v>3.72</v>
      </c>
      <c r="S2146">
        <v>1964375</v>
      </c>
      <c r="T2146">
        <v>23.634501</v>
      </c>
      <c r="U2146">
        <v>-102.552784</v>
      </c>
    </row>
    <row r="2147" spans="1:21">
      <c r="A2147" t="s">
        <v>124</v>
      </c>
      <c r="B2147">
        <v>2002</v>
      </c>
      <c r="C2147">
        <v>17044.275000000001</v>
      </c>
      <c r="D2147">
        <v>386000</v>
      </c>
      <c r="E2147">
        <v>159.81</v>
      </c>
      <c r="F2147">
        <v>9.26</v>
      </c>
      <c r="G2147">
        <v>35.67</v>
      </c>
      <c r="H2147">
        <v>21.944904000000001</v>
      </c>
      <c r="I2147">
        <v>108.14</v>
      </c>
      <c r="J2147">
        <v>10.68</v>
      </c>
      <c r="K2147">
        <v>66</v>
      </c>
      <c r="L2147">
        <v>97.897090000000006</v>
      </c>
      <c r="M2147">
        <v>84.1</v>
      </c>
      <c r="N2147">
        <v>5.4490385000000003</v>
      </c>
      <c r="O2147">
        <v>14190000</v>
      </c>
      <c r="P2147">
        <v>-3.9844481000000001E-2</v>
      </c>
      <c r="Q2147">
        <v>7593.1373450000001</v>
      </c>
      <c r="R2147">
        <v>3.76</v>
      </c>
      <c r="S2147">
        <v>1964375</v>
      </c>
      <c r="T2147">
        <v>23.634501</v>
      </c>
      <c r="U2147">
        <v>-102.552784</v>
      </c>
    </row>
    <row r="2148" spans="1:21">
      <c r="A2148" t="s">
        <v>124</v>
      </c>
      <c r="B2148">
        <v>2003</v>
      </c>
      <c r="C2148">
        <v>16996.574000000001</v>
      </c>
      <c r="D2148">
        <v>404690.0024</v>
      </c>
      <c r="E2148">
        <v>160.44999999999999</v>
      </c>
      <c r="F2148">
        <v>9.98</v>
      </c>
      <c r="G2148">
        <v>32.11</v>
      </c>
      <c r="H2148">
        <v>20.781079999999999</v>
      </c>
      <c r="I2148">
        <v>107.95</v>
      </c>
      <c r="J2148">
        <v>10.17</v>
      </c>
      <c r="K2148">
        <v>66</v>
      </c>
      <c r="L2148">
        <v>97.400856000000005</v>
      </c>
      <c r="M2148">
        <v>84.6</v>
      </c>
      <c r="N2148">
        <v>4.6524552999999997</v>
      </c>
      <c r="O2148">
        <v>260000</v>
      </c>
      <c r="P2148">
        <v>1.446382684</v>
      </c>
      <c r="Q2148">
        <v>7075.369643</v>
      </c>
      <c r="R2148">
        <v>3.97</v>
      </c>
      <c r="S2148">
        <v>1964375</v>
      </c>
      <c r="T2148">
        <v>23.634501</v>
      </c>
      <c r="U2148">
        <v>-102.552784</v>
      </c>
    </row>
    <row r="2149" spans="1:21">
      <c r="A2149" t="s">
        <v>124</v>
      </c>
      <c r="B2149">
        <v>2004</v>
      </c>
      <c r="C2149">
        <v>17731.263999999999</v>
      </c>
      <c r="D2149">
        <v>414100.0061</v>
      </c>
      <c r="E2149">
        <v>173.66</v>
      </c>
      <c r="F2149">
        <v>8.73</v>
      </c>
      <c r="G2149">
        <v>38.19</v>
      </c>
      <c r="H2149">
        <v>21.271194000000001</v>
      </c>
      <c r="I2149">
        <v>115.29</v>
      </c>
      <c r="J2149">
        <v>10.210000000000001</v>
      </c>
      <c r="K2149">
        <v>66</v>
      </c>
      <c r="L2149">
        <v>98.597700000000003</v>
      </c>
      <c r="M2149">
        <v>84.9</v>
      </c>
      <c r="N2149">
        <v>5.303242</v>
      </c>
      <c r="O2149">
        <v>530000</v>
      </c>
      <c r="P2149">
        <v>3.9205908100000002</v>
      </c>
      <c r="Q2149">
        <v>7484.4863990000003</v>
      </c>
      <c r="R2149">
        <v>3.89</v>
      </c>
      <c r="S2149">
        <v>1964375</v>
      </c>
      <c r="T2149">
        <v>23.634501</v>
      </c>
      <c r="U2149">
        <v>-102.552784</v>
      </c>
    </row>
    <row r="2150" spans="1:21">
      <c r="A2150" t="s">
        <v>124</v>
      </c>
      <c r="B2150">
        <v>2005</v>
      </c>
      <c r="C2150">
        <v>19153.719000000001</v>
      </c>
      <c r="D2150">
        <v>432190.0024</v>
      </c>
      <c r="E2150">
        <v>178.76</v>
      </c>
      <c r="F2150">
        <v>10.32</v>
      </c>
      <c r="G2150">
        <v>42.29</v>
      </c>
      <c r="H2150">
        <v>22.738472000000002</v>
      </c>
      <c r="I2150">
        <v>113.91</v>
      </c>
      <c r="J2150">
        <v>10.31</v>
      </c>
      <c r="K2150">
        <v>66</v>
      </c>
      <c r="L2150">
        <v>98.932730000000006</v>
      </c>
      <c r="M2150">
        <v>85.3</v>
      </c>
      <c r="N2150">
        <v>5.4733369999999999</v>
      </c>
      <c r="O2150">
        <v>33670000</v>
      </c>
      <c r="P2150">
        <v>2.3078070660000001</v>
      </c>
      <c r="Q2150">
        <v>8277.6715640000002</v>
      </c>
      <c r="R2150">
        <v>4.01</v>
      </c>
      <c r="S2150">
        <v>1964375</v>
      </c>
      <c r="T2150">
        <v>23.634501</v>
      </c>
      <c r="U2150">
        <v>-102.552784</v>
      </c>
    </row>
    <row r="2151" spans="1:21">
      <c r="A2151" t="s">
        <v>124</v>
      </c>
      <c r="B2151">
        <v>2006</v>
      </c>
      <c r="C2151">
        <v>19171.469000000001</v>
      </c>
      <c r="D2151">
        <v>448299.9878</v>
      </c>
      <c r="E2151">
        <v>182.76</v>
      </c>
      <c r="F2151">
        <v>10.4</v>
      </c>
      <c r="G2151">
        <v>43.63</v>
      </c>
      <c r="H2151">
        <v>22.817688</v>
      </c>
      <c r="I2151">
        <v>114.91</v>
      </c>
      <c r="J2151">
        <v>9.82</v>
      </c>
      <c r="K2151">
        <v>66</v>
      </c>
      <c r="L2151">
        <v>99.114159999999998</v>
      </c>
      <c r="M2151">
        <v>85.3</v>
      </c>
      <c r="N2151">
        <v>5.5860862999999998</v>
      </c>
      <c r="O2151">
        <v>32770000</v>
      </c>
      <c r="P2151">
        <v>4.4950778939999996</v>
      </c>
      <c r="Q2151">
        <v>9068.2942179999991</v>
      </c>
      <c r="R2151">
        <v>3.9</v>
      </c>
      <c r="S2151">
        <v>1964375</v>
      </c>
      <c r="T2151">
        <v>23.634501</v>
      </c>
      <c r="U2151">
        <v>-102.552784</v>
      </c>
    </row>
    <row r="2152" spans="1:21">
      <c r="A2152" t="s">
        <v>124</v>
      </c>
      <c r="B2152">
        <v>2007</v>
      </c>
      <c r="C2152">
        <v>19098.813999999998</v>
      </c>
      <c r="D2152">
        <v>457119.9951</v>
      </c>
      <c r="E2152">
        <v>191.83</v>
      </c>
      <c r="F2152">
        <v>9.9499999999999993</v>
      </c>
      <c r="G2152">
        <v>42.14</v>
      </c>
      <c r="H2152">
        <v>21.355362</v>
      </c>
      <c r="I2152">
        <v>120.37</v>
      </c>
      <c r="J2152">
        <v>9.4600000000000009</v>
      </c>
      <c r="K2152">
        <v>66</v>
      </c>
      <c r="L2152">
        <v>97.910570000000007</v>
      </c>
      <c r="M2152">
        <v>85.4</v>
      </c>
      <c r="N2152">
        <v>5.2095469999999997</v>
      </c>
      <c r="O2152">
        <v>160000</v>
      </c>
      <c r="P2152">
        <v>2.291445714</v>
      </c>
      <c r="Q2152">
        <v>9642.6805170000007</v>
      </c>
      <c r="R2152">
        <v>3.8</v>
      </c>
      <c r="S2152">
        <v>1964375</v>
      </c>
      <c r="T2152">
        <v>23.634501</v>
      </c>
      <c r="U2152">
        <v>-102.552784</v>
      </c>
    </row>
    <row r="2153" spans="1:21">
      <c r="A2153" t="s">
        <v>124</v>
      </c>
      <c r="B2153">
        <v>2008</v>
      </c>
      <c r="C2153">
        <v>19633.796999999999</v>
      </c>
      <c r="D2153">
        <v>459549.9878</v>
      </c>
      <c r="E2153">
        <v>184.51</v>
      </c>
      <c r="F2153">
        <v>9.36</v>
      </c>
      <c r="G2153">
        <v>53.22</v>
      </c>
      <c r="H2153">
        <v>25.326805</v>
      </c>
      <c r="I2153">
        <v>116.59</v>
      </c>
      <c r="J2153">
        <v>9.77</v>
      </c>
      <c r="K2153">
        <v>66</v>
      </c>
      <c r="L2153">
        <v>98.91404</v>
      </c>
      <c r="M2153">
        <v>85.4</v>
      </c>
      <c r="N2153">
        <v>6.696116</v>
      </c>
      <c r="O2153">
        <v>6690000</v>
      </c>
      <c r="P2153">
        <v>1.1435845870000001</v>
      </c>
      <c r="Q2153">
        <v>10016.57121</v>
      </c>
      <c r="R2153">
        <v>3.78</v>
      </c>
      <c r="S2153">
        <v>1964375</v>
      </c>
      <c r="T2153">
        <v>23.634501</v>
      </c>
      <c r="U2153">
        <v>-102.552784</v>
      </c>
    </row>
    <row r="2154" spans="1:21">
      <c r="A2154" t="s">
        <v>124</v>
      </c>
      <c r="B2154">
        <v>2009</v>
      </c>
      <c r="C2154">
        <v>19065.636999999999</v>
      </c>
      <c r="D2154">
        <v>448369.9951</v>
      </c>
      <c r="E2154">
        <v>194.75</v>
      </c>
      <c r="F2154">
        <v>10.11</v>
      </c>
      <c r="G2154">
        <v>40.590000000000003</v>
      </c>
      <c r="H2154">
        <v>20.655940000000001</v>
      </c>
      <c r="I2154">
        <v>117.43</v>
      </c>
      <c r="J2154">
        <v>9.17</v>
      </c>
      <c r="K2154">
        <v>66</v>
      </c>
      <c r="L2154">
        <v>98.198210000000003</v>
      </c>
      <c r="M2154">
        <v>85.2</v>
      </c>
      <c r="N2154">
        <v>4.9565783000000003</v>
      </c>
      <c r="O2154">
        <v>4420000</v>
      </c>
      <c r="P2154">
        <v>-5.285744137</v>
      </c>
      <c r="Q2154">
        <v>8002.972178</v>
      </c>
      <c r="R2154">
        <v>3.9</v>
      </c>
      <c r="S2154">
        <v>1964375</v>
      </c>
      <c r="T2154">
        <v>23.634501</v>
      </c>
      <c r="U2154">
        <v>-102.552784</v>
      </c>
    </row>
    <row r="2155" spans="1:21">
      <c r="A2155" t="s">
        <v>124</v>
      </c>
      <c r="B2155">
        <v>2010</v>
      </c>
      <c r="C2155">
        <v>18870.824000000001</v>
      </c>
      <c r="D2155">
        <v>462869.9951</v>
      </c>
      <c r="E2155">
        <v>207.38</v>
      </c>
      <c r="F2155">
        <v>5.66</v>
      </c>
      <c r="G2155">
        <v>51.37</v>
      </c>
      <c r="H2155">
        <v>21.568774999999999</v>
      </c>
      <c r="I2155">
        <v>118.46</v>
      </c>
      <c r="J2155">
        <v>9.36</v>
      </c>
      <c r="K2155">
        <v>66</v>
      </c>
      <c r="L2155">
        <v>99.236694</v>
      </c>
      <c r="M2155">
        <v>85</v>
      </c>
      <c r="N2155">
        <v>6.2831239999999999</v>
      </c>
      <c r="O2155">
        <v>82310000</v>
      </c>
      <c r="P2155">
        <v>5.1181181430000002</v>
      </c>
      <c r="Q2155">
        <v>9271.3983960000005</v>
      </c>
      <c r="R2155">
        <v>3.68</v>
      </c>
      <c r="S2155">
        <v>1964375</v>
      </c>
      <c r="T2155">
        <v>23.634501</v>
      </c>
      <c r="U2155">
        <v>-102.552784</v>
      </c>
    </row>
    <row r="2156" spans="1:21">
      <c r="A2156" t="s">
        <v>124</v>
      </c>
      <c r="B2156">
        <v>2011</v>
      </c>
      <c r="C2156">
        <v>19447.846000000001</v>
      </c>
      <c r="D2156">
        <v>478399.9939</v>
      </c>
      <c r="E2156">
        <v>219.88</v>
      </c>
      <c r="F2156">
        <v>9.66</v>
      </c>
      <c r="G2156">
        <v>50.7</v>
      </c>
      <c r="H2156">
        <v>21.538681</v>
      </c>
      <c r="I2156">
        <v>116.51</v>
      </c>
      <c r="J2156">
        <v>9.07</v>
      </c>
      <c r="K2156">
        <v>66</v>
      </c>
      <c r="L2156">
        <v>99.028149999999997</v>
      </c>
      <c r="M2156">
        <v>84.85</v>
      </c>
      <c r="N2156">
        <v>5.8868539999999996</v>
      </c>
      <c r="O2156">
        <v>1020000</v>
      </c>
      <c r="P2156">
        <v>3.66300793</v>
      </c>
      <c r="Q2156">
        <v>10203.4213</v>
      </c>
      <c r="R2156">
        <v>3.72</v>
      </c>
      <c r="S2156">
        <v>1964375</v>
      </c>
      <c r="T2156">
        <v>23.634501</v>
      </c>
      <c r="U2156">
        <v>-102.552784</v>
      </c>
    </row>
    <row r="2157" spans="1:21">
      <c r="A2157" t="s">
        <v>124</v>
      </c>
      <c r="B2157">
        <v>2012</v>
      </c>
      <c r="C2157">
        <v>19349.782999999999</v>
      </c>
      <c r="D2157">
        <v>486450.0122</v>
      </c>
      <c r="E2157">
        <v>229.14</v>
      </c>
      <c r="F2157">
        <v>8.41</v>
      </c>
      <c r="G2157">
        <v>47.2</v>
      </c>
      <c r="H2157">
        <v>19.529411</v>
      </c>
      <c r="I2157">
        <v>125.94</v>
      </c>
      <c r="J2157">
        <v>8.9700000000000006</v>
      </c>
      <c r="K2157">
        <v>66</v>
      </c>
      <c r="L2157">
        <v>99.111630000000005</v>
      </c>
      <c r="M2157">
        <v>84.6</v>
      </c>
      <c r="N2157">
        <v>5.4620794999999998</v>
      </c>
      <c r="O2157">
        <v>366050000</v>
      </c>
      <c r="P2157">
        <v>3.6423226789999998</v>
      </c>
      <c r="Q2157">
        <v>10241.72783</v>
      </c>
      <c r="R2157">
        <v>3.68</v>
      </c>
      <c r="S2157">
        <v>1964375</v>
      </c>
      <c r="T2157">
        <v>23.634501</v>
      </c>
      <c r="U2157">
        <v>-102.552784</v>
      </c>
    </row>
    <row r="2158" spans="1:21">
      <c r="A2158" t="s">
        <v>124</v>
      </c>
      <c r="B2158">
        <v>2013</v>
      </c>
      <c r="C2158">
        <v>19108.689999999999</v>
      </c>
      <c r="D2158">
        <v>475739.9902</v>
      </c>
      <c r="E2158">
        <v>231.23</v>
      </c>
      <c r="F2158">
        <v>11.38</v>
      </c>
      <c r="G2158">
        <v>44.67</v>
      </c>
      <c r="H2158">
        <v>19.510581999999999</v>
      </c>
      <c r="I2158">
        <v>127.71</v>
      </c>
      <c r="J2158">
        <v>9.23</v>
      </c>
      <c r="K2158">
        <v>66</v>
      </c>
      <c r="L2158">
        <v>99.1477</v>
      </c>
      <c r="M2158">
        <v>84.6</v>
      </c>
      <c r="N2158">
        <v>5.0600699999999996</v>
      </c>
      <c r="O2158">
        <v>70970000</v>
      </c>
      <c r="P2158">
        <v>1.354091962</v>
      </c>
      <c r="Q2158">
        <v>10725.183590000001</v>
      </c>
      <c r="R2158">
        <v>3.64</v>
      </c>
      <c r="S2158">
        <v>1964375</v>
      </c>
      <c r="T2158">
        <v>23.634501</v>
      </c>
      <c r="U2158">
        <v>-102.552784</v>
      </c>
    </row>
    <row r="2159" spans="1:21">
      <c r="A2159" t="s">
        <v>124</v>
      </c>
      <c r="B2159">
        <v>2014</v>
      </c>
      <c r="C2159">
        <v>18757.030999999999</v>
      </c>
      <c r="D2159">
        <v>462239.9902</v>
      </c>
      <c r="E2159">
        <v>223.43</v>
      </c>
      <c r="F2159">
        <v>9.3000000000000007</v>
      </c>
      <c r="G2159">
        <v>57.46</v>
      </c>
      <c r="H2159">
        <v>23.005617000000001</v>
      </c>
      <c r="I2159">
        <v>137.66</v>
      </c>
      <c r="J2159">
        <v>9.76</v>
      </c>
      <c r="K2159">
        <v>66</v>
      </c>
      <c r="L2159">
        <v>99.172929999999994</v>
      </c>
      <c r="M2159">
        <v>84.6</v>
      </c>
      <c r="N2159">
        <v>6.7271020000000004</v>
      </c>
      <c r="O2159">
        <v>387450000</v>
      </c>
      <c r="P2159">
        <v>2.8497732550000001</v>
      </c>
      <c r="Q2159">
        <v>10928.916010000001</v>
      </c>
      <c r="R2159">
        <v>3.47</v>
      </c>
      <c r="S2159">
        <v>1964375</v>
      </c>
      <c r="T2159">
        <v>23.634501</v>
      </c>
      <c r="U2159">
        <v>-102.552784</v>
      </c>
    </row>
    <row r="2160" spans="1:21">
      <c r="A2160" t="s">
        <v>124</v>
      </c>
      <c r="B2160">
        <v>2015</v>
      </c>
      <c r="C2160">
        <v>18335.252</v>
      </c>
      <c r="D2160">
        <v>471630.0049</v>
      </c>
      <c r="E2160">
        <v>234.28</v>
      </c>
      <c r="F2160">
        <v>11.18</v>
      </c>
      <c r="G2160">
        <v>52.42</v>
      </c>
      <c r="H2160">
        <v>21.35088</v>
      </c>
      <c r="I2160">
        <v>141.93</v>
      </c>
      <c r="J2160">
        <v>9.19</v>
      </c>
      <c r="K2160">
        <v>66</v>
      </c>
      <c r="L2160">
        <v>99</v>
      </c>
      <c r="M2160">
        <v>84.6</v>
      </c>
      <c r="N2160">
        <v>6.0522632999999999</v>
      </c>
      <c r="O2160">
        <v>226340000</v>
      </c>
      <c r="P2160">
        <v>3.2931515280000001</v>
      </c>
      <c r="Q2160">
        <v>9616.6455580000002</v>
      </c>
      <c r="R2160">
        <v>3.3</v>
      </c>
      <c r="S2160">
        <v>1964375</v>
      </c>
      <c r="T2160">
        <v>23.634501</v>
      </c>
      <c r="U2160">
        <v>-102.552784</v>
      </c>
    </row>
    <row r="2161" spans="1:21">
      <c r="A2161" t="s">
        <v>124</v>
      </c>
      <c r="B2161">
        <v>2016</v>
      </c>
      <c r="C2161">
        <v>18538.974999999999</v>
      </c>
      <c r="D2161">
        <v>473309.9976</v>
      </c>
      <c r="E2161">
        <v>239.78</v>
      </c>
      <c r="F2161">
        <v>10.27</v>
      </c>
      <c r="G2161">
        <v>52.97</v>
      </c>
      <c r="H2161">
        <v>20.869910999999998</v>
      </c>
      <c r="I2161">
        <v>152.63</v>
      </c>
      <c r="J2161">
        <v>9.2200000000000006</v>
      </c>
      <c r="K2161">
        <v>66</v>
      </c>
      <c r="L2161">
        <v>99.5</v>
      </c>
      <c r="M2161">
        <v>84.8</v>
      </c>
      <c r="N2161">
        <v>6.1314925999999996</v>
      </c>
      <c r="O2161">
        <v>455350000</v>
      </c>
      <c r="P2161">
        <v>2.6305324250000002</v>
      </c>
      <c r="Q2161">
        <v>8744.5155589999995</v>
      </c>
      <c r="R2161">
        <v>3.21</v>
      </c>
      <c r="S2161">
        <v>1964375</v>
      </c>
      <c r="T2161">
        <v>23.634501</v>
      </c>
      <c r="U2161">
        <v>-102.552784</v>
      </c>
    </row>
    <row r="2162" spans="1:21">
      <c r="A2162" t="s">
        <v>124</v>
      </c>
      <c r="B2162">
        <v>2017</v>
      </c>
      <c r="C2162">
        <v>18689.648000000001</v>
      </c>
      <c r="D2162">
        <v>471579.9866</v>
      </c>
      <c r="E2162">
        <v>242.69</v>
      </c>
      <c r="F2162">
        <v>10.57</v>
      </c>
      <c r="G2162">
        <v>55.88</v>
      </c>
      <c r="H2162">
        <v>21.495113</v>
      </c>
      <c r="I2162">
        <v>155.97999999999999</v>
      </c>
      <c r="J2162">
        <v>9.99</v>
      </c>
      <c r="K2162">
        <v>66</v>
      </c>
      <c r="L2162">
        <v>100</v>
      </c>
      <c r="M2162">
        <v>84.8</v>
      </c>
      <c r="N2162">
        <v>6.3727220000000004</v>
      </c>
      <c r="O2162">
        <v>502060000</v>
      </c>
      <c r="P2162">
        <v>2.1131291349999999</v>
      </c>
      <c r="Q2162">
        <v>9287.8495870000006</v>
      </c>
      <c r="R2162">
        <v>3.07</v>
      </c>
      <c r="S2162">
        <v>1964375</v>
      </c>
      <c r="T2162">
        <v>23.634501</v>
      </c>
      <c r="U2162">
        <v>-102.552784</v>
      </c>
    </row>
    <row r="2163" spans="1:21">
      <c r="A2163" t="s">
        <v>124</v>
      </c>
      <c r="B2163">
        <v>2018</v>
      </c>
      <c r="C2163">
        <v>18269.648000000001</v>
      </c>
      <c r="D2163">
        <v>452570.0073</v>
      </c>
      <c r="E2163">
        <v>259.92</v>
      </c>
      <c r="F2163">
        <v>13.32</v>
      </c>
      <c r="G2163">
        <v>58.78</v>
      </c>
      <c r="H2163">
        <v>21.71556</v>
      </c>
      <c r="I2163">
        <v>175.36</v>
      </c>
      <c r="J2163">
        <v>10.029999999999999</v>
      </c>
      <c r="K2163">
        <v>66</v>
      </c>
      <c r="L2163">
        <v>99.5</v>
      </c>
      <c r="M2163">
        <v>84.8</v>
      </c>
      <c r="N2163">
        <v>6.9393609999999999</v>
      </c>
      <c r="O2163">
        <v>300340000</v>
      </c>
      <c r="P2163">
        <v>2.1949947249999999</v>
      </c>
      <c r="Q2163">
        <v>9686.9849269999995</v>
      </c>
      <c r="R2163">
        <v>3.09</v>
      </c>
      <c r="S2163">
        <v>1964375</v>
      </c>
      <c r="T2163">
        <v>23.634501</v>
      </c>
      <c r="U2163">
        <v>-102.552784</v>
      </c>
    </row>
    <row r="2164" spans="1:21">
      <c r="A2164" t="s">
        <v>124</v>
      </c>
      <c r="B2164">
        <v>2019</v>
      </c>
      <c r="C2164">
        <v>17903.294999999998</v>
      </c>
      <c r="D2164">
        <v>449269.989</v>
      </c>
      <c r="E2164">
        <v>248.2</v>
      </c>
      <c r="F2164">
        <v>10.88</v>
      </c>
      <c r="G2164">
        <v>59</v>
      </c>
      <c r="H2164">
        <v>21.969315000000002</v>
      </c>
      <c r="I2164">
        <v>201.04</v>
      </c>
      <c r="J2164">
        <v>10.34</v>
      </c>
      <c r="K2164">
        <v>66</v>
      </c>
      <c r="L2164">
        <v>99.6</v>
      </c>
      <c r="M2164">
        <v>84.9</v>
      </c>
      <c r="N2164">
        <v>7.0507707999999996</v>
      </c>
      <c r="O2164">
        <v>338650000</v>
      </c>
      <c r="P2164">
        <v>-0.17659945599999999</v>
      </c>
      <c r="Q2164">
        <v>9950.4500800000005</v>
      </c>
      <c r="R2164">
        <v>3.06</v>
      </c>
      <c r="S2164">
        <v>1964375</v>
      </c>
      <c r="T2164">
        <v>23.634501</v>
      </c>
      <c r="U2164">
        <v>-102.552784</v>
      </c>
    </row>
    <row r="2165" spans="1:21">
      <c r="A2165" t="s">
        <v>124</v>
      </c>
      <c r="B2165">
        <v>2020</v>
      </c>
      <c r="C2165">
        <v>16382.68</v>
      </c>
      <c r="E2165">
        <v>245.46</v>
      </c>
      <c r="F2165">
        <v>10.87</v>
      </c>
      <c r="G2165">
        <v>69.19</v>
      </c>
      <c r="H2165">
        <v>24.594495999999999</v>
      </c>
      <c r="I2165">
        <v>219.94</v>
      </c>
      <c r="K2165">
        <v>66</v>
      </c>
      <c r="L2165">
        <v>99.4</v>
      </c>
      <c r="M2165">
        <v>84.9</v>
      </c>
      <c r="N2165">
        <v>9.4753720000000001</v>
      </c>
      <c r="P2165">
        <v>-8.3090346589999999</v>
      </c>
      <c r="Q2165">
        <v>8329.2713129999993</v>
      </c>
      <c r="S2165">
        <v>1964375</v>
      </c>
      <c r="T2165">
        <v>23.634501</v>
      </c>
      <c r="U2165">
        <v>-102.552784</v>
      </c>
    </row>
    <row r="2166" spans="1:21">
      <c r="A2166" t="s">
        <v>125</v>
      </c>
      <c r="B2166">
        <v>2000</v>
      </c>
      <c r="C2166">
        <v>17691.607</v>
      </c>
      <c r="D2166">
        <v>9000</v>
      </c>
      <c r="E2166">
        <v>2.82</v>
      </c>
      <c r="F2166">
        <v>0</v>
      </c>
      <c r="G2166">
        <v>0</v>
      </c>
      <c r="H2166">
        <v>0</v>
      </c>
      <c r="I2166">
        <v>6.27</v>
      </c>
      <c r="J2166">
        <v>5.73</v>
      </c>
      <c r="K2166">
        <v>2</v>
      </c>
      <c r="L2166">
        <v>67.3</v>
      </c>
      <c r="M2166">
        <v>22.8</v>
      </c>
      <c r="O2166">
        <v>5180000</v>
      </c>
      <c r="P2166">
        <v>1.1460621369999999</v>
      </c>
      <c r="Q2166">
        <v>474.21709429999999</v>
      </c>
      <c r="R2166">
        <v>9.24</v>
      </c>
      <c r="S2166">
        <v>1564116</v>
      </c>
      <c r="T2166">
        <v>46.862496</v>
      </c>
      <c r="U2166">
        <v>103.846656</v>
      </c>
    </row>
    <row r="2167" spans="1:21">
      <c r="A2167" t="s">
        <v>125</v>
      </c>
      <c r="B2167">
        <v>2001</v>
      </c>
      <c r="C2167">
        <v>17502.184000000001</v>
      </c>
      <c r="D2167">
        <v>8970</v>
      </c>
      <c r="E2167">
        <v>2.89</v>
      </c>
      <c r="F2167">
        <v>0</v>
      </c>
      <c r="G2167">
        <v>0</v>
      </c>
      <c r="H2167">
        <v>0</v>
      </c>
      <c r="I2167">
        <v>6.66</v>
      </c>
      <c r="J2167">
        <v>6.09</v>
      </c>
      <c r="K2167">
        <v>2</v>
      </c>
      <c r="L2167">
        <v>71.076580000000007</v>
      </c>
      <c r="M2167">
        <v>23.1</v>
      </c>
      <c r="O2167">
        <v>1650000</v>
      </c>
      <c r="P2167">
        <v>2.9527105439999999</v>
      </c>
      <c r="Q2167">
        <v>524.05400840000004</v>
      </c>
      <c r="R2167">
        <v>9.0500000000000007</v>
      </c>
      <c r="S2167">
        <v>1564116</v>
      </c>
      <c r="T2167">
        <v>46.862496</v>
      </c>
      <c r="U2167">
        <v>103.846656</v>
      </c>
    </row>
    <row r="2168" spans="1:21">
      <c r="A2168" t="s">
        <v>125</v>
      </c>
      <c r="B2168">
        <v>2002</v>
      </c>
      <c r="C2168">
        <v>18501.776999999998</v>
      </c>
      <c r="D2168">
        <v>9600.0003809999998</v>
      </c>
      <c r="E2168">
        <v>2.99</v>
      </c>
      <c r="F2168">
        <v>0</v>
      </c>
      <c r="G2168">
        <v>0</v>
      </c>
      <c r="H2168">
        <v>0</v>
      </c>
      <c r="I2168">
        <v>6.59</v>
      </c>
      <c r="J2168">
        <v>6.51</v>
      </c>
      <c r="K2168">
        <v>2</v>
      </c>
      <c r="L2168">
        <v>72.284469999999999</v>
      </c>
      <c r="M2168">
        <v>23.6</v>
      </c>
      <c r="O2168">
        <v>1410000</v>
      </c>
      <c r="P2168">
        <v>4.7329784650000004</v>
      </c>
      <c r="Q2168">
        <v>571.59497899999997</v>
      </c>
      <c r="R2168">
        <v>9.25</v>
      </c>
      <c r="S2168">
        <v>1564116</v>
      </c>
      <c r="T2168">
        <v>46.862496</v>
      </c>
      <c r="U2168">
        <v>103.846656</v>
      </c>
    </row>
    <row r="2169" spans="1:21">
      <c r="A2169" t="s">
        <v>125</v>
      </c>
      <c r="B2169">
        <v>2003</v>
      </c>
      <c r="C2169">
        <v>17411.361000000001</v>
      </c>
      <c r="D2169">
        <v>9310.0004200000003</v>
      </c>
      <c r="E2169">
        <v>3.02</v>
      </c>
      <c r="F2169">
        <v>0</v>
      </c>
      <c r="G2169">
        <v>0</v>
      </c>
      <c r="H2169">
        <v>0</v>
      </c>
      <c r="I2169">
        <v>6.67</v>
      </c>
      <c r="J2169">
        <v>6.09</v>
      </c>
      <c r="K2169">
        <v>2</v>
      </c>
      <c r="L2169">
        <v>76.3</v>
      </c>
      <c r="M2169">
        <v>24.3</v>
      </c>
      <c r="O2169">
        <v>5690000</v>
      </c>
      <c r="P2169">
        <v>7.0046345749999999</v>
      </c>
      <c r="Q2169">
        <v>646.19247099999995</v>
      </c>
      <c r="R2169">
        <v>8.44</v>
      </c>
      <c r="S2169">
        <v>1564116</v>
      </c>
      <c r="T2169">
        <v>46.862496</v>
      </c>
      <c r="U2169">
        <v>103.846656</v>
      </c>
    </row>
    <row r="2170" spans="1:21">
      <c r="A2170" t="s">
        <v>125</v>
      </c>
      <c r="B2170">
        <v>2004</v>
      </c>
      <c r="C2170">
        <v>16947.145</v>
      </c>
      <c r="D2170">
        <v>9560.0004200000003</v>
      </c>
      <c r="E2170">
        <v>3.19</v>
      </c>
      <c r="F2170">
        <v>0</v>
      </c>
      <c r="G2170">
        <v>0</v>
      </c>
      <c r="H2170">
        <v>0</v>
      </c>
      <c r="I2170">
        <v>6.6</v>
      </c>
      <c r="J2170">
        <v>5.76</v>
      </c>
      <c r="K2170">
        <v>2</v>
      </c>
      <c r="L2170">
        <v>74.686890000000005</v>
      </c>
      <c r="M2170">
        <v>25.3</v>
      </c>
      <c r="P2170">
        <v>10.62540596</v>
      </c>
      <c r="Q2170">
        <v>797.97772629999997</v>
      </c>
      <c r="R2170">
        <v>7.86</v>
      </c>
      <c r="S2170">
        <v>1564116</v>
      </c>
      <c r="T2170">
        <v>46.862496</v>
      </c>
      <c r="U2170">
        <v>103.846656</v>
      </c>
    </row>
    <row r="2171" spans="1:21">
      <c r="A2171" t="s">
        <v>125</v>
      </c>
      <c r="B2171">
        <v>2005</v>
      </c>
      <c r="C2171">
        <v>17428.03</v>
      </c>
      <c r="D2171">
        <v>11060.00042</v>
      </c>
      <c r="E2171">
        <v>3.3</v>
      </c>
      <c r="F2171">
        <v>0</v>
      </c>
      <c r="G2171">
        <v>0</v>
      </c>
      <c r="H2171">
        <v>0</v>
      </c>
      <c r="I2171">
        <v>6.74</v>
      </c>
      <c r="J2171">
        <v>5.34</v>
      </c>
      <c r="K2171">
        <v>2</v>
      </c>
      <c r="L2171">
        <v>86.2</v>
      </c>
      <c r="M2171">
        <v>26</v>
      </c>
      <c r="O2171">
        <v>2800000</v>
      </c>
      <c r="P2171">
        <v>7.2536654399999998</v>
      </c>
      <c r="Q2171">
        <v>998.82938799999999</v>
      </c>
      <c r="R2171">
        <v>8.44</v>
      </c>
      <c r="S2171">
        <v>1564116</v>
      </c>
      <c r="T2171">
        <v>46.862496</v>
      </c>
      <c r="U2171">
        <v>103.846656</v>
      </c>
    </row>
    <row r="2172" spans="1:21">
      <c r="A2172" t="s">
        <v>125</v>
      </c>
      <c r="B2172">
        <v>2006</v>
      </c>
      <c r="C2172">
        <v>18611.669999999998</v>
      </c>
      <c r="D2172">
        <v>12420.00008</v>
      </c>
      <c r="E2172">
        <v>3.43</v>
      </c>
      <c r="F2172">
        <v>0</v>
      </c>
      <c r="G2172">
        <v>0</v>
      </c>
      <c r="H2172">
        <v>0</v>
      </c>
      <c r="I2172">
        <v>7.02</v>
      </c>
      <c r="J2172">
        <v>4.4800000000000004</v>
      </c>
      <c r="K2172">
        <v>2</v>
      </c>
      <c r="L2172">
        <v>77.087220000000002</v>
      </c>
      <c r="M2172">
        <v>27.6</v>
      </c>
      <c r="O2172">
        <v>6120000</v>
      </c>
      <c r="P2172">
        <v>8.5562348089999993</v>
      </c>
      <c r="Q2172">
        <v>1334.212724</v>
      </c>
      <c r="R2172">
        <v>8.84</v>
      </c>
      <c r="S2172">
        <v>1564116</v>
      </c>
      <c r="T2172">
        <v>46.862496</v>
      </c>
      <c r="U2172">
        <v>103.846656</v>
      </c>
    </row>
    <row r="2173" spans="1:21">
      <c r="A2173" t="s">
        <v>125</v>
      </c>
      <c r="B2173">
        <v>2007</v>
      </c>
      <c r="C2173">
        <v>19353.18</v>
      </c>
      <c r="D2173">
        <v>13020.000459999999</v>
      </c>
      <c r="E2173">
        <v>3.6</v>
      </c>
      <c r="F2173">
        <v>0</v>
      </c>
      <c r="G2173">
        <v>0</v>
      </c>
      <c r="H2173">
        <v>0</v>
      </c>
      <c r="I2173">
        <v>7.1</v>
      </c>
      <c r="J2173">
        <v>4.7</v>
      </c>
      <c r="K2173">
        <v>2</v>
      </c>
      <c r="L2173">
        <v>78.292850000000001</v>
      </c>
      <c r="M2173">
        <v>28.8</v>
      </c>
      <c r="O2173">
        <v>12730000</v>
      </c>
      <c r="P2173">
        <v>10.248016359999999</v>
      </c>
      <c r="Q2173">
        <v>1632.727582</v>
      </c>
      <c r="R2173">
        <v>8.4</v>
      </c>
      <c r="S2173">
        <v>1564116</v>
      </c>
      <c r="T2173">
        <v>46.862496</v>
      </c>
      <c r="U2173">
        <v>103.846656</v>
      </c>
    </row>
    <row r="2174" spans="1:21">
      <c r="A2174" t="s">
        <v>125</v>
      </c>
      <c r="B2174">
        <v>2008</v>
      </c>
      <c r="C2174">
        <v>18919.375</v>
      </c>
      <c r="D2174">
        <v>12970.00027</v>
      </c>
      <c r="E2174">
        <v>3.9</v>
      </c>
      <c r="F2174">
        <v>0</v>
      </c>
      <c r="G2174">
        <v>0.01</v>
      </c>
      <c r="H2174">
        <v>0.25575447000000001</v>
      </c>
      <c r="I2174">
        <v>8.39</v>
      </c>
      <c r="J2174">
        <v>4.66</v>
      </c>
      <c r="K2174">
        <v>2</v>
      </c>
      <c r="L2174">
        <v>79.505700000000004</v>
      </c>
      <c r="M2174">
        <v>30.8</v>
      </c>
      <c r="O2174">
        <v>4400000</v>
      </c>
      <c r="P2174">
        <v>8.9003679459999994</v>
      </c>
      <c r="Q2174">
        <v>2136.562402</v>
      </c>
      <c r="R2174">
        <v>7.75</v>
      </c>
      <c r="S2174">
        <v>1564116</v>
      </c>
      <c r="T2174">
        <v>46.862496</v>
      </c>
      <c r="U2174">
        <v>103.846656</v>
      </c>
    </row>
    <row r="2175" spans="1:21">
      <c r="A2175" t="s">
        <v>125</v>
      </c>
      <c r="B2175">
        <v>2009</v>
      </c>
      <c r="C2175">
        <v>18920.903999999999</v>
      </c>
      <c r="D2175">
        <v>13640.000340000001</v>
      </c>
      <c r="E2175">
        <v>3.93</v>
      </c>
      <c r="F2175">
        <v>0</v>
      </c>
      <c r="G2175">
        <v>0.01</v>
      </c>
      <c r="H2175">
        <v>0.25380710000000001</v>
      </c>
      <c r="I2175">
        <v>8.35</v>
      </c>
      <c r="J2175">
        <v>4.43</v>
      </c>
      <c r="K2175">
        <v>2</v>
      </c>
      <c r="L2175">
        <v>80.728499999999997</v>
      </c>
      <c r="M2175">
        <v>33</v>
      </c>
      <c r="O2175">
        <v>11980000</v>
      </c>
      <c r="P2175">
        <v>-1.268598941</v>
      </c>
      <c r="Q2175">
        <v>1714.3618269999999</v>
      </c>
      <c r="R2175">
        <v>8.16</v>
      </c>
      <c r="S2175">
        <v>1564116</v>
      </c>
      <c r="T2175">
        <v>46.862496</v>
      </c>
      <c r="U2175">
        <v>103.846656</v>
      </c>
    </row>
    <row r="2176" spans="1:21">
      <c r="A2176" t="s">
        <v>125</v>
      </c>
      <c r="B2176">
        <v>2010</v>
      </c>
      <c r="C2176">
        <v>18202.298999999999</v>
      </c>
      <c r="D2176">
        <v>14310.00042</v>
      </c>
      <c r="E2176">
        <v>4.01</v>
      </c>
      <c r="F2176">
        <v>0</v>
      </c>
      <c r="G2176">
        <v>0.05</v>
      </c>
      <c r="H2176">
        <v>1.2315271000000001</v>
      </c>
      <c r="I2176">
        <v>12.6</v>
      </c>
      <c r="J2176">
        <v>4.46</v>
      </c>
      <c r="K2176">
        <v>2</v>
      </c>
      <c r="L2176">
        <v>78.502080000000007</v>
      </c>
      <c r="M2176">
        <v>35.200000000000003</v>
      </c>
      <c r="O2176">
        <v>12170000</v>
      </c>
      <c r="P2176">
        <v>6.3651616850000003</v>
      </c>
      <c r="Q2176">
        <v>2643.2870830000002</v>
      </c>
      <c r="R2176">
        <v>8.1199999999999992</v>
      </c>
      <c r="S2176">
        <v>1564116</v>
      </c>
      <c r="T2176">
        <v>46.862496</v>
      </c>
      <c r="U2176">
        <v>103.846656</v>
      </c>
    </row>
    <row r="2177" spans="1:21">
      <c r="A2177" t="s">
        <v>125</v>
      </c>
      <c r="B2177">
        <v>2011</v>
      </c>
      <c r="C2177">
        <v>18659.32</v>
      </c>
      <c r="D2177">
        <v>15729.999540000001</v>
      </c>
      <c r="E2177">
        <v>4.21</v>
      </c>
      <c r="F2177">
        <v>0</v>
      </c>
      <c r="G2177">
        <v>0.06</v>
      </c>
      <c r="H2177">
        <v>1.4051522000000001</v>
      </c>
      <c r="I2177">
        <v>12.37</v>
      </c>
      <c r="J2177">
        <v>4.04</v>
      </c>
      <c r="K2177">
        <v>2</v>
      </c>
      <c r="L2177">
        <v>72.057075999999995</v>
      </c>
      <c r="M2177">
        <v>37</v>
      </c>
      <c r="P2177">
        <v>17.29077758</v>
      </c>
      <c r="Q2177">
        <v>3757.565415</v>
      </c>
      <c r="R2177">
        <v>7.58</v>
      </c>
      <c r="S2177">
        <v>1564116</v>
      </c>
      <c r="T2177">
        <v>46.862496</v>
      </c>
      <c r="U2177">
        <v>103.846656</v>
      </c>
    </row>
    <row r="2178" spans="1:21">
      <c r="A2178" t="s">
        <v>125</v>
      </c>
      <c r="B2178">
        <v>2012</v>
      </c>
      <c r="C2178">
        <v>19704.565999999999</v>
      </c>
      <c r="D2178">
        <v>17139.999390000001</v>
      </c>
      <c r="E2178">
        <v>4.47</v>
      </c>
      <c r="F2178">
        <v>0</v>
      </c>
      <c r="G2178">
        <v>0.06</v>
      </c>
      <c r="H2178">
        <v>1.3245032999999999</v>
      </c>
      <c r="I2178">
        <v>12.25</v>
      </c>
      <c r="J2178">
        <v>2.97</v>
      </c>
      <c r="K2178">
        <v>2</v>
      </c>
      <c r="L2178">
        <v>84.483609999999999</v>
      </c>
      <c r="M2178">
        <v>38.6</v>
      </c>
      <c r="O2178">
        <v>29080000</v>
      </c>
      <c r="P2178">
        <v>12.31981985</v>
      </c>
      <c r="Q2178">
        <v>4351.8884609999996</v>
      </c>
      <c r="R2178">
        <v>7.01</v>
      </c>
      <c r="S2178">
        <v>1564116</v>
      </c>
      <c r="T2178">
        <v>46.862496</v>
      </c>
      <c r="U2178">
        <v>103.846656</v>
      </c>
    </row>
    <row r="2179" spans="1:21">
      <c r="A2179" t="s">
        <v>125</v>
      </c>
      <c r="B2179">
        <v>2013</v>
      </c>
      <c r="C2179">
        <v>20521.990000000002</v>
      </c>
      <c r="D2179">
        <v>18379.999159999999</v>
      </c>
      <c r="E2179">
        <v>4.5999999999999996</v>
      </c>
      <c r="F2179">
        <v>0</v>
      </c>
      <c r="G2179">
        <v>0.12</v>
      </c>
      <c r="H2179">
        <v>2.542373</v>
      </c>
      <c r="I2179">
        <v>29.37</v>
      </c>
      <c r="J2179">
        <v>3.01</v>
      </c>
      <c r="K2179">
        <v>2</v>
      </c>
      <c r="L2179">
        <v>81.2</v>
      </c>
      <c r="M2179">
        <v>40.799999999999997</v>
      </c>
      <c r="O2179">
        <v>150000</v>
      </c>
      <c r="P2179">
        <v>11.64891619</v>
      </c>
      <c r="Q2179">
        <v>4366.0895369999998</v>
      </c>
      <c r="R2179">
        <v>7.19</v>
      </c>
      <c r="S2179">
        <v>1564116</v>
      </c>
      <c r="T2179">
        <v>46.862496</v>
      </c>
      <c r="U2179">
        <v>103.846656</v>
      </c>
    </row>
    <row r="2180" spans="1:21">
      <c r="A2180" t="s">
        <v>125</v>
      </c>
      <c r="B2180">
        <v>2014</v>
      </c>
      <c r="C2180">
        <v>19699.537</v>
      </c>
      <c r="D2180">
        <v>18120.000840000001</v>
      </c>
      <c r="E2180">
        <v>4.8600000000000003</v>
      </c>
      <c r="F2180">
        <v>0</v>
      </c>
      <c r="G2180">
        <v>0.21</v>
      </c>
      <c r="H2180">
        <v>4.1420116</v>
      </c>
      <c r="I2180">
        <v>28.79</v>
      </c>
      <c r="J2180">
        <v>3.34</v>
      </c>
      <c r="K2180">
        <v>2</v>
      </c>
      <c r="L2180">
        <v>87.078829999999996</v>
      </c>
      <c r="M2180">
        <v>42.6</v>
      </c>
      <c r="O2180">
        <v>10000</v>
      </c>
      <c r="P2180">
        <v>7.8852254820000001</v>
      </c>
      <c r="Q2180">
        <v>4158.521471</v>
      </c>
      <c r="R2180">
        <v>6.86</v>
      </c>
      <c r="S2180">
        <v>1564116</v>
      </c>
      <c r="T2180">
        <v>46.862496</v>
      </c>
      <c r="U2180">
        <v>103.846656</v>
      </c>
    </row>
    <row r="2181" spans="1:21">
      <c r="A2181" t="s">
        <v>125</v>
      </c>
      <c r="B2181">
        <v>2015</v>
      </c>
      <c r="C2181">
        <v>19182.596000000001</v>
      </c>
      <c r="D2181">
        <v>17299.999240000001</v>
      </c>
      <c r="E2181">
        <v>4.97</v>
      </c>
      <c r="F2181">
        <v>0</v>
      </c>
      <c r="G2181">
        <v>0.22</v>
      </c>
      <c r="H2181">
        <v>4.2389210000000004</v>
      </c>
      <c r="I2181">
        <v>28.23</v>
      </c>
      <c r="J2181">
        <v>3.55</v>
      </c>
      <c r="K2181">
        <v>2</v>
      </c>
      <c r="L2181">
        <v>88.400180000000006</v>
      </c>
      <c r="M2181">
        <v>44.15</v>
      </c>
      <c r="O2181">
        <v>890000</v>
      </c>
      <c r="P2181">
        <v>2.3798358070000001</v>
      </c>
      <c r="Q2181">
        <v>3875.3216750000001</v>
      </c>
      <c r="R2181">
        <v>5.89</v>
      </c>
      <c r="S2181">
        <v>1564116</v>
      </c>
      <c r="T2181">
        <v>46.862496</v>
      </c>
      <c r="U2181">
        <v>103.846656</v>
      </c>
    </row>
    <row r="2182" spans="1:21">
      <c r="A2182" t="s">
        <v>125</v>
      </c>
      <c r="B2182">
        <v>2016</v>
      </c>
      <c r="C2182">
        <v>19692.092000000001</v>
      </c>
      <c r="D2182">
        <v>18170.000080000002</v>
      </c>
      <c r="E2182">
        <v>5.09</v>
      </c>
      <c r="F2182">
        <v>0</v>
      </c>
      <c r="G2182">
        <v>0.25</v>
      </c>
      <c r="H2182">
        <v>4.681648</v>
      </c>
      <c r="I2182">
        <v>31.68</v>
      </c>
      <c r="J2182">
        <v>3.39</v>
      </c>
      <c r="K2182">
        <v>2</v>
      </c>
      <c r="L2182">
        <v>89.838409999999996</v>
      </c>
      <c r="M2182">
        <v>45.6</v>
      </c>
      <c r="O2182">
        <v>198810000</v>
      </c>
      <c r="P2182">
        <v>1.4897844849999999</v>
      </c>
      <c r="Q2182">
        <v>3658.3903</v>
      </c>
      <c r="R2182">
        <v>6.22</v>
      </c>
      <c r="S2182">
        <v>1564116</v>
      </c>
      <c r="T2182">
        <v>46.862496</v>
      </c>
      <c r="U2182">
        <v>103.846656</v>
      </c>
    </row>
    <row r="2183" spans="1:21">
      <c r="A2183" t="s">
        <v>125</v>
      </c>
      <c r="B2183">
        <v>2017</v>
      </c>
      <c r="C2183">
        <v>21043.662</v>
      </c>
      <c r="D2183">
        <v>19579.999919999998</v>
      </c>
      <c r="E2183">
        <v>5.27</v>
      </c>
      <c r="F2183">
        <v>0</v>
      </c>
      <c r="G2183">
        <v>0.25</v>
      </c>
      <c r="H2183">
        <v>4.5289855000000001</v>
      </c>
      <c r="I2183">
        <v>57.78</v>
      </c>
      <c r="J2183">
        <v>3.19</v>
      </c>
      <c r="K2183">
        <v>2</v>
      </c>
      <c r="L2183">
        <v>92.512566000000007</v>
      </c>
      <c r="M2183">
        <v>47.2</v>
      </c>
      <c r="O2183">
        <v>84180000</v>
      </c>
      <c r="P2183">
        <v>5.6368763900000003</v>
      </c>
      <c r="Q2183">
        <v>3687.100003</v>
      </c>
      <c r="R2183">
        <v>6.08</v>
      </c>
      <c r="S2183">
        <v>1564116</v>
      </c>
      <c r="T2183">
        <v>46.862496</v>
      </c>
      <c r="U2183">
        <v>103.846656</v>
      </c>
    </row>
    <row r="2184" spans="1:21">
      <c r="A2184" t="s">
        <v>125</v>
      </c>
      <c r="B2184">
        <v>2018</v>
      </c>
      <c r="C2184">
        <v>22486.171999999999</v>
      </c>
      <c r="D2184">
        <v>21549.999240000001</v>
      </c>
      <c r="E2184">
        <v>5.71</v>
      </c>
      <c r="F2184">
        <v>0</v>
      </c>
      <c r="G2184">
        <v>0.44</v>
      </c>
      <c r="H2184">
        <v>7.1544714000000003</v>
      </c>
      <c r="I2184">
        <v>79.31</v>
      </c>
      <c r="J2184">
        <v>3.26</v>
      </c>
      <c r="K2184">
        <v>2</v>
      </c>
      <c r="L2184">
        <v>98.1</v>
      </c>
      <c r="M2184">
        <v>48.7</v>
      </c>
      <c r="O2184">
        <v>116030000</v>
      </c>
      <c r="P2184">
        <v>7.74488062</v>
      </c>
      <c r="Q2184">
        <v>4156.8469699999996</v>
      </c>
      <c r="R2184">
        <v>6.37</v>
      </c>
      <c r="S2184">
        <v>1564116</v>
      </c>
      <c r="T2184">
        <v>46.862496</v>
      </c>
      <c r="U2184">
        <v>103.846656</v>
      </c>
    </row>
    <row r="2185" spans="1:21">
      <c r="A2185" t="s">
        <v>125</v>
      </c>
      <c r="B2185">
        <v>2019</v>
      </c>
      <c r="C2185">
        <v>24279.39</v>
      </c>
      <c r="D2185">
        <v>23069.999690000001</v>
      </c>
      <c r="E2185">
        <v>5.88</v>
      </c>
      <c r="F2185">
        <v>0</v>
      </c>
      <c r="G2185">
        <v>0.65</v>
      </c>
      <c r="H2185">
        <v>9.9540579999999999</v>
      </c>
      <c r="I2185">
        <v>85.64</v>
      </c>
      <c r="J2185">
        <v>3.32</v>
      </c>
      <c r="K2185">
        <v>2</v>
      </c>
      <c r="L2185">
        <v>97.229910000000004</v>
      </c>
      <c r="M2185">
        <v>50.1</v>
      </c>
      <c r="O2185">
        <v>10600000</v>
      </c>
      <c r="P2185">
        <v>5.6022442190000001</v>
      </c>
      <c r="Q2185">
        <v>4404.8458300000002</v>
      </c>
      <c r="R2185">
        <v>7.01</v>
      </c>
      <c r="S2185">
        <v>1564116</v>
      </c>
      <c r="T2185">
        <v>46.862496</v>
      </c>
      <c r="U2185">
        <v>103.846656</v>
      </c>
    </row>
    <row r="2186" spans="1:21">
      <c r="A2186" t="s">
        <v>125</v>
      </c>
      <c r="B2186">
        <v>2020</v>
      </c>
      <c r="C2186">
        <v>20376.916000000001</v>
      </c>
      <c r="E2186">
        <v>6.04</v>
      </c>
      <c r="F2186">
        <v>0</v>
      </c>
      <c r="G2186">
        <v>0.68</v>
      </c>
      <c r="H2186">
        <v>10.119047999999999</v>
      </c>
      <c r="I2186">
        <v>84.37</v>
      </c>
      <c r="K2186">
        <v>2</v>
      </c>
      <c r="L2186">
        <v>98.1</v>
      </c>
      <c r="M2186">
        <v>51.8</v>
      </c>
      <c r="P2186">
        <v>-4.5577519730000002</v>
      </c>
      <c r="Q2186">
        <v>4060.9505180000001</v>
      </c>
      <c r="S2186">
        <v>1564116</v>
      </c>
      <c r="T2186">
        <v>46.862496</v>
      </c>
      <c r="U2186">
        <v>103.846656</v>
      </c>
    </row>
    <row r="2187" spans="1:21">
      <c r="A2187" t="s">
        <v>126</v>
      </c>
      <c r="B2187">
        <v>2007</v>
      </c>
      <c r="C2187">
        <v>21851.393</v>
      </c>
      <c r="D2187">
        <v>2099.9999050000001</v>
      </c>
      <c r="E2187">
        <v>0.86</v>
      </c>
      <c r="F2187">
        <v>0</v>
      </c>
      <c r="G2187">
        <v>1.28</v>
      </c>
      <c r="H2187">
        <v>59.813079999999999</v>
      </c>
      <c r="J2187">
        <v>42.27</v>
      </c>
      <c r="K2187">
        <v>47</v>
      </c>
      <c r="L2187">
        <v>100</v>
      </c>
      <c r="M2187">
        <v>64.8</v>
      </c>
      <c r="P2187">
        <v>6.8101501249999998</v>
      </c>
      <c r="Q2187">
        <v>5976.3941450000002</v>
      </c>
      <c r="R2187">
        <v>4.71</v>
      </c>
      <c r="S2187">
        <v>13812</v>
      </c>
      <c r="T2187">
        <v>42.708677999999999</v>
      </c>
      <c r="U2187">
        <v>19.374389999999998</v>
      </c>
    </row>
    <row r="2188" spans="1:21">
      <c r="A2188" t="s">
        <v>126</v>
      </c>
      <c r="B2188">
        <v>2008</v>
      </c>
      <c r="C2188">
        <v>24712.115000000002</v>
      </c>
      <c r="D2188">
        <v>2690.0000570000002</v>
      </c>
      <c r="E2188">
        <v>1.29</v>
      </c>
      <c r="F2188">
        <v>0</v>
      </c>
      <c r="G2188">
        <v>1.54</v>
      </c>
      <c r="H2188">
        <v>54.416960000000003</v>
      </c>
      <c r="J2188">
        <v>38.76</v>
      </c>
      <c r="K2188">
        <v>47</v>
      </c>
      <c r="L2188">
        <v>100</v>
      </c>
      <c r="M2188">
        <v>64.2</v>
      </c>
      <c r="P2188">
        <v>7.222752592</v>
      </c>
      <c r="Q2188">
        <v>7367.7519089999996</v>
      </c>
      <c r="R2188">
        <v>4.7300000000000004</v>
      </c>
      <c r="S2188">
        <v>13812</v>
      </c>
      <c r="T2188">
        <v>42.708677999999999</v>
      </c>
      <c r="U2188">
        <v>19.374389999999998</v>
      </c>
    </row>
    <row r="2189" spans="1:21">
      <c r="A2189" t="s">
        <v>126</v>
      </c>
      <c r="B2189">
        <v>2009</v>
      </c>
      <c r="C2189">
        <v>21325.205000000002</v>
      </c>
      <c r="D2189">
        <v>1750</v>
      </c>
      <c r="E2189">
        <v>0.69</v>
      </c>
      <c r="F2189">
        <v>0</v>
      </c>
      <c r="G2189">
        <v>2.0699999999999998</v>
      </c>
      <c r="H2189">
        <v>75</v>
      </c>
      <c r="J2189">
        <v>49.16</v>
      </c>
      <c r="K2189">
        <v>47</v>
      </c>
      <c r="L2189">
        <v>100</v>
      </c>
      <c r="M2189">
        <v>63.3</v>
      </c>
      <c r="P2189">
        <v>-5.7950969949999998</v>
      </c>
      <c r="Q2189">
        <v>6727.1077670000004</v>
      </c>
      <c r="R2189">
        <v>3.98</v>
      </c>
      <c r="S2189">
        <v>13812</v>
      </c>
      <c r="T2189">
        <v>42.708677999999999</v>
      </c>
      <c r="U2189">
        <v>19.374389999999998</v>
      </c>
    </row>
    <row r="2190" spans="1:21">
      <c r="A2190" t="s">
        <v>126</v>
      </c>
      <c r="B2190">
        <v>2010</v>
      </c>
      <c r="C2190">
        <v>26631.988000000001</v>
      </c>
      <c r="D2190">
        <v>2579.9999240000002</v>
      </c>
      <c r="E2190">
        <v>1.27</v>
      </c>
      <c r="F2190">
        <v>0</v>
      </c>
      <c r="G2190">
        <v>2.75</v>
      </c>
      <c r="H2190">
        <v>68.407960000000003</v>
      </c>
      <c r="J2190">
        <v>49.09</v>
      </c>
      <c r="K2190">
        <v>47</v>
      </c>
      <c r="L2190">
        <v>100</v>
      </c>
      <c r="M2190">
        <v>63</v>
      </c>
      <c r="P2190">
        <v>2.7343310820000002</v>
      </c>
      <c r="Q2190">
        <v>6688.4823999999999</v>
      </c>
      <c r="R2190">
        <v>4.55</v>
      </c>
      <c r="S2190">
        <v>13812</v>
      </c>
      <c r="T2190">
        <v>42.708677999999999</v>
      </c>
      <c r="U2190">
        <v>19.374389999999998</v>
      </c>
    </row>
    <row r="2191" spans="1:21">
      <c r="A2191" t="s">
        <v>126</v>
      </c>
      <c r="B2191">
        <v>2011</v>
      </c>
      <c r="C2191">
        <v>21941.478999999999</v>
      </c>
      <c r="D2191">
        <v>2539.9999619999999</v>
      </c>
      <c r="E2191">
        <v>1.45</v>
      </c>
      <c r="F2191">
        <v>0</v>
      </c>
      <c r="G2191">
        <v>1.2</v>
      </c>
      <c r="H2191">
        <v>45.28302</v>
      </c>
      <c r="J2191">
        <v>42.77</v>
      </c>
      <c r="K2191">
        <v>47</v>
      </c>
      <c r="L2191">
        <v>99</v>
      </c>
      <c r="M2191">
        <v>62.6</v>
      </c>
      <c r="P2191">
        <v>3.2284510210000001</v>
      </c>
      <c r="Q2191">
        <v>7328.9322519999996</v>
      </c>
      <c r="R2191">
        <v>4.3899999999999997</v>
      </c>
      <c r="S2191">
        <v>13812</v>
      </c>
      <c r="T2191">
        <v>42.708677999999999</v>
      </c>
      <c r="U2191">
        <v>19.374389999999998</v>
      </c>
    </row>
    <row r="2192" spans="1:21">
      <c r="A2192" t="s">
        <v>126</v>
      </c>
      <c r="B2192">
        <v>2012</v>
      </c>
      <c r="C2192">
        <v>21276.305</v>
      </c>
      <c r="D2192">
        <v>2329.9999240000002</v>
      </c>
      <c r="E2192">
        <v>1.37</v>
      </c>
      <c r="F2192">
        <v>0</v>
      </c>
      <c r="G2192">
        <v>1.48</v>
      </c>
      <c r="H2192">
        <v>51.929825000000001</v>
      </c>
      <c r="J2192">
        <v>45.86</v>
      </c>
      <c r="K2192">
        <v>47</v>
      </c>
      <c r="L2192">
        <v>100</v>
      </c>
      <c r="M2192">
        <v>61.9</v>
      </c>
      <c r="P2192">
        <v>-2.723790771</v>
      </c>
      <c r="Q2192">
        <v>6586.7212790000003</v>
      </c>
      <c r="R2192">
        <v>4.25</v>
      </c>
      <c r="S2192">
        <v>13812</v>
      </c>
      <c r="T2192">
        <v>42.708677999999999</v>
      </c>
      <c r="U2192">
        <v>19.374389999999998</v>
      </c>
    </row>
    <row r="2193" spans="1:21">
      <c r="A2193" t="s">
        <v>126</v>
      </c>
      <c r="B2193">
        <v>2013</v>
      </c>
      <c r="C2193">
        <v>22880.111000000001</v>
      </c>
      <c r="D2193">
        <v>2269.9999809999999</v>
      </c>
      <c r="E2193">
        <v>1.44</v>
      </c>
      <c r="F2193">
        <v>0</v>
      </c>
      <c r="G2193">
        <v>2.5</v>
      </c>
      <c r="H2193">
        <v>63.451774999999998</v>
      </c>
      <c r="J2193">
        <v>49.34</v>
      </c>
      <c r="K2193">
        <v>47</v>
      </c>
      <c r="L2193">
        <v>99.7</v>
      </c>
      <c r="M2193">
        <v>61.7</v>
      </c>
      <c r="P2193">
        <v>3.5489799120000001</v>
      </c>
      <c r="Q2193">
        <v>7186.429787</v>
      </c>
      <c r="R2193">
        <v>3.8</v>
      </c>
      <c r="S2193">
        <v>13812</v>
      </c>
      <c r="T2193">
        <v>42.708677999999999</v>
      </c>
      <c r="U2193">
        <v>19.374389999999998</v>
      </c>
    </row>
    <row r="2194" spans="1:21">
      <c r="A2194" t="s">
        <v>126</v>
      </c>
      <c r="B2194">
        <v>2014</v>
      </c>
      <c r="C2194">
        <v>20434.419999999998</v>
      </c>
      <c r="D2194">
        <v>2220.0000289999998</v>
      </c>
      <c r="E2194">
        <v>1.42</v>
      </c>
      <c r="F2194">
        <v>0</v>
      </c>
      <c r="G2194">
        <v>1.75</v>
      </c>
      <c r="H2194">
        <v>55.205047999999998</v>
      </c>
      <c r="J2194">
        <v>45.95</v>
      </c>
      <c r="K2194">
        <v>47</v>
      </c>
      <c r="L2194">
        <v>97.7</v>
      </c>
      <c r="M2194">
        <v>61.45</v>
      </c>
      <c r="P2194">
        <v>1.7836985809999999</v>
      </c>
      <c r="Q2194">
        <v>7378.3452889999999</v>
      </c>
      <c r="R2194">
        <v>3.64</v>
      </c>
      <c r="S2194">
        <v>13812</v>
      </c>
      <c r="T2194">
        <v>42.708677999999999</v>
      </c>
      <c r="U2194">
        <v>19.374389999999998</v>
      </c>
    </row>
    <row r="2195" spans="1:21">
      <c r="A2195" t="s">
        <v>126</v>
      </c>
      <c r="B2195">
        <v>2015</v>
      </c>
      <c r="C2195">
        <v>21034.895</v>
      </c>
      <c r="D2195">
        <v>2359.9998949999999</v>
      </c>
      <c r="E2195">
        <v>1.51</v>
      </c>
      <c r="F2195">
        <v>0</v>
      </c>
      <c r="G2195">
        <v>1.49</v>
      </c>
      <c r="H2195">
        <v>49.666668000000001</v>
      </c>
      <c r="J2195">
        <v>42.96</v>
      </c>
      <c r="K2195">
        <v>47</v>
      </c>
      <c r="L2195">
        <v>100</v>
      </c>
      <c r="M2195">
        <v>61.4</v>
      </c>
      <c r="P2195">
        <v>3.3903813970000001</v>
      </c>
      <c r="Q2195">
        <v>6514.2726949999997</v>
      </c>
      <c r="R2195">
        <v>3.68</v>
      </c>
      <c r="S2195">
        <v>13812</v>
      </c>
      <c r="T2195">
        <v>42.708677999999999</v>
      </c>
      <c r="U2195">
        <v>19.374389999999998</v>
      </c>
    </row>
    <row r="2196" spans="1:21">
      <c r="A2196" t="s">
        <v>126</v>
      </c>
      <c r="B2196">
        <v>2016</v>
      </c>
      <c r="C2196">
        <v>21028.148000000001</v>
      </c>
      <c r="D2196">
        <v>2150.0000949999999</v>
      </c>
      <c r="E2196">
        <v>1.3</v>
      </c>
      <c r="F2196">
        <v>0</v>
      </c>
      <c r="G2196">
        <v>1.84</v>
      </c>
      <c r="H2196">
        <v>58.598723999999997</v>
      </c>
      <c r="J2196">
        <v>43.89</v>
      </c>
      <c r="K2196">
        <v>47</v>
      </c>
      <c r="L2196">
        <v>100</v>
      </c>
      <c r="M2196">
        <v>61.5</v>
      </c>
      <c r="P2196">
        <v>2.9492803209999998</v>
      </c>
      <c r="Q2196">
        <v>7028.9365770000004</v>
      </c>
      <c r="R2196">
        <v>3.47</v>
      </c>
      <c r="S2196">
        <v>13812</v>
      </c>
      <c r="T2196">
        <v>42.708677999999999</v>
      </c>
      <c r="U2196">
        <v>19.374389999999998</v>
      </c>
    </row>
    <row r="2197" spans="1:21">
      <c r="A2197" t="s">
        <v>126</v>
      </c>
      <c r="B2197">
        <v>2017</v>
      </c>
      <c r="C2197">
        <v>19660.412</v>
      </c>
      <c r="D2197">
        <v>2269.9999809999999</v>
      </c>
      <c r="E2197">
        <v>1.36</v>
      </c>
      <c r="F2197">
        <v>0</v>
      </c>
      <c r="G2197">
        <v>1.1200000000000001</v>
      </c>
      <c r="H2197">
        <v>45.161290000000001</v>
      </c>
      <c r="J2197">
        <v>37.770000000000003</v>
      </c>
      <c r="K2197">
        <v>47</v>
      </c>
      <c r="L2197">
        <v>100</v>
      </c>
      <c r="M2197">
        <v>61.7</v>
      </c>
      <c r="P2197">
        <v>4.7164652760000001</v>
      </c>
      <c r="Q2197">
        <v>7784.0652899999995</v>
      </c>
      <c r="R2197">
        <v>3.48</v>
      </c>
      <c r="S2197">
        <v>13812</v>
      </c>
      <c r="T2197">
        <v>42.708677999999999</v>
      </c>
      <c r="U2197">
        <v>19.374389999999998</v>
      </c>
    </row>
    <row r="2198" spans="1:21">
      <c r="A2198" t="s">
        <v>126</v>
      </c>
      <c r="B2198">
        <v>2018</v>
      </c>
      <c r="C2198">
        <v>21852.675999999999</v>
      </c>
      <c r="D2198">
        <v>2500</v>
      </c>
      <c r="E2198">
        <v>1.55</v>
      </c>
      <c r="F2198">
        <v>0</v>
      </c>
      <c r="G2198">
        <v>2.25</v>
      </c>
      <c r="H2198">
        <v>59.210526000000002</v>
      </c>
      <c r="J2198">
        <v>40.6</v>
      </c>
      <c r="K2198">
        <v>47</v>
      </c>
      <c r="L2198">
        <v>100</v>
      </c>
      <c r="M2198">
        <v>61.8</v>
      </c>
      <c r="P2198">
        <v>5.0778888110000002</v>
      </c>
      <c r="Q2198">
        <v>8845.9142190000002</v>
      </c>
      <c r="R2198">
        <v>3.42</v>
      </c>
      <c r="S2198">
        <v>13812</v>
      </c>
      <c r="T2198">
        <v>42.708677999999999</v>
      </c>
      <c r="U2198">
        <v>19.374389999999998</v>
      </c>
    </row>
    <row r="2199" spans="1:21">
      <c r="A2199" t="s">
        <v>126</v>
      </c>
      <c r="B2199">
        <v>2019</v>
      </c>
      <c r="C2199">
        <v>20460.55</v>
      </c>
      <c r="D2199">
        <v>2599.9999050000001</v>
      </c>
      <c r="E2199">
        <v>1.5</v>
      </c>
      <c r="F2199">
        <v>0</v>
      </c>
      <c r="G2199">
        <v>1.93</v>
      </c>
      <c r="H2199">
        <v>56.268219999999999</v>
      </c>
      <c r="J2199">
        <v>38.74</v>
      </c>
      <c r="K2199">
        <v>47</v>
      </c>
      <c r="L2199">
        <v>100</v>
      </c>
      <c r="M2199">
        <v>62</v>
      </c>
      <c r="P2199">
        <v>4.0629449920000003</v>
      </c>
      <c r="Q2199">
        <v>8910.650834</v>
      </c>
      <c r="R2199">
        <v>3.4</v>
      </c>
      <c r="S2199">
        <v>13812</v>
      </c>
      <c r="T2199">
        <v>42.708677999999999</v>
      </c>
      <c r="U2199">
        <v>19.374389999999998</v>
      </c>
    </row>
    <row r="2200" spans="1:21">
      <c r="A2200" t="s">
        <v>126</v>
      </c>
      <c r="B2200">
        <v>2020</v>
      </c>
      <c r="C2200">
        <v>17942.342000000001</v>
      </c>
      <c r="E2200">
        <v>1.62</v>
      </c>
      <c r="F2200">
        <v>0</v>
      </c>
      <c r="G2200">
        <v>1.77</v>
      </c>
      <c r="H2200">
        <v>52.212387</v>
      </c>
      <c r="K2200">
        <v>47</v>
      </c>
      <c r="L2200">
        <v>100</v>
      </c>
      <c r="M2200">
        <v>62.4</v>
      </c>
      <c r="P2200">
        <v>-15.306893759999999</v>
      </c>
      <c r="Q2200">
        <v>7677.1522260000002</v>
      </c>
      <c r="S2200">
        <v>13812</v>
      </c>
      <c r="T2200">
        <v>42.708677999999999</v>
      </c>
      <c r="U2200">
        <v>19.374389999999998</v>
      </c>
    </row>
    <row r="2201" spans="1:21">
      <c r="A2201" t="s">
        <v>127</v>
      </c>
      <c r="B2201">
        <v>2000</v>
      </c>
      <c r="C2201">
        <v>4113.6670000000004</v>
      </c>
      <c r="D2201">
        <v>32880</v>
      </c>
      <c r="E2201">
        <v>11.36</v>
      </c>
      <c r="F2201">
        <v>0</v>
      </c>
      <c r="G2201">
        <v>0.77</v>
      </c>
      <c r="H2201">
        <v>6.3478975000000002</v>
      </c>
      <c r="I2201">
        <v>42.62</v>
      </c>
      <c r="J2201">
        <v>15.26</v>
      </c>
      <c r="K2201">
        <v>83</v>
      </c>
      <c r="L2201">
        <v>69.56738</v>
      </c>
      <c r="M2201">
        <v>90.6</v>
      </c>
      <c r="N2201">
        <v>1.9685843999999999</v>
      </c>
      <c r="O2201">
        <v>260000</v>
      </c>
      <c r="P2201">
        <v>1.912872981</v>
      </c>
      <c r="Q2201">
        <v>1334.9434639999999</v>
      </c>
      <c r="R2201">
        <v>3.63</v>
      </c>
      <c r="S2201">
        <v>446550</v>
      </c>
      <c r="T2201">
        <v>31.791702000000001</v>
      </c>
      <c r="U2201">
        <v>-7.0926200000000001</v>
      </c>
    </row>
    <row r="2202" spans="1:21">
      <c r="A2202" t="s">
        <v>127</v>
      </c>
      <c r="B2202">
        <v>2001</v>
      </c>
      <c r="C2202">
        <v>4386.6229999999996</v>
      </c>
      <c r="D2202">
        <v>36270</v>
      </c>
      <c r="E2202">
        <v>13.13</v>
      </c>
      <c r="F2202">
        <v>0</v>
      </c>
      <c r="G2202">
        <v>1.07</v>
      </c>
      <c r="H2202">
        <v>7.5352119999999996</v>
      </c>
      <c r="I2202">
        <v>42.15</v>
      </c>
      <c r="J2202">
        <v>15.12</v>
      </c>
      <c r="K2202">
        <v>83</v>
      </c>
      <c r="L2202">
        <v>71.347899999999996</v>
      </c>
      <c r="M2202">
        <v>91.3</v>
      </c>
      <c r="N2202">
        <v>2.4725899999999998</v>
      </c>
      <c r="O2202">
        <v>1480000</v>
      </c>
      <c r="P2202">
        <v>7.3199674540000004</v>
      </c>
      <c r="Q2202">
        <v>1339.294077</v>
      </c>
      <c r="R2202">
        <v>3.58</v>
      </c>
      <c r="S2202">
        <v>446550</v>
      </c>
      <c r="T2202">
        <v>31.791702000000001</v>
      </c>
      <c r="U2202">
        <v>-7.0926200000000001</v>
      </c>
    </row>
    <row r="2203" spans="1:21">
      <c r="A2203" t="s">
        <v>127</v>
      </c>
      <c r="B2203">
        <v>2002</v>
      </c>
      <c r="C2203">
        <v>4439.7236000000003</v>
      </c>
      <c r="D2203">
        <v>37470.001219999998</v>
      </c>
      <c r="E2203">
        <v>14.13</v>
      </c>
      <c r="F2203">
        <v>0</v>
      </c>
      <c r="G2203">
        <v>1.03</v>
      </c>
      <c r="H2203">
        <v>6.7941950000000002</v>
      </c>
      <c r="I2203">
        <v>41.7</v>
      </c>
      <c r="J2203">
        <v>14.94</v>
      </c>
      <c r="K2203">
        <v>83</v>
      </c>
      <c r="L2203">
        <v>73.120834000000002</v>
      </c>
      <c r="M2203">
        <v>92</v>
      </c>
      <c r="N2203">
        <v>2.3249911999999999</v>
      </c>
      <c r="O2203">
        <v>13440000</v>
      </c>
      <c r="P2203">
        <v>3.1214496559999998</v>
      </c>
      <c r="Q2203">
        <v>1416.488396</v>
      </c>
      <c r="R2203">
        <v>3.53</v>
      </c>
      <c r="S2203">
        <v>446550</v>
      </c>
      <c r="T2203">
        <v>31.791702000000001</v>
      </c>
      <c r="U2203">
        <v>-7.0926200000000001</v>
      </c>
    </row>
    <row r="2204" spans="1:21">
      <c r="A2204" t="s">
        <v>127</v>
      </c>
      <c r="B2204">
        <v>2003</v>
      </c>
      <c r="C2204">
        <v>4397.9960000000001</v>
      </c>
      <c r="D2204">
        <v>37250</v>
      </c>
      <c r="E2204">
        <v>14.84</v>
      </c>
      <c r="F2204">
        <v>0</v>
      </c>
      <c r="G2204">
        <v>1.64</v>
      </c>
      <c r="H2204">
        <v>9.9514569999999996</v>
      </c>
      <c r="I2204">
        <v>44.57</v>
      </c>
      <c r="J2204">
        <v>15.71</v>
      </c>
      <c r="K2204">
        <v>83</v>
      </c>
      <c r="L2204">
        <v>74.888530000000003</v>
      </c>
      <c r="M2204">
        <v>92.7</v>
      </c>
      <c r="N2204">
        <v>3.6570694000000001</v>
      </c>
      <c r="O2204">
        <v>550000</v>
      </c>
      <c r="P2204">
        <v>5.9611621550000002</v>
      </c>
      <c r="Q2204">
        <v>1725.4574660000001</v>
      </c>
      <c r="R2204">
        <v>3.32</v>
      </c>
      <c r="S2204">
        <v>446550</v>
      </c>
      <c r="T2204">
        <v>31.791702000000001</v>
      </c>
      <c r="U2204">
        <v>-7.0926200000000001</v>
      </c>
    </row>
    <row r="2205" spans="1:21">
      <c r="A2205" t="s">
        <v>127</v>
      </c>
      <c r="B2205">
        <v>2004</v>
      </c>
      <c r="C2205">
        <v>4946.6387000000004</v>
      </c>
      <c r="D2205">
        <v>40990.001680000001</v>
      </c>
      <c r="E2205">
        <v>15.71</v>
      </c>
      <c r="F2205">
        <v>0</v>
      </c>
      <c r="G2205">
        <v>1.79</v>
      </c>
      <c r="H2205">
        <v>10.228572</v>
      </c>
      <c r="I2205">
        <v>44.11</v>
      </c>
      <c r="J2205">
        <v>23</v>
      </c>
      <c r="K2205">
        <v>83</v>
      </c>
      <c r="L2205">
        <v>78.2</v>
      </c>
      <c r="M2205">
        <v>93.2</v>
      </c>
      <c r="N2205">
        <v>3.4734976</v>
      </c>
      <c r="O2205">
        <v>153490000</v>
      </c>
      <c r="P2205">
        <v>4.7970183620000002</v>
      </c>
      <c r="Q2205">
        <v>1952.9025340000001</v>
      </c>
      <c r="R2205">
        <v>3.75</v>
      </c>
      <c r="S2205">
        <v>446550</v>
      </c>
      <c r="T2205">
        <v>31.791702000000001</v>
      </c>
      <c r="U2205">
        <v>-7.0926200000000001</v>
      </c>
    </row>
    <row r="2206" spans="1:21">
      <c r="A2206" t="s">
        <v>127</v>
      </c>
      <c r="B2206">
        <v>2005</v>
      </c>
      <c r="C2206">
        <v>5301.4736000000003</v>
      </c>
      <c r="D2206">
        <v>43580.001830000001</v>
      </c>
      <c r="E2206">
        <v>17.59</v>
      </c>
      <c r="F2206">
        <v>0</v>
      </c>
      <c r="G2206">
        <v>1.18</v>
      </c>
      <c r="H2206">
        <v>6.2866270000000002</v>
      </c>
      <c r="I2206">
        <v>43.65</v>
      </c>
      <c r="J2206">
        <v>20.149999999999999</v>
      </c>
      <c r="K2206">
        <v>83</v>
      </c>
      <c r="L2206">
        <v>78.417619999999999</v>
      </c>
      <c r="M2206">
        <v>94</v>
      </c>
      <c r="N2206">
        <v>2.0816916999999999</v>
      </c>
      <c r="O2206">
        <v>186110000</v>
      </c>
      <c r="P2206">
        <v>3.2916396840000002</v>
      </c>
      <c r="Q2206">
        <v>2018.025547</v>
      </c>
      <c r="R2206">
        <v>3.84</v>
      </c>
      <c r="S2206">
        <v>446550</v>
      </c>
      <c r="T2206">
        <v>31.791702000000001</v>
      </c>
      <c r="U2206">
        <v>-7.0926200000000001</v>
      </c>
    </row>
    <row r="2207" spans="1:21">
      <c r="A2207" t="s">
        <v>127</v>
      </c>
      <c r="B2207">
        <v>2006</v>
      </c>
      <c r="C2207">
        <v>5340.5316999999995</v>
      </c>
      <c r="D2207">
        <v>45000</v>
      </c>
      <c r="E2207">
        <v>18.100000000000001</v>
      </c>
      <c r="F2207">
        <v>0</v>
      </c>
      <c r="G2207">
        <v>1.17</v>
      </c>
      <c r="H2207">
        <v>6.0716133000000001</v>
      </c>
      <c r="I2207">
        <v>43.18</v>
      </c>
      <c r="J2207">
        <v>18.14</v>
      </c>
      <c r="K2207">
        <v>83</v>
      </c>
      <c r="L2207">
        <v>96.5</v>
      </c>
      <c r="M2207">
        <v>94.35</v>
      </c>
      <c r="N2207">
        <v>2.018249</v>
      </c>
      <c r="O2207">
        <v>70280000</v>
      </c>
      <c r="P2207">
        <v>7.5746316450000002</v>
      </c>
      <c r="Q2207">
        <v>2196.0112760000002</v>
      </c>
      <c r="R2207">
        <v>3.63</v>
      </c>
      <c r="S2207">
        <v>446550</v>
      </c>
      <c r="T2207">
        <v>31.791702000000001</v>
      </c>
      <c r="U2207">
        <v>-7.0926200000000001</v>
      </c>
    </row>
    <row r="2208" spans="1:21">
      <c r="A2208" t="s">
        <v>127</v>
      </c>
      <c r="B2208">
        <v>2007</v>
      </c>
      <c r="C2208">
        <v>5226.2114000000001</v>
      </c>
      <c r="D2208">
        <v>46349.998469999999</v>
      </c>
      <c r="E2208">
        <v>18.149999999999999</v>
      </c>
      <c r="F2208">
        <v>0</v>
      </c>
      <c r="G2208">
        <v>1.19</v>
      </c>
      <c r="H2208">
        <v>6.1530509999999996</v>
      </c>
      <c r="I2208">
        <v>44.64</v>
      </c>
      <c r="J2208">
        <v>16.46</v>
      </c>
      <c r="K2208">
        <v>83</v>
      </c>
      <c r="L2208">
        <v>81.954430000000002</v>
      </c>
      <c r="M2208">
        <v>95</v>
      </c>
      <c r="N2208">
        <v>2.0501915999999998</v>
      </c>
      <c r="O2208">
        <v>180550000</v>
      </c>
      <c r="P2208">
        <v>3.5315941519999998</v>
      </c>
      <c r="Q2208">
        <v>2499.2599380000001</v>
      </c>
      <c r="R2208">
        <v>3.62</v>
      </c>
      <c r="S2208">
        <v>446550</v>
      </c>
      <c r="T2208">
        <v>31.791702000000001</v>
      </c>
      <c r="U2208">
        <v>-7.0926200000000001</v>
      </c>
    </row>
    <row r="2209" spans="1:21">
      <c r="A2209" t="s">
        <v>127</v>
      </c>
      <c r="B2209">
        <v>2008</v>
      </c>
      <c r="C2209">
        <v>5694.0356000000002</v>
      </c>
      <c r="D2209">
        <v>48630.001069999998</v>
      </c>
      <c r="E2209">
        <v>18.420000000000002</v>
      </c>
      <c r="F2209">
        <v>0</v>
      </c>
      <c r="G2209">
        <v>1.22</v>
      </c>
      <c r="H2209">
        <v>6.2118130000000003</v>
      </c>
      <c r="I2209">
        <v>44.14</v>
      </c>
      <c r="J2209">
        <v>14.62</v>
      </c>
      <c r="K2209">
        <v>83</v>
      </c>
      <c r="L2209">
        <v>83.732330000000005</v>
      </c>
      <c r="M2209">
        <v>95.6</v>
      </c>
      <c r="N2209">
        <v>1.8975967</v>
      </c>
      <c r="O2209">
        <v>226260000</v>
      </c>
      <c r="P2209">
        <v>5.9232776859999996</v>
      </c>
      <c r="Q2209">
        <v>2890.3607149999998</v>
      </c>
      <c r="R2209">
        <v>3.55</v>
      </c>
      <c r="S2209">
        <v>446550</v>
      </c>
      <c r="T2209">
        <v>31.791702000000001</v>
      </c>
      <c r="U2209">
        <v>-7.0926200000000001</v>
      </c>
    </row>
    <row r="2210" spans="1:21">
      <c r="A2210" t="s">
        <v>127</v>
      </c>
      <c r="B2210">
        <v>2009</v>
      </c>
      <c r="C2210">
        <v>5486.076</v>
      </c>
      <c r="D2210">
        <v>48750</v>
      </c>
      <c r="E2210">
        <v>17.09</v>
      </c>
      <c r="F2210">
        <v>0</v>
      </c>
      <c r="G2210">
        <v>2.93</v>
      </c>
      <c r="H2210">
        <v>14.635365</v>
      </c>
      <c r="I2210">
        <v>47.6</v>
      </c>
      <c r="J2210">
        <v>14.26</v>
      </c>
      <c r="K2210">
        <v>83</v>
      </c>
      <c r="L2210">
        <v>85.520163999999994</v>
      </c>
      <c r="M2210">
        <v>96</v>
      </c>
      <c r="N2210">
        <v>4.7116889999999998</v>
      </c>
      <c r="O2210">
        <v>121030000</v>
      </c>
      <c r="P2210">
        <v>4.2437573210000004</v>
      </c>
      <c r="Q2210">
        <v>2866.9241099999999</v>
      </c>
      <c r="R2210">
        <v>3.43</v>
      </c>
      <c r="S2210">
        <v>446550</v>
      </c>
      <c r="T2210">
        <v>31.791702000000001</v>
      </c>
      <c r="U2210">
        <v>-7.0926200000000001</v>
      </c>
    </row>
    <row r="2211" spans="1:21">
      <c r="A2211" t="s">
        <v>127</v>
      </c>
      <c r="B2211">
        <v>2010</v>
      </c>
      <c r="C2211">
        <v>6005.15</v>
      </c>
      <c r="D2211">
        <v>51759.998319999999</v>
      </c>
      <c r="E2211">
        <v>19.54</v>
      </c>
      <c r="F2211">
        <v>0</v>
      </c>
      <c r="G2211">
        <v>4.0999999999999996</v>
      </c>
      <c r="H2211">
        <v>17.343487</v>
      </c>
      <c r="I2211">
        <v>48.27</v>
      </c>
      <c r="J2211">
        <v>13.92</v>
      </c>
      <c r="K2211">
        <v>83</v>
      </c>
      <c r="L2211">
        <v>92.671379999999999</v>
      </c>
      <c r="M2211">
        <v>96.5</v>
      </c>
      <c r="N2211">
        <v>5.8873553000000003</v>
      </c>
      <c r="O2211">
        <v>8470000</v>
      </c>
      <c r="P2211">
        <v>3.8157179170000002</v>
      </c>
      <c r="Q2211">
        <v>2839.9261200000001</v>
      </c>
      <c r="R2211">
        <v>3.47</v>
      </c>
      <c r="S2211">
        <v>446550</v>
      </c>
      <c r="T2211">
        <v>31.791702000000001</v>
      </c>
      <c r="U2211">
        <v>-7.0926200000000001</v>
      </c>
    </row>
    <row r="2212" spans="1:21">
      <c r="A2212" t="s">
        <v>127</v>
      </c>
      <c r="B2212">
        <v>2011</v>
      </c>
      <c r="C2212">
        <v>6222.6260000000002</v>
      </c>
      <c r="D2212">
        <v>55939.998630000002</v>
      </c>
      <c r="E2212">
        <v>22.3</v>
      </c>
      <c r="F2212">
        <v>0</v>
      </c>
      <c r="G2212">
        <v>2.69</v>
      </c>
      <c r="H2212">
        <v>10.764305999999999</v>
      </c>
      <c r="I2212">
        <v>48.68</v>
      </c>
      <c r="J2212">
        <v>11.88</v>
      </c>
      <c r="K2212">
        <v>83</v>
      </c>
      <c r="L2212">
        <v>93.446433999999996</v>
      </c>
      <c r="M2212">
        <v>96.7</v>
      </c>
      <c r="N2212">
        <v>3.6438359999999999</v>
      </c>
      <c r="O2212">
        <v>218320000</v>
      </c>
      <c r="P2212">
        <v>5.2456972970000004</v>
      </c>
      <c r="Q2212">
        <v>3046.947854</v>
      </c>
      <c r="R2212">
        <v>3.55</v>
      </c>
      <c r="S2212">
        <v>446550</v>
      </c>
      <c r="T2212">
        <v>31.791702000000001</v>
      </c>
      <c r="U2212">
        <v>-7.0926200000000001</v>
      </c>
    </row>
    <row r="2213" spans="1:21">
      <c r="A2213" t="s">
        <v>127</v>
      </c>
      <c r="B2213">
        <v>2012</v>
      </c>
      <c r="C2213">
        <v>6249.1239999999998</v>
      </c>
      <c r="D2213">
        <v>58080.001830000001</v>
      </c>
      <c r="E2213">
        <v>24.97</v>
      </c>
      <c r="F2213">
        <v>0</v>
      </c>
      <c r="G2213">
        <v>2.42</v>
      </c>
      <c r="H2213">
        <v>8.8353409999999997</v>
      </c>
      <c r="I2213">
        <v>48.03</v>
      </c>
      <c r="J2213">
        <v>10.93</v>
      </c>
      <c r="K2213">
        <v>83</v>
      </c>
      <c r="L2213">
        <v>94.210520000000002</v>
      </c>
      <c r="M2213">
        <v>97.1</v>
      </c>
      <c r="N2213">
        <v>3.1137834</v>
      </c>
      <c r="O2213">
        <v>914040000</v>
      </c>
      <c r="P2213">
        <v>3.009961262</v>
      </c>
      <c r="Q2213">
        <v>2912.6582749999998</v>
      </c>
      <c r="R2213">
        <v>3.5</v>
      </c>
      <c r="S2213">
        <v>446550</v>
      </c>
      <c r="T2213">
        <v>31.791702000000001</v>
      </c>
      <c r="U2213">
        <v>-7.0926200000000001</v>
      </c>
    </row>
    <row r="2214" spans="1:21">
      <c r="A2214" t="s">
        <v>127</v>
      </c>
      <c r="B2214">
        <v>2013</v>
      </c>
      <c r="C2214">
        <v>6330.0834999999997</v>
      </c>
      <c r="D2214">
        <v>57590.00015</v>
      </c>
      <c r="E2214">
        <v>22.59</v>
      </c>
      <c r="F2214">
        <v>0</v>
      </c>
      <c r="G2214">
        <v>4.1900000000000004</v>
      </c>
      <c r="H2214">
        <v>15.646004</v>
      </c>
      <c r="I2214">
        <v>54.48</v>
      </c>
      <c r="J2214">
        <v>11.59</v>
      </c>
      <c r="K2214">
        <v>83</v>
      </c>
      <c r="L2214">
        <v>97.2</v>
      </c>
      <c r="M2214">
        <v>97.3</v>
      </c>
      <c r="N2214">
        <v>5.1105780000000003</v>
      </c>
      <c r="O2214">
        <v>5890000</v>
      </c>
      <c r="P2214">
        <v>4.5354241999999996</v>
      </c>
      <c r="Q2214">
        <v>3121.680081</v>
      </c>
      <c r="R2214">
        <v>3.36</v>
      </c>
      <c r="S2214">
        <v>446550</v>
      </c>
      <c r="T2214">
        <v>31.791702000000001</v>
      </c>
      <c r="U2214">
        <v>-7.0926200000000001</v>
      </c>
    </row>
    <row r="2215" spans="1:21">
      <c r="A2215" t="s">
        <v>127</v>
      </c>
      <c r="B2215">
        <v>2014</v>
      </c>
      <c r="C2215">
        <v>6336.7560000000003</v>
      </c>
      <c r="D2215">
        <v>58689.998630000002</v>
      </c>
      <c r="E2215">
        <v>24.13</v>
      </c>
      <c r="F2215">
        <v>0</v>
      </c>
      <c r="G2215">
        <v>3.61</v>
      </c>
      <c r="H2215">
        <v>13.013699000000001</v>
      </c>
      <c r="I2215">
        <v>62.68</v>
      </c>
      <c r="J2215">
        <v>11.14</v>
      </c>
      <c r="K2215">
        <v>83</v>
      </c>
      <c r="L2215">
        <v>91.6</v>
      </c>
      <c r="M2215">
        <v>97.4</v>
      </c>
      <c r="N2215">
        <v>4.4587364000000003</v>
      </c>
      <c r="O2215">
        <v>1433570000</v>
      </c>
      <c r="P2215">
        <v>2.669493927</v>
      </c>
      <c r="Q2215">
        <v>3171.699192</v>
      </c>
      <c r="R2215">
        <v>3.32</v>
      </c>
      <c r="S2215">
        <v>446550</v>
      </c>
      <c r="T2215">
        <v>31.791702000000001</v>
      </c>
      <c r="U2215">
        <v>-7.0926200000000001</v>
      </c>
    </row>
    <row r="2216" spans="1:21">
      <c r="A2216" t="s">
        <v>127</v>
      </c>
      <c r="B2216">
        <v>2015</v>
      </c>
      <c r="C2216">
        <v>6368.3936000000003</v>
      </c>
      <c r="D2216">
        <v>60409.99985</v>
      </c>
      <c r="E2216">
        <v>25.09</v>
      </c>
      <c r="F2216">
        <v>0</v>
      </c>
      <c r="G2216">
        <v>4.45</v>
      </c>
      <c r="H2216">
        <v>15.064318</v>
      </c>
      <c r="I2216">
        <v>66.56</v>
      </c>
      <c r="J2216">
        <v>11.25</v>
      </c>
      <c r="K2216">
        <v>83</v>
      </c>
      <c r="L2216">
        <v>97.3</v>
      </c>
      <c r="M2216">
        <v>97.7</v>
      </c>
      <c r="N2216">
        <v>5.3888490000000004</v>
      </c>
      <c r="O2216">
        <v>234280000</v>
      </c>
      <c r="P2216">
        <v>4.5363781679999997</v>
      </c>
      <c r="Q2216">
        <v>2875.2579850000002</v>
      </c>
      <c r="R2216">
        <v>3.25</v>
      </c>
      <c r="S2216">
        <v>446550</v>
      </c>
      <c r="T2216">
        <v>31.791702000000001</v>
      </c>
      <c r="U2216">
        <v>-7.0926200000000001</v>
      </c>
    </row>
    <row r="2217" spans="1:21">
      <c r="A2217" t="s">
        <v>127</v>
      </c>
      <c r="B2217">
        <v>2016</v>
      </c>
      <c r="C2217">
        <v>6361.1959999999999</v>
      </c>
      <c r="D2217">
        <v>60319.999689999997</v>
      </c>
      <c r="E2217">
        <v>25.74</v>
      </c>
      <c r="F2217">
        <v>0</v>
      </c>
      <c r="G2217">
        <v>4.74</v>
      </c>
      <c r="H2217">
        <v>15.55118</v>
      </c>
      <c r="I2217">
        <v>68.66</v>
      </c>
      <c r="J2217">
        <v>11.06</v>
      </c>
      <c r="K2217">
        <v>83</v>
      </c>
      <c r="L2217">
        <v>97.8</v>
      </c>
      <c r="M2217">
        <v>97.8</v>
      </c>
      <c r="N2217">
        <v>5.5951849999999999</v>
      </c>
      <c r="O2217">
        <v>410030000</v>
      </c>
      <c r="P2217">
        <v>1.05985639</v>
      </c>
      <c r="Q2217">
        <v>2896.7221960000002</v>
      </c>
      <c r="R2217">
        <v>3.23</v>
      </c>
      <c r="S2217">
        <v>446550</v>
      </c>
      <c r="T2217">
        <v>31.791702000000001</v>
      </c>
      <c r="U2217">
        <v>-7.0926200000000001</v>
      </c>
    </row>
    <row r="2218" spans="1:21">
      <c r="A2218" t="s">
        <v>127</v>
      </c>
      <c r="B2218">
        <v>2017</v>
      </c>
      <c r="C2218">
        <v>6580.7236000000003</v>
      </c>
      <c r="D2218">
        <v>63520.000460000003</v>
      </c>
      <c r="E2218">
        <v>26.86</v>
      </c>
      <c r="F2218">
        <v>0</v>
      </c>
      <c r="G2218">
        <v>4.6900000000000004</v>
      </c>
      <c r="H2218">
        <v>14.8652935</v>
      </c>
      <c r="I2218">
        <v>71.38</v>
      </c>
      <c r="J2218">
        <v>10.45</v>
      </c>
      <c r="K2218">
        <v>83</v>
      </c>
      <c r="L2218">
        <v>100</v>
      </c>
      <c r="M2218">
        <v>97.9</v>
      </c>
      <c r="N2218">
        <v>5.2868266000000004</v>
      </c>
      <c r="O2218">
        <v>82050000</v>
      </c>
      <c r="P2218">
        <v>4.2546032729999999</v>
      </c>
      <c r="Q2218">
        <v>3035.4544329999999</v>
      </c>
      <c r="R2218">
        <v>3.24</v>
      </c>
      <c r="S2218">
        <v>446550</v>
      </c>
      <c r="T2218">
        <v>31.791702000000001</v>
      </c>
      <c r="U2218">
        <v>-7.0926200000000001</v>
      </c>
    </row>
    <row r="2219" spans="1:21">
      <c r="A2219" t="s">
        <v>127</v>
      </c>
      <c r="B2219">
        <v>2018</v>
      </c>
      <c r="C2219">
        <v>6730.607</v>
      </c>
      <c r="D2219">
        <v>64959.999080000001</v>
      </c>
      <c r="E2219">
        <v>27.71</v>
      </c>
      <c r="F2219">
        <v>0</v>
      </c>
      <c r="G2219">
        <v>6.52</v>
      </c>
      <c r="H2219">
        <v>19.047619000000001</v>
      </c>
      <c r="I2219">
        <v>90.81</v>
      </c>
      <c r="J2219">
        <v>10.9</v>
      </c>
      <c r="K2219">
        <v>83</v>
      </c>
      <c r="L2219">
        <v>98.1</v>
      </c>
      <c r="M2219">
        <v>97.9</v>
      </c>
      <c r="N2219">
        <v>7.1069335999999996</v>
      </c>
      <c r="O2219">
        <v>811630000</v>
      </c>
      <c r="P2219">
        <v>3.1485026559999998</v>
      </c>
      <c r="Q2219">
        <v>3226.982794</v>
      </c>
      <c r="R2219">
        <v>3.18</v>
      </c>
      <c r="S2219">
        <v>446550</v>
      </c>
      <c r="T2219">
        <v>31.791702000000001</v>
      </c>
      <c r="U2219">
        <v>-7.0926200000000001</v>
      </c>
    </row>
    <row r="2220" spans="1:21">
      <c r="A2220" t="s">
        <v>127</v>
      </c>
      <c r="B2220">
        <v>2019</v>
      </c>
      <c r="C2220">
        <v>7267.4639999999999</v>
      </c>
      <c r="D2220">
        <v>71480.003360000002</v>
      </c>
      <c r="E2220">
        <v>32.380000000000003</v>
      </c>
      <c r="F2220">
        <v>0</v>
      </c>
      <c r="G2220">
        <v>7.6</v>
      </c>
      <c r="H2220">
        <v>19.009504</v>
      </c>
      <c r="I2220">
        <v>89.71</v>
      </c>
      <c r="J2220">
        <v>10.69</v>
      </c>
      <c r="K2220">
        <v>83</v>
      </c>
      <c r="L2220">
        <v>99.6</v>
      </c>
      <c r="M2220">
        <v>98</v>
      </c>
      <c r="N2220">
        <v>7.5470470000000001</v>
      </c>
      <c r="O2220">
        <v>413480000</v>
      </c>
      <c r="P2220">
        <v>2.607935495</v>
      </c>
      <c r="Q2220">
        <v>3235.0006600000002</v>
      </c>
      <c r="R2220">
        <v>3.34</v>
      </c>
      <c r="S2220">
        <v>446550</v>
      </c>
      <c r="T2220">
        <v>31.791702000000001</v>
      </c>
      <c r="U2220">
        <v>-7.0926200000000001</v>
      </c>
    </row>
    <row r="2221" spans="1:21">
      <c r="A2221" t="s">
        <v>127</v>
      </c>
      <c r="B2221">
        <v>2020</v>
      </c>
      <c r="C2221">
        <v>6551.4155000000001</v>
      </c>
      <c r="E2221">
        <v>31.36</v>
      </c>
      <c r="F2221">
        <v>0</v>
      </c>
      <c r="G2221">
        <v>7.02</v>
      </c>
      <c r="H2221">
        <v>18.290775</v>
      </c>
      <c r="I2221">
        <v>93.52</v>
      </c>
      <c r="K2221">
        <v>83</v>
      </c>
      <c r="L2221">
        <v>100</v>
      </c>
      <c r="M2221">
        <v>98.1</v>
      </c>
      <c r="N2221">
        <v>7.6339519999999998</v>
      </c>
      <c r="P2221">
        <v>-6.2932531599999999</v>
      </c>
      <c r="Q2221">
        <v>3058.6916890000002</v>
      </c>
      <c r="S2221">
        <v>446550</v>
      </c>
      <c r="T2221">
        <v>31.791702000000001</v>
      </c>
      <c r="U2221">
        <v>-7.0926200000000001</v>
      </c>
    </row>
    <row r="2222" spans="1:21">
      <c r="A2222" t="s">
        <v>128</v>
      </c>
      <c r="B2222">
        <v>2000</v>
      </c>
      <c r="C2222">
        <v>1646.6608000000001</v>
      </c>
      <c r="D2222">
        <v>1430</v>
      </c>
      <c r="E2222">
        <v>0.03</v>
      </c>
      <c r="F2222">
        <v>0</v>
      </c>
      <c r="G2222">
        <v>9.58</v>
      </c>
      <c r="H2222">
        <v>99.687830000000005</v>
      </c>
      <c r="I2222">
        <v>124.09</v>
      </c>
      <c r="J2222">
        <v>93.64</v>
      </c>
      <c r="K2222">
        <v>40</v>
      </c>
      <c r="L2222">
        <v>6.096311</v>
      </c>
      <c r="M2222">
        <v>2.2999999999999998</v>
      </c>
      <c r="O2222">
        <v>40000</v>
      </c>
      <c r="P2222">
        <v>1.1803007889999999</v>
      </c>
      <c r="Q2222">
        <v>319.35962080000002</v>
      </c>
      <c r="R2222">
        <v>26.91</v>
      </c>
      <c r="S2222">
        <v>799380</v>
      </c>
      <c r="T2222">
        <v>-18.665694999999999</v>
      </c>
      <c r="U2222">
        <v>35.529561999999999</v>
      </c>
    </row>
    <row r="2223" spans="1:21">
      <c r="A2223" t="s">
        <v>128</v>
      </c>
      <c r="B2223">
        <v>2001</v>
      </c>
      <c r="C2223">
        <v>2058.7939999999999</v>
      </c>
      <c r="D2223">
        <v>1410</v>
      </c>
      <c r="E2223">
        <v>0.04</v>
      </c>
      <c r="F2223">
        <v>0</v>
      </c>
      <c r="G2223">
        <v>11.74</v>
      </c>
      <c r="H2223">
        <v>99.660445999999993</v>
      </c>
      <c r="I2223">
        <v>120.61</v>
      </c>
      <c r="J2223">
        <v>93.01</v>
      </c>
      <c r="K2223">
        <v>40</v>
      </c>
      <c r="L2223">
        <v>5.7</v>
      </c>
      <c r="M2223">
        <v>2.2999999999999998</v>
      </c>
      <c r="O2223">
        <v>420000</v>
      </c>
      <c r="P2223">
        <v>12.086874399999999</v>
      </c>
      <c r="Q2223">
        <v>296.2684069</v>
      </c>
      <c r="R2223">
        <v>25.24</v>
      </c>
      <c r="S2223">
        <v>799380</v>
      </c>
      <c r="T2223">
        <v>-18.665694999999999</v>
      </c>
      <c r="U2223">
        <v>35.529561999999999</v>
      </c>
    </row>
    <row r="2224" spans="1:21">
      <c r="A2224" t="s">
        <v>128</v>
      </c>
      <c r="B2224">
        <v>2002</v>
      </c>
      <c r="C2224">
        <v>2031.7814000000001</v>
      </c>
      <c r="D2224">
        <v>1570.0000520000001</v>
      </c>
      <c r="E2224">
        <v>0.04</v>
      </c>
      <c r="F2224">
        <v>0</v>
      </c>
      <c r="G2224">
        <v>12.57</v>
      </c>
      <c r="H2224">
        <v>99.682789999999997</v>
      </c>
      <c r="I2224">
        <v>114.64</v>
      </c>
      <c r="J2224">
        <v>93.22</v>
      </c>
      <c r="K2224">
        <v>40</v>
      </c>
      <c r="L2224">
        <v>8.4439209999999996</v>
      </c>
      <c r="M2224">
        <v>2.2999999999999998</v>
      </c>
      <c r="O2224">
        <v>13110000</v>
      </c>
      <c r="P2224">
        <v>9.2910518849999999</v>
      </c>
      <c r="Q2224">
        <v>302.54523369999998</v>
      </c>
      <c r="R2224">
        <v>23.75</v>
      </c>
      <c r="S2224">
        <v>799380</v>
      </c>
      <c r="T2224">
        <v>-18.665694999999999</v>
      </c>
      <c r="U2224">
        <v>35.529561999999999</v>
      </c>
    </row>
    <row r="2225" spans="1:21">
      <c r="A2225" t="s">
        <v>128</v>
      </c>
      <c r="B2225">
        <v>2003</v>
      </c>
      <c r="C2225">
        <v>2005.1836000000001</v>
      </c>
      <c r="D2225">
        <v>1899.9999760000001</v>
      </c>
      <c r="E2225">
        <v>0.05</v>
      </c>
      <c r="F2225">
        <v>0</v>
      </c>
      <c r="G2225">
        <v>10.78</v>
      </c>
      <c r="H2225">
        <v>99.538319999999999</v>
      </c>
      <c r="I2225">
        <v>111.28</v>
      </c>
      <c r="J2225">
        <v>92.73</v>
      </c>
      <c r="K2225">
        <v>40</v>
      </c>
      <c r="L2225">
        <v>8.1</v>
      </c>
      <c r="M2225">
        <v>2.4</v>
      </c>
      <c r="O2225">
        <v>4020000</v>
      </c>
      <c r="P2225">
        <v>6.8785328720000001</v>
      </c>
      <c r="Q2225">
        <v>326.0751909</v>
      </c>
      <c r="R2225">
        <v>23.38</v>
      </c>
      <c r="S2225">
        <v>799380</v>
      </c>
      <c r="T2225">
        <v>-18.665694999999999</v>
      </c>
      <c r="U2225">
        <v>35.529561999999999</v>
      </c>
    </row>
    <row r="2226" spans="1:21">
      <c r="A2226" t="s">
        <v>128</v>
      </c>
      <c r="B2226">
        <v>2004</v>
      </c>
      <c r="C2226">
        <v>2047.423</v>
      </c>
      <c r="D2226">
        <v>1909.999967</v>
      </c>
      <c r="E2226">
        <v>0.05</v>
      </c>
      <c r="F2226">
        <v>0</v>
      </c>
      <c r="G2226">
        <v>11.58</v>
      </c>
      <c r="H2226">
        <v>99.570076</v>
      </c>
      <c r="I2226">
        <v>108.04</v>
      </c>
      <c r="J2226">
        <v>92.94</v>
      </c>
      <c r="K2226">
        <v>40</v>
      </c>
      <c r="L2226">
        <v>10.77059</v>
      </c>
      <c r="M2226">
        <v>2.4</v>
      </c>
      <c r="O2226">
        <v>1350000</v>
      </c>
      <c r="P2226">
        <v>7.9164078360000003</v>
      </c>
      <c r="Q2226">
        <v>383.27022190000002</v>
      </c>
      <c r="R2226">
        <v>22.44</v>
      </c>
      <c r="S2226">
        <v>799380</v>
      </c>
      <c r="T2226">
        <v>-18.665694999999999</v>
      </c>
      <c r="U2226">
        <v>35.529561999999999</v>
      </c>
    </row>
    <row r="2227" spans="1:21">
      <c r="A2227" t="s">
        <v>128</v>
      </c>
      <c r="B2227">
        <v>2005</v>
      </c>
      <c r="C2227">
        <v>2189.5408000000002</v>
      </c>
      <c r="D2227">
        <v>1710.0000379999999</v>
      </c>
      <c r="E2227">
        <v>0.04</v>
      </c>
      <c r="F2227">
        <v>0</v>
      </c>
      <c r="G2227">
        <v>13.15</v>
      </c>
      <c r="H2227">
        <v>99.696749999999994</v>
      </c>
      <c r="I2227">
        <v>106.31</v>
      </c>
      <c r="J2227">
        <v>93.67</v>
      </c>
      <c r="K2227">
        <v>40</v>
      </c>
      <c r="L2227">
        <v>11.931945000000001</v>
      </c>
      <c r="M2227">
        <v>2.5</v>
      </c>
      <c r="O2227">
        <v>900000</v>
      </c>
      <c r="P2227">
        <v>6.6459082809999996</v>
      </c>
      <c r="Q2227">
        <v>416.80982419999998</v>
      </c>
      <c r="R2227">
        <v>21.44</v>
      </c>
      <c r="S2227">
        <v>799380</v>
      </c>
      <c r="T2227">
        <v>-18.665694999999999</v>
      </c>
      <c r="U2227">
        <v>35.529561999999999</v>
      </c>
    </row>
    <row r="2228" spans="1:21">
      <c r="A2228" t="s">
        <v>128</v>
      </c>
      <c r="B2228">
        <v>2006</v>
      </c>
      <c r="C2228">
        <v>2325.4857999999999</v>
      </c>
      <c r="D2228">
        <v>1860.000014</v>
      </c>
      <c r="E2228">
        <v>0.04</v>
      </c>
      <c r="F2228">
        <v>0</v>
      </c>
      <c r="G2228">
        <v>14.59</v>
      </c>
      <c r="H2228">
        <v>99.726585</v>
      </c>
      <c r="I2228">
        <v>104.26</v>
      </c>
      <c r="J2228">
        <v>93.06</v>
      </c>
      <c r="K2228">
        <v>40</v>
      </c>
      <c r="L2228">
        <v>13.095172</v>
      </c>
      <c r="M2228">
        <v>2.5</v>
      </c>
      <c r="O2228">
        <v>50000</v>
      </c>
      <c r="P2228">
        <v>9.6943740920000003</v>
      </c>
      <c r="Q2228">
        <v>435.33406330000003</v>
      </c>
      <c r="R2228">
        <v>20.21</v>
      </c>
      <c r="S2228">
        <v>799380</v>
      </c>
      <c r="T2228">
        <v>-18.665694999999999</v>
      </c>
      <c r="U2228">
        <v>35.529561999999999</v>
      </c>
    </row>
    <row r="2229" spans="1:21">
      <c r="A2229" t="s">
        <v>128</v>
      </c>
      <c r="B2229">
        <v>2007</v>
      </c>
      <c r="C2229">
        <v>2517.8892000000001</v>
      </c>
      <c r="D2229">
        <v>2230.0000190000001</v>
      </c>
      <c r="E2229">
        <v>0.04</v>
      </c>
      <c r="F2229">
        <v>0</v>
      </c>
      <c r="G2229">
        <v>15.92</v>
      </c>
      <c r="H2229">
        <v>99.749374000000003</v>
      </c>
      <c r="I2229">
        <v>99.89</v>
      </c>
      <c r="J2229">
        <v>87.53</v>
      </c>
      <c r="K2229">
        <v>40</v>
      </c>
      <c r="L2229">
        <v>12.4</v>
      </c>
      <c r="M2229">
        <v>2.7</v>
      </c>
      <c r="O2229">
        <v>4810000</v>
      </c>
      <c r="P2229">
        <v>7.729746242</v>
      </c>
      <c r="Q2229">
        <v>482.1985636</v>
      </c>
      <c r="R2229">
        <v>15.17</v>
      </c>
      <c r="S2229">
        <v>799380</v>
      </c>
      <c r="T2229">
        <v>-18.665694999999999</v>
      </c>
      <c r="U2229">
        <v>35.529561999999999</v>
      </c>
    </row>
    <row r="2230" spans="1:21">
      <c r="A2230" t="s">
        <v>128</v>
      </c>
      <c r="B2230">
        <v>2008</v>
      </c>
      <c r="C2230">
        <v>2311.3452000000002</v>
      </c>
      <c r="D2230">
        <v>2240.0000100000002</v>
      </c>
      <c r="E2230">
        <v>0.04</v>
      </c>
      <c r="F2230">
        <v>0</v>
      </c>
      <c r="G2230">
        <v>14.98</v>
      </c>
      <c r="H2230">
        <v>99.733689999999996</v>
      </c>
      <c r="I2230">
        <v>98.66</v>
      </c>
      <c r="J2230">
        <v>88.11</v>
      </c>
      <c r="K2230">
        <v>40</v>
      </c>
      <c r="L2230">
        <v>13.571224000000001</v>
      </c>
      <c r="M2230">
        <v>2.7</v>
      </c>
      <c r="O2230">
        <v>6430000</v>
      </c>
      <c r="P2230">
        <v>7.3177553240000002</v>
      </c>
      <c r="Q2230">
        <v>563.6496343</v>
      </c>
      <c r="R2230">
        <v>14.49</v>
      </c>
      <c r="S2230">
        <v>799380</v>
      </c>
      <c r="T2230">
        <v>-18.665694999999999</v>
      </c>
      <c r="U2230">
        <v>35.529561999999999</v>
      </c>
    </row>
    <row r="2231" spans="1:21">
      <c r="A2231" t="s">
        <v>128</v>
      </c>
      <c r="B2231">
        <v>2009</v>
      </c>
      <c r="C2231">
        <v>2432.587</v>
      </c>
      <c r="D2231">
        <v>2490.0000100000002</v>
      </c>
      <c r="E2231">
        <v>0.04</v>
      </c>
      <c r="F2231">
        <v>0</v>
      </c>
      <c r="G2231">
        <v>16.8</v>
      </c>
      <c r="H2231">
        <v>99.762460000000004</v>
      </c>
      <c r="I2231">
        <v>96</v>
      </c>
      <c r="J2231">
        <v>86.12</v>
      </c>
      <c r="K2231">
        <v>40</v>
      </c>
      <c r="L2231">
        <v>15</v>
      </c>
      <c r="M2231">
        <v>2.9</v>
      </c>
      <c r="O2231">
        <v>1960000</v>
      </c>
      <c r="P2231">
        <v>6.3181972320000002</v>
      </c>
      <c r="Q2231">
        <v>520.40263159999995</v>
      </c>
      <c r="R2231">
        <v>14.82</v>
      </c>
      <c r="S2231">
        <v>799380</v>
      </c>
      <c r="T2231">
        <v>-18.665694999999999</v>
      </c>
      <c r="U2231">
        <v>35.529561999999999</v>
      </c>
    </row>
    <row r="2232" spans="1:21">
      <c r="A2232" t="s">
        <v>128</v>
      </c>
      <c r="B2232">
        <v>2010</v>
      </c>
      <c r="C2232">
        <v>2355.5942</v>
      </c>
      <c r="D2232">
        <v>2680.0000669999999</v>
      </c>
      <c r="E2232">
        <v>0.05</v>
      </c>
      <c r="F2232">
        <v>0</v>
      </c>
      <c r="G2232">
        <v>16.5</v>
      </c>
      <c r="H2232">
        <v>99.697890000000001</v>
      </c>
      <c r="I2232">
        <v>93.4</v>
      </c>
      <c r="J2232">
        <v>84.89</v>
      </c>
      <c r="K2232">
        <v>40</v>
      </c>
      <c r="L2232">
        <v>18.802735999999999</v>
      </c>
      <c r="M2232">
        <v>3.1</v>
      </c>
      <c r="O2232">
        <v>90890000</v>
      </c>
      <c r="P2232">
        <v>6.502353115</v>
      </c>
      <c r="Q2232">
        <v>471.90434329999999</v>
      </c>
      <c r="R2232">
        <v>12.66</v>
      </c>
      <c r="S2232">
        <v>799380</v>
      </c>
      <c r="T2232">
        <v>-18.665694999999999</v>
      </c>
      <c r="U2232">
        <v>35.529561999999999</v>
      </c>
    </row>
    <row r="2233" spans="1:21">
      <c r="A2233" t="s">
        <v>128</v>
      </c>
      <c r="B2233">
        <v>2011</v>
      </c>
      <c r="C2233">
        <v>2590.4596999999999</v>
      </c>
      <c r="D2233">
        <v>3349.9999050000001</v>
      </c>
      <c r="E2233">
        <v>0.06</v>
      </c>
      <c r="F2233">
        <v>0</v>
      </c>
      <c r="G2233">
        <v>16.66</v>
      </c>
      <c r="H2233">
        <v>99.641149999999996</v>
      </c>
      <c r="I2233">
        <v>90.89</v>
      </c>
      <c r="J2233">
        <v>85.97</v>
      </c>
      <c r="K2233">
        <v>40</v>
      </c>
      <c r="L2233">
        <v>20.2</v>
      </c>
      <c r="M2233">
        <v>3.1</v>
      </c>
      <c r="O2233">
        <v>16200000</v>
      </c>
      <c r="P2233">
        <v>7.4173843159999997</v>
      </c>
      <c r="Q2233">
        <v>594.58614709999995</v>
      </c>
      <c r="R2233">
        <v>14.75</v>
      </c>
      <c r="S2233">
        <v>799380</v>
      </c>
      <c r="T2233">
        <v>-18.665694999999999</v>
      </c>
      <c r="U2233">
        <v>35.529561999999999</v>
      </c>
    </row>
    <row r="2234" spans="1:21">
      <c r="A2234" t="s">
        <v>128</v>
      </c>
      <c r="B2234">
        <v>2012</v>
      </c>
      <c r="C2234">
        <v>2700.6165000000001</v>
      </c>
      <c r="D2234">
        <v>3680.0000669999999</v>
      </c>
      <c r="E2234">
        <v>0.06</v>
      </c>
      <c r="F2234">
        <v>0</v>
      </c>
      <c r="G2234">
        <v>15.01</v>
      </c>
      <c r="H2234">
        <v>99.601860000000002</v>
      </c>
      <c r="I2234">
        <v>88.53</v>
      </c>
      <c r="J2234">
        <v>85.15</v>
      </c>
      <c r="K2234">
        <v>40</v>
      </c>
      <c r="L2234">
        <v>21.232607000000002</v>
      </c>
      <c r="M2234">
        <v>3.4</v>
      </c>
      <c r="O2234">
        <v>74200000</v>
      </c>
      <c r="P2234">
        <v>7.2584392529999997</v>
      </c>
      <c r="Q2234">
        <v>657.64467649999995</v>
      </c>
      <c r="R2234">
        <v>13.9</v>
      </c>
      <c r="S2234">
        <v>799380</v>
      </c>
      <c r="T2234">
        <v>-18.665694999999999</v>
      </c>
      <c r="U2234">
        <v>35.529561999999999</v>
      </c>
    </row>
    <row r="2235" spans="1:21">
      <c r="A2235" t="s">
        <v>128</v>
      </c>
      <c r="B2235">
        <v>2013</v>
      </c>
      <c r="C2235">
        <v>2775.2775999999999</v>
      </c>
      <c r="D2235">
        <v>4199.9998089999999</v>
      </c>
      <c r="E2235">
        <v>0.28000000000000003</v>
      </c>
      <c r="F2235">
        <v>0</v>
      </c>
      <c r="G2235">
        <v>14.51</v>
      </c>
      <c r="H2235">
        <v>98.106830000000002</v>
      </c>
      <c r="I2235">
        <v>86.25</v>
      </c>
      <c r="J2235">
        <v>83.73</v>
      </c>
      <c r="K2235">
        <v>40</v>
      </c>
      <c r="L2235">
        <v>22.420127999999998</v>
      </c>
      <c r="M2235">
        <v>3.5</v>
      </c>
      <c r="O2235">
        <v>38460000</v>
      </c>
      <c r="P2235">
        <v>6.9636071350000002</v>
      </c>
      <c r="Q2235">
        <v>664.07751040000005</v>
      </c>
      <c r="R2235">
        <v>13.91</v>
      </c>
      <c r="S2235">
        <v>799380</v>
      </c>
      <c r="T2235">
        <v>-18.665694999999999</v>
      </c>
      <c r="U2235">
        <v>35.529561999999999</v>
      </c>
    </row>
    <row r="2236" spans="1:21">
      <c r="A2236" t="s">
        <v>128</v>
      </c>
      <c r="B2236">
        <v>2014</v>
      </c>
      <c r="C2236">
        <v>2987.1777000000002</v>
      </c>
      <c r="D2236">
        <v>4860.0001339999999</v>
      </c>
      <c r="E2236">
        <v>1.19</v>
      </c>
      <c r="F2236">
        <v>0</v>
      </c>
      <c r="G2236">
        <v>16.38</v>
      </c>
      <c r="H2236">
        <v>93.227090000000004</v>
      </c>
      <c r="I2236">
        <v>83.98</v>
      </c>
      <c r="J2236">
        <v>81.92</v>
      </c>
      <c r="K2236">
        <v>40</v>
      </c>
      <c r="L2236">
        <v>24.8</v>
      </c>
      <c r="M2236">
        <v>3.7</v>
      </c>
      <c r="O2236">
        <v>9310000</v>
      </c>
      <c r="P2236">
        <v>7.3985127970000004</v>
      </c>
      <c r="Q2236">
        <v>673.96921199999997</v>
      </c>
      <c r="R2236">
        <v>13.4</v>
      </c>
      <c r="S2236">
        <v>799380</v>
      </c>
      <c r="T2236">
        <v>-18.665694999999999</v>
      </c>
      <c r="U2236">
        <v>35.529561999999999</v>
      </c>
    </row>
    <row r="2237" spans="1:21">
      <c r="A2237" t="s">
        <v>128</v>
      </c>
      <c r="B2237">
        <v>2015</v>
      </c>
      <c r="C2237">
        <v>3077.7910000000002</v>
      </c>
      <c r="D2237">
        <v>5519.9999809999999</v>
      </c>
      <c r="E2237">
        <v>2.0699999999999998</v>
      </c>
      <c r="F2237">
        <v>0</v>
      </c>
      <c r="G2237">
        <v>17.62</v>
      </c>
      <c r="H2237">
        <v>89.487049999999996</v>
      </c>
      <c r="I2237">
        <v>81.75</v>
      </c>
      <c r="J2237">
        <v>80.8</v>
      </c>
      <c r="K2237">
        <v>40</v>
      </c>
      <c r="L2237">
        <v>24</v>
      </c>
      <c r="M2237">
        <v>3.9</v>
      </c>
      <c r="O2237">
        <v>9500000</v>
      </c>
      <c r="P2237">
        <v>6.7232787800000002</v>
      </c>
      <c r="Q2237">
        <v>589.85905000000002</v>
      </c>
      <c r="R2237">
        <v>12.96</v>
      </c>
      <c r="S2237">
        <v>799380</v>
      </c>
      <c r="T2237">
        <v>-18.665694999999999</v>
      </c>
      <c r="U2237">
        <v>35.529561999999999</v>
      </c>
    </row>
    <row r="2238" spans="1:21">
      <c r="A2238" t="s">
        <v>128</v>
      </c>
      <c r="B2238">
        <v>2016</v>
      </c>
      <c r="C2238">
        <v>3067.1821</v>
      </c>
      <c r="D2238">
        <v>7280.0002100000002</v>
      </c>
      <c r="E2238">
        <v>2.82</v>
      </c>
      <c r="F2238">
        <v>0</v>
      </c>
      <c r="G2238">
        <v>15.71</v>
      </c>
      <c r="H2238">
        <v>84.78143</v>
      </c>
      <c r="I2238">
        <v>79.540000000000006</v>
      </c>
      <c r="J2238">
        <v>78.2</v>
      </c>
      <c r="K2238">
        <v>40</v>
      </c>
      <c r="L2238">
        <v>26.246521000000001</v>
      </c>
      <c r="M2238">
        <v>4.2</v>
      </c>
      <c r="O2238">
        <v>55930000</v>
      </c>
      <c r="P2238">
        <v>3.8242143190000002</v>
      </c>
      <c r="Q2238">
        <v>428.92667290000003</v>
      </c>
      <c r="R2238">
        <v>12.7</v>
      </c>
      <c r="S2238">
        <v>799380</v>
      </c>
      <c r="T2238">
        <v>-18.665694999999999</v>
      </c>
      <c r="U2238">
        <v>35.529561999999999</v>
      </c>
    </row>
    <row r="2239" spans="1:21">
      <c r="A2239" t="s">
        <v>128</v>
      </c>
      <c r="B2239">
        <v>2017</v>
      </c>
      <c r="C2239">
        <v>2985.2323999999999</v>
      </c>
      <c r="D2239">
        <v>7210.0000380000001</v>
      </c>
      <c r="E2239">
        <v>2.63</v>
      </c>
      <c r="F2239">
        <v>0</v>
      </c>
      <c r="G2239">
        <v>14.16</v>
      </c>
      <c r="H2239">
        <v>84.335909999999998</v>
      </c>
      <c r="I2239">
        <v>77.930000000000007</v>
      </c>
      <c r="J2239">
        <v>78.900000000000006</v>
      </c>
      <c r="K2239">
        <v>40</v>
      </c>
      <c r="L2239">
        <v>24.3</v>
      </c>
      <c r="M2239">
        <v>4.3499999999999996</v>
      </c>
      <c r="O2239">
        <v>52490000</v>
      </c>
      <c r="P2239">
        <v>3.7413175930000002</v>
      </c>
      <c r="Q2239">
        <v>461.41509409999998</v>
      </c>
      <c r="R2239">
        <v>12.31</v>
      </c>
      <c r="S2239">
        <v>799380</v>
      </c>
      <c r="T2239">
        <v>-18.665694999999999</v>
      </c>
      <c r="U2239">
        <v>35.529561999999999</v>
      </c>
    </row>
    <row r="2240" spans="1:21">
      <c r="A2240" t="s">
        <v>128</v>
      </c>
      <c r="B2240">
        <v>2018</v>
      </c>
      <c r="C2240">
        <v>2383.0243999999998</v>
      </c>
      <c r="D2240">
        <v>6949.9998089999999</v>
      </c>
      <c r="E2240">
        <v>2.94</v>
      </c>
      <c r="F2240">
        <v>0</v>
      </c>
      <c r="G2240">
        <v>13.88</v>
      </c>
      <c r="H2240">
        <v>82.520809999999997</v>
      </c>
      <c r="I2240">
        <v>77.05</v>
      </c>
      <c r="J2240">
        <v>79.569999999999993</v>
      </c>
      <c r="K2240">
        <v>40</v>
      </c>
      <c r="L2240">
        <v>31.1</v>
      </c>
      <c r="M2240">
        <v>4.5999999999999996</v>
      </c>
      <c r="O2240">
        <v>9130000</v>
      </c>
      <c r="P2240">
        <v>3.4438138399999998</v>
      </c>
      <c r="Q2240">
        <v>503.31792519999999</v>
      </c>
      <c r="R2240">
        <v>12.07</v>
      </c>
      <c r="S2240">
        <v>799380</v>
      </c>
      <c r="T2240">
        <v>-18.665694999999999</v>
      </c>
      <c r="U2240">
        <v>35.529561999999999</v>
      </c>
    </row>
    <row r="2241" spans="1:21">
      <c r="A2241" t="s">
        <v>128</v>
      </c>
      <c r="B2241">
        <v>2019</v>
      </c>
      <c r="C2241">
        <v>2446.9106000000002</v>
      </c>
      <c r="D2241">
        <v>7500</v>
      </c>
      <c r="E2241">
        <v>3.65</v>
      </c>
      <c r="F2241">
        <v>0</v>
      </c>
      <c r="G2241">
        <v>15.06</v>
      </c>
      <c r="H2241">
        <v>80.491720000000001</v>
      </c>
      <c r="I2241">
        <v>76.16</v>
      </c>
      <c r="J2241">
        <v>78.08</v>
      </c>
      <c r="K2241">
        <v>40</v>
      </c>
      <c r="L2241">
        <v>29.67445</v>
      </c>
      <c r="M2241">
        <v>4.8</v>
      </c>
      <c r="O2241">
        <v>188450000</v>
      </c>
      <c r="P2241">
        <v>2.3146060099999999</v>
      </c>
      <c r="Q2241">
        <v>506.64163910000002</v>
      </c>
      <c r="R2241">
        <v>11.93</v>
      </c>
      <c r="S2241">
        <v>799380</v>
      </c>
      <c r="T2241">
        <v>-18.665694999999999</v>
      </c>
      <c r="U2241">
        <v>35.529561999999999</v>
      </c>
    </row>
    <row r="2242" spans="1:21">
      <c r="A2242" t="s">
        <v>128</v>
      </c>
      <c r="B2242">
        <v>2020</v>
      </c>
      <c r="C2242">
        <v>2248.6529999999998</v>
      </c>
      <c r="E2242">
        <v>3.49</v>
      </c>
      <c r="F2242">
        <v>0</v>
      </c>
      <c r="G2242">
        <v>15.85</v>
      </c>
      <c r="H2242">
        <v>81.954499999999996</v>
      </c>
      <c r="I2242">
        <v>73.989999999999995</v>
      </c>
      <c r="K2242">
        <v>40</v>
      </c>
      <c r="L2242">
        <v>30.603832000000001</v>
      </c>
      <c r="M2242">
        <v>5.0999999999999996</v>
      </c>
      <c r="P2242">
        <v>-1.233905711</v>
      </c>
      <c r="Q2242">
        <v>448.5442807</v>
      </c>
      <c r="S2242">
        <v>799380</v>
      </c>
      <c r="T2242">
        <v>-18.665694999999999</v>
      </c>
      <c r="U2242">
        <v>35.529561999999999</v>
      </c>
    </row>
    <row r="2243" spans="1:21">
      <c r="A2243" t="s">
        <v>129</v>
      </c>
      <c r="B2243">
        <v>2000</v>
      </c>
      <c r="C2243">
        <v>1055.1343999999999</v>
      </c>
      <c r="D2243">
        <v>9440</v>
      </c>
      <c r="E2243">
        <v>2.8</v>
      </c>
      <c r="F2243">
        <v>0</v>
      </c>
      <c r="G2243">
        <v>2.11</v>
      </c>
      <c r="H2243">
        <v>42.973522000000003</v>
      </c>
      <c r="I2243">
        <v>7.36</v>
      </c>
      <c r="J2243">
        <v>80.17</v>
      </c>
      <c r="K2243">
        <v>83</v>
      </c>
      <c r="L2243">
        <v>41.83379</v>
      </c>
      <c r="M2243">
        <v>2.9</v>
      </c>
      <c r="P2243">
        <v>12.41819164</v>
      </c>
      <c r="Q2243">
        <v>146.60457880000001</v>
      </c>
      <c r="R2243">
        <v>10.52</v>
      </c>
      <c r="S2243">
        <v>676578</v>
      </c>
      <c r="T2243">
        <v>21.916221</v>
      </c>
      <c r="U2243">
        <v>95.955973999999998</v>
      </c>
    </row>
    <row r="2244" spans="1:21">
      <c r="A2244" t="s">
        <v>129</v>
      </c>
      <c r="B2244">
        <v>2001</v>
      </c>
      <c r="C2244">
        <v>963.84076000000005</v>
      </c>
      <c r="D2244">
        <v>8350</v>
      </c>
      <c r="E2244">
        <v>2.4500000000000002</v>
      </c>
      <c r="F2244">
        <v>0</v>
      </c>
      <c r="G2244">
        <v>2.0499999999999998</v>
      </c>
      <c r="H2244">
        <v>45.555557</v>
      </c>
      <c r="I2244">
        <v>7.4</v>
      </c>
      <c r="J2244">
        <v>82.48</v>
      </c>
      <c r="K2244">
        <v>83</v>
      </c>
      <c r="L2244">
        <v>42.941899999999997</v>
      </c>
      <c r="M2244">
        <v>3.1</v>
      </c>
      <c r="P2244">
        <v>12.467730039999999</v>
      </c>
      <c r="Q2244">
        <v>131.71530720000001</v>
      </c>
      <c r="R2244">
        <v>9.23</v>
      </c>
      <c r="S2244">
        <v>676578</v>
      </c>
      <c r="T2244">
        <v>21.916221</v>
      </c>
      <c r="U2244">
        <v>95.955973999999998</v>
      </c>
    </row>
    <row r="2245" spans="1:21">
      <c r="A2245" t="s">
        <v>129</v>
      </c>
      <c r="B2245">
        <v>2002</v>
      </c>
      <c r="C2245">
        <v>1107.3801000000001</v>
      </c>
      <c r="D2245">
        <v>8300.0001909999992</v>
      </c>
      <c r="E2245">
        <v>2.5499999999999998</v>
      </c>
      <c r="F2245">
        <v>0</v>
      </c>
      <c r="G2245">
        <v>2.4500000000000002</v>
      </c>
      <c r="H2245">
        <v>49</v>
      </c>
      <c r="I2245">
        <v>7.89</v>
      </c>
      <c r="J2245">
        <v>83.12</v>
      </c>
      <c r="K2245">
        <v>83</v>
      </c>
      <c r="L2245">
        <v>47</v>
      </c>
      <c r="M2245">
        <v>3.3</v>
      </c>
      <c r="O2245">
        <v>5350000</v>
      </c>
      <c r="P2245">
        <v>11.703045619999999</v>
      </c>
      <c r="Q2245">
        <v>128.09970809999999</v>
      </c>
      <c r="R2245">
        <v>8.52</v>
      </c>
      <c r="S2245">
        <v>676578</v>
      </c>
      <c r="T2245">
        <v>21.916221</v>
      </c>
      <c r="U2245">
        <v>95.955973999999998</v>
      </c>
    </row>
    <row r="2246" spans="1:21">
      <c r="A2246" t="s">
        <v>129</v>
      </c>
      <c r="B2246">
        <v>2003</v>
      </c>
      <c r="C2246">
        <v>1236.4875</v>
      </c>
      <c r="D2246">
        <v>10489.99977</v>
      </c>
      <c r="E2246">
        <v>2.86</v>
      </c>
      <c r="F2246">
        <v>0</v>
      </c>
      <c r="G2246">
        <v>2.52</v>
      </c>
      <c r="H2246">
        <v>46.840150000000001</v>
      </c>
      <c r="I2246">
        <v>7.86</v>
      </c>
      <c r="J2246">
        <v>79.86</v>
      </c>
      <c r="K2246">
        <v>83</v>
      </c>
      <c r="L2246">
        <v>45.137714000000003</v>
      </c>
      <c r="M2246">
        <v>3.6</v>
      </c>
      <c r="O2246">
        <v>434230000</v>
      </c>
      <c r="P2246">
        <v>12.986324890000001</v>
      </c>
      <c r="Q2246">
        <v>161.05552359999999</v>
      </c>
      <c r="R2246">
        <v>8.1199999999999992</v>
      </c>
      <c r="S2246">
        <v>676578</v>
      </c>
      <c r="T2246">
        <v>21.916221</v>
      </c>
      <c r="U2246">
        <v>95.955973999999998</v>
      </c>
    </row>
    <row r="2247" spans="1:21">
      <c r="A2247" t="s">
        <v>129</v>
      </c>
      <c r="B2247">
        <v>2004</v>
      </c>
      <c r="C2247">
        <v>1285.3595</v>
      </c>
      <c r="D2247">
        <v>10149.999620000001</v>
      </c>
      <c r="E2247">
        <v>2.79</v>
      </c>
      <c r="F2247">
        <v>0</v>
      </c>
      <c r="G2247">
        <v>2.6</v>
      </c>
      <c r="H2247">
        <v>48.237476000000001</v>
      </c>
      <c r="I2247">
        <v>9.3800000000000008</v>
      </c>
      <c r="J2247">
        <v>80.47</v>
      </c>
      <c r="K2247">
        <v>83</v>
      </c>
      <c r="L2247">
        <v>46.230117999999997</v>
      </c>
      <c r="M2247">
        <v>4.0999999999999996</v>
      </c>
      <c r="O2247">
        <v>70000</v>
      </c>
      <c r="P2247">
        <v>13.69528734</v>
      </c>
      <c r="Q2247">
        <v>193.36876580000001</v>
      </c>
      <c r="R2247">
        <v>7.52</v>
      </c>
      <c r="S2247">
        <v>676578</v>
      </c>
      <c r="T2247">
        <v>21.916221</v>
      </c>
      <c r="U2247">
        <v>95.955973999999998</v>
      </c>
    </row>
    <row r="2248" spans="1:21">
      <c r="A2248" t="s">
        <v>129</v>
      </c>
      <c r="B2248">
        <v>2005</v>
      </c>
      <c r="C2248">
        <v>1642.7947999999999</v>
      </c>
      <c r="D2248">
        <v>10720.00027</v>
      </c>
      <c r="E2248">
        <v>2.66</v>
      </c>
      <c r="F2248">
        <v>0</v>
      </c>
      <c r="G2248">
        <v>3.16</v>
      </c>
      <c r="H2248">
        <v>54.295532000000001</v>
      </c>
      <c r="I2248">
        <v>15.04</v>
      </c>
      <c r="J2248">
        <v>79.819999999999993</v>
      </c>
      <c r="K2248">
        <v>83</v>
      </c>
      <c r="L2248">
        <v>47.321983000000003</v>
      </c>
      <c r="M2248">
        <v>4.5999999999999996</v>
      </c>
      <c r="P2248">
        <v>13.56694201</v>
      </c>
      <c r="Q2248">
        <v>216.3115014</v>
      </c>
      <c r="R2248">
        <v>6.63</v>
      </c>
      <c r="S2248">
        <v>676578</v>
      </c>
      <c r="T2248">
        <v>21.916221</v>
      </c>
      <c r="U2248">
        <v>95.955973999999998</v>
      </c>
    </row>
    <row r="2249" spans="1:21">
      <c r="A2249" t="s">
        <v>129</v>
      </c>
      <c r="B2249">
        <v>2006</v>
      </c>
      <c r="C2249">
        <v>1538.9808</v>
      </c>
      <c r="D2249">
        <v>9970.0002669999994</v>
      </c>
      <c r="E2249">
        <v>2.4700000000000002</v>
      </c>
      <c r="F2249">
        <v>0</v>
      </c>
      <c r="G2249">
        <v>3.49</v>
      </c>
      <c r="H2249">
        <v>58.557045000000002</v>
      </c>
      <c r="I2249">
        <v>15.24</v>
      </c>
      <c r="J2249">
        <v>81.459999999999994</v>
      </c>
      <c r="K2249">
        <v>83</v>
      </c>
      <c r="L2249">
        <v>48.41572</v>
      </c>
      <c r="M2249">
        <v>5.4</v>
      </c>
      <c r="P2249">
        <v>13.30686931</v>
      </c>
      <c r="Q2249">
        <v>240.6240142</v>
      </c>
      <c r="R2249">
        <v>5.93</v>
      </c>
      <c r="S2249">
        <v>676578</v>
      </c>
      <c r="T2249">
        <v>21.916221</v>
      </c>
      <c r="U2249">
        <v>95.955973999999998</v>
      </c>
    </row>
    <row r="2250" spans="1:21">
      <c r="A2250" t="s">
        <v>129</v>
      </c>
      <c r="B2250">
        <v>2007</v>
      </c>
      <c r="C2250">
        <v>1648.7915</v>
      </c>
      <c r="D2250">
        <v>10390.000340000001</v>
      </c>
      <c r="E2250">
        <v>2.39</v>
      </c>
      <c r="F2250">
        <v>0</v>
      </c>
      <c r="G2250">
        <v>3.81</v>
      </c>
      <c r="H2250">
        <v>61.451613999999999</v>
      </c>
      <c r="I2250">
        <v>15.8</v>
      </c>
      <c r="J2250">
        <v>80.7</v>
      </c>
      <c r="K2250">
        <v>83</v>
      </c>
      <c r="L2250">
        <v>49.513984999999998</v>
      </c>
      <c r="M2250">
        <v>6.2</v>
      </c>
      <c r="P2250">
        <v>12.50048629</v>
      </c>
      <c r="Q2250">
        <v>314.20229419999998</v>
      </c>
      <c r="R2250">
        <v>5.49</v>
      </c>
      <c r="S2250">
        <v>676578</v>
      </c>
      <c r="T2250">
        <v>21.916221</v>
      </c>
      <c r="U2250">
        <v>95.955973999999998</v>
      </c>
    </row>
    <row r="2251" spans="1:21">
      <c r="A2251" t="s">
        <v>129</v>
      </c>
      <c r="B2251">
        <v>2008</v>
      </c>
      <c r="C2251">
        <v>1504.8369</v>
      </c>
      <c r="D2251">
        <v>7900.0000950000003</v>
      </c>
      <c r="E2251">
        <v>2.19</v>
      </c>
      <c r="F2251">
        <v>0</v>
      </c>
      <c r="G2251">
        <v>4.24</v>
      </c>
      <c r="H2251">
        <v>65.940899999999999</v>
      </c>
      <c r="I2251">
        <v>16.309999999999999</v>
      </c>
      <c r="J2251">
        <v>85.71</v>
      </c>
      <c r="K2251">
        <v>83</v>
      </c>
      <c r="L2251">
        <v>50.619475999999999</v>
      </c>
      <c r="M2251">
        <v>7.05</v>
      </c>
      <c r="P2251">
        <v>11.074267649999999</v>
      </c>
      <c r="Q2251">
        <v>460.90888919999998</v>
      </c>
      <c r="R2251">
        <v>4.79</v>
      </c>
      <c r="S2251">
        <v>676578</v>
      </c>
      <c r="T2251">
        <v>21.916221</v>
      </c>
      <c r="U2251">
        <v>95.955973999999998</v>
      </c>
    </row>
    <row r="2252" spans="1:21">
      <c r="A2252" t="s">
        <v>129</v>
      </c>
      <c r="B2252">
        <v>2009</v>
      </c>
      <c r="C2252">
        <v>1377.9010000000001</v>
      </c>
      <c r="D2252">
        <v>7489.9997709999998</v>
      </c>
      <c r="E2252">
        <v>1.47</v>
      </c>
      <c r="F2252">
        <v>0</v>
      </c>
      <c r="G2252">
        <v>5.34</v>
      </c>
      <c r="H2252">
        <v>78.414100000000005</v>
      </c>
      <c r="I2252">
        <v>29.21</v>
      </c>
      <c r="J2252">
        <v>85.48</v>
      </c>
      <c r="K2252">
        <v>83</v>
      </c>
      <c r="L2252">
        <v>51.734909999999999</v>
      </c>
      <c r="M2252">
        <v>8.4</v>
      </c>
      <c r="P2252">
        <v>10.409844400000001</v>
      </c>
      <c r="Q2252">
        <v>586.16818020000005</v>
      </c>
      <c r="R2252">
        <v>4.0999999999999996</v>
      </c>
      <c r="S2252">
        <v>676578</v>
      </c>
      <c r="T2252">
        <v>21.916221</v>
      </c>
      <c r="U2252">
        <v>95.955973999999998</v>
      </c>
    </row>
    <row r="2253" spans="1:21">
      <c r="A2253" t="s">
        <v>129</v>
      </c>
      <c r="B2253">
        <v>2010</v>
      </c>
      <c r="C2253">
        <v>1386.8824</v>
      </c>
      <c r="D2253">
        <v>8130.0001140000004</v>
      </c>
      <c r="E2253">
        <v>2.1</v>
      </c>
      <c r="F2253">
        <v>0</v>
      </c>
      <c r="G2253">
        <v>5.24</v>
      </c>
      <c r="H2253">
        <v>71.38964</v>
      </c>
      <c r="I2253">
        <v>44.59</v>
      </c>
      <c r="J2253">
        <v>84.93</v>
      </c>
      <c r="K2253">
        <v>83</v>
      </c>
      <c r="L2253">
        <v>48.8</v>
      </c>
      <c r="M2253">
        <v>9.8000000000000007</v>
      </c>
      <c r="O2253">
        <v>90000</v>
      </c>
      <c r="P2253">
        <v>10.06928609</v>
      </c>
      <c r="Q2253">
        <v>746.94536000000005</v>
      </c>
      <c r="R2253">
        <v>3.67</v>
      </c>
      <c r="S2253">
        <v>676578</v>
      </c>
      <c r="T2253">
        <v>21.916221</v>
      </c>
      <c r="U2253">
        <v>95.955973999999998</v>
      </c>
    </row>
    <row r="2254" spans="1:21">
      <c r="A2254" t="s">
        <v>129</v>
      </c>
      <c r="B2254">
        <v>2011</v>
      </c>
      <c r="C2254">
        <v>1505.1958</v>
      </c>
      <c r="D2254">
        <v>8689.9995799999997</v>
      </c>
      <c r="E2254">
        <v>2.02</v>
      </c>
      <c r="F2254">
        <v>0</v>
      </c>
      <c r="G2254">
        <v>7.63</v>
      </c>
      <c r="H2254">
        <v>79.067359999999994</v>
      </c>
      <c r="I2254">
        <v>50.71</v>
      </c>
      <c r="J2254">
        <v>84.08</v>
      </c>
      <c r="K2254">
        <v>83</v>
      </c>
      <c r="L2254">
        <v>54.006428</v>
      </c>
      <c r="M2254">
        <v>11.5</v>
      </c>
      <c r="P2254">
        <v>7.5200572269999997</v>
      </c>
      <c r="Q2254">
        <v>1061.344429</v>
      </c>
      <c r="R2254">
        <v>3.53</v>
      </c>
      <c r="S2254">
        <v>676578</v>
      </c>
      <c r="T2254">
        <v>21.916221</v>
      </c>
      <c r="U2254">
        <v>95.955973999999998</v>
      </c>
    </row>
    <row r="2255" spans="1:21">
      <c r="A2255" t="s">
        <v>129</v>
      </c>
      <c r="B2255">
        <v>2012</v>
      </c>
      <c r="C2255">
        <v>1779.6029000000001</v>
      </c>
      <c r="D2255">
        <v>11960.000040000001</v>
      </c>
      <c r="E2255">
        <v>2.73</v>
      </c>
      <c r="F2255">
        <v>0</v>
      </c>
      <c r="G2255">
        <v>7.94</v>
      </c>
      <c r="H2255">
        <v>74.414246000000006</v>
      </c>
      <c r="I2255">
        <v>52.92</v>
      </c>
      <c r="J2255">
        <v>78.459999999999994</v>
      </c>
      <c r="K2255">
        <v>83</v>
      </c>
      <c r="L2255">
        <v>55.167934000000002</v>
      </c>
      <c r="M2255">
        <v>13.4</v>
      </c>
      <c r="O2255">
        <v>10000</v>
      </c>
      <c r="P2255">
        <v>6.4857540040000004</v>
      </c>
      <c r="Q2255">
        <v>1134.302224</v>
      </c>
      <c r="R2255">
        <v>3.59</v>
      </c>
      <c r="S2255">
        <v>676578</v>
      </c>
      <c r="T2255">
        <v>21.916221</v>
      </c>
      <c r="U2255">
        <v>95.955973999999998</v>
      </c>
    </row>
    <row r="2256" spans="1:21">
      <c r="A2256" t="s">
        <v>129</v>
      </c>
      <c r="B2256">
        <v>2013</v>
      </c>
      <c r="C2256">
        <v>2042.9813999999999</v>
      </c>
      <c r="D2256">
        <v>13600.000379999999</v>
      </c>
      <c r="E2256">
        <v>3.18</v>
      </c>
      <c r="F2256">
        <v>0</v>
      </c>
      <c r="G2256">
        <v>8.99</v>
      </c>
      <c r="H2256">
        <v>73.870170000000002</v>
      </c>
      <c r="I2256">
        <v>55.26</v>
      </c>
      <c r="J2256">
        <v>75.959999999999994</v>
      </c>
      <c r="K2256">
        <v>83</v>
      </c>
      <c r="L2256">
        <v>56.349274000000001</v>
      </c>
      <c r="M2256">
        <v>15.1</v>
      </c>
      <c r="O2256">
        <v>64080000</v>
      </c>
      <c r="P2256">
        <v>7.8986694780000004</v>
      </c>
      <c r="Q2256">
        <v>1168.1654000000001</v>
      </c>
      <c r="R2256">
        <v>3.48</v>
      </c>
      <c r="S2256">
        <v>676578</v>
      </c>
      <c r="T2256">
        <v>21.916221</v>
      </c>
      <c r="U2256">
        <v>95.955973999999998</v>
      </c>
    </row>
    <row r="2257" spans="1:21">
      <c r="A2257" t="s">
        <v>129</v>
      </c>
      <c r="B2257">
        <v>2014</v>
      </c>
      <c r="C2257">
        <v>2368.4949000000001</v>
      </c>
      <c r="D2257">
        <v>17040.000919999999</v>
      </c>
      <c r="E2257">
        <v>4.99</v>
      </c>
      <c r="F2257">
        <v>0</v>
      </c>
      <c r="G2257">
        <v>8.99</v>
      </c>
      <c r="H2257">
        <v>64.306150000000002</v>
      </c>
      <c r="I2257">
        <v>58.21</v>
      </c>
      <c r="J2257">
        <v>72.430000000000007</v>
      </c>
      <c r="K2257">
        <v>83</v>
      </c>
      <c r="L2257">
        <v>52</v>
      </c>
      <c r="M2257">
        <v>17.5</v>
      </c>
      <c r="O2257">
        <v>10630000</v>
      </c>
      <c r="P2257">
        <v>8.1996637499999991</v>
      </c>
      <c r="Q2257">
        <v>1210.097636</v>
      </c>
      <c r="R2257">
        <v>3.53</v>
      </c>
      <c r="S2257">
        <v>676578</v>
      </c>
      <c r="T2257">
        <v>21.916221</v>
      </c>
      <c r="U2257">
        <v>95.955973999999998</v>
      </c>
    </row>
    <row r="2258" spans="1:21">
      <c r="A2258" t="s">
        <v>129</v>
      </c>
      <c r="B2258">
        <v>2015</v>
      </c>
      <c r="C2258">
        <v>2192.5250000000001</v>
      </c>
      <c r="D2258">
        <v>19040.000919999999</v>
      </c>
      <c r="E2258">
        <v>6.12</v>
      </c>
      <c r="F2258">
        <v>0</v>
      </c>
      <c r="G2258">
        <v>9.6</v>
      </c>
      <c r="H2258">
        <v>61.068707000000003</v>
      </c>
      <c r="I2258">
        <v>62.02</v>
      </c>
      <c r="J2258">
        <v>70.430000000000007</v>
      </c>
      <c r="K2258">
        <v>83</v>
      </c>
      <c r="L2258">
        <v>60.5</v>
      </c>
      <c r="M2258">
        <v>19.600000000000001</v>
      </c>
      <c r="O2258">
        <v>57800000</v>
      </c>
      <c r="P2258">
        <v>3.2772794169999999</v>
      </c>
      <c r="Q2258">
        <v>1196.7433570000001</v>
      </c>
      <c r="R2258">
        <v>3.41</v>
      </c>
      <c r="S2258">
        <v>676578</v>
      </c>
      <c r="T2258">
        <v>21.916221</v>
      </c>
      <c r="U2258">
        <v>95.955973999999998</v>
      </c>
    </row>
    <row r="2259" spans="1:21">
      <c r="A2259" t="s">
        <v>129</v>
      </c>
      <c r="B2259">
        <v>2016</v>
      </c>
      <c r="C2259">
        <v>2501.5963999999999</v>
      </c>
      <c r="D2259">
        <v>21860.000609999999</v>
      </c>
      <c r="E2259">
        <v>7.53</v>
      </c>
      <c r="F2259">
        <v>0</v>
      </c>
      <c r="G2259">
        <v>10.02</v>
      </c>
      <c r="H2259">
        <v>57.094025000000002</v>
      </c>
      <c r="I2259">
        <v>63.07</v>
      </c>
      <c r="J2259">
        <v>69.25</v>
      </c>
      <c r="K2259">
        <v>83</v>
      </c>
      <c r="L2259">
        <v>55.6</v>
      </c>
      <c r="M2259">
        <v>21.8</v>
      </c>
      <c r="O2259">
        <v>3870000</v>
      </c>
      <c r="P2259">
        <v>10.507780779999999</v>
      </c>
      <c r="Q2259">
        <v>1136.6106649999999</v>
      </c>
      <c r="R2259">
        <v>3.45</v>
      </c>
      <c r="S2259">
        <v>676578</v>
      </c>
      <c r="T2259">
        <v>21.916221</v>
      </c>
      <c r="U2259">
        <v>95.955973999999998</v>
      </c>
    </row>
    <row r="2260" spans="1:21">
      <c r="A2260" t="s">
        <v>129</v>
      </c>
      <c r="B2260">
        <v>2017</v>
      </c>
      <c r="C2260">
        <v>3203.9011</v>
      </c>
      <c r="D2260">
        <v>32500</v>
      </c>
      <c r="E2260">
        <v>9.18</v>
      </c>
      <c r="F2260">
        <v>0</v>
      </c>
      <c r="G2260">
        <v>11.27</v>
      </c>
      <c r="H2260">
        <v>55.110022999999998</v>
      </c>
      <c r="I2260">
        <v>63.69</v>
      </c>
      <c r="J2260">
        <v>59.92</v>
      </c>
      <c r="K2260">
        <v>83</v>
      </c>
      <c r="L2260">
        <v>69.814835000000002</v>
      </c>
      <c r="M2260">
        <v>24</v>
      </c>
      <c r="O2260">
        <v>129660000</v>
      </c>
      <c r="P2260">
        <v>5.7500644999999997</v>
      </c>
      <c r="Q2260">
        <v>1151.114462</v>
      </c>
      <c r="R2260">
        <v>3.72</v>
      </c>
      <c r="S2260">
        <v>676578</v>
      </c>
      <c r="T2260">
        <v>21.916221</v>
      </c>
      <c r="U2260">
        <v>95.955973999999998</v>
      </c>
    </row>
    <row r="2261" spans="1:21">
      <c r="A2261" t="s">
        <v>129</v>
      </c>
      <c r="B2261">
        <v>2018</v>
      </c>
      <c r="C2261">
        <v>3270.8009999999999</v>
      </c>
      <c r="D2261">
        <v>32939.998630000002</v>
      </c>
      <c r="E2261">
        <v>9.7799999999999994</v>
      </c>
      <c r="F2261">
        <v>0</v>
      </c>
      <c r="G2261">
        <v>12.61</v>
      </c>
      <c r="H2261">
        <v>56.319786000000001</v>
      </c>
      <c r="I2261">
        <v>63.47</v>
      </c>
      <c r="J2261">
        <v>59.55</v>
      </c>
      <c r="K2261">
        <v>83</v>
      </c>
      <c r="L2261">
        <v>66.227279999999993</v>
      </c>
      <c r="M2261">
        <v>26.4</v>
      </c>
      <c r="O2261">
        <v>22170000</v>
      </c>
      <c r="P2261">
        <v>6.4049773249999999</v>
      </c>
      <c r="Q2261">
        <v>1250.173691</v>
      </c>
      <c r="R2261">
        <v>3.52</v>
      </c>
      <c r="S2261">
        <v>676578</v>
      </c>
      <c r="T2261">
        <v>21.916221</v>
      </c>
      <c r="U2261">
        <v>95.955973999999998</v>
      </c>
    </row>
    <row r="2262" spans="1:21">
      <c r="A2262" t="s">
        <v>129</v>
      </c>
      <c r="B2262">
        <v>2019</v>
      </c>
      <c r="C2262">
        <v>3197.22</v>
      </c>
      <c r="D2262">
        <v>36720.001219999998</v>
      </c>
      <c r="E2262">
        <v>12.78</v>
      </c>
      <c r="F2262">
        <v>0</v>
      </c>
      <c r="G2262">
        <v>10.95</v>
      </c>
      <c r="H2262">
        <v>46.144123</v>
      </c>
      <c r="I2262">
        <v>63.87</v>
      </c>
      <c r="J2262">
        <v>57.85</v>
      </c>
      <c r="K2262">
        <v>83</v>
      </c>
      <c r="L2262">
        <v>68.358530000000002</v>
      </c>
      <c r="M2262">
        <v>28.9</v>
      </c>
      <c r="O2262">
        <v>41330000</v>
      </c>
      <c r="P2262">
        <v>6.750460146</v>
      </c>
      <c r="Q2262">
        <v>1271.1115749999999</v>
      </c>
      <c r="R2262">
        <v>3.58</v>
      </c>
      <c r="S2262">
        <v>676578</v>
      </c>
      <c r="T2262">
        <v>21.916221</v>
      </c>
      <c r="U2262">
        <v>95.955973999999998</v>
      </c>
    </row>
    <row r="2263" spans="1:21">
      <c r="A2263" t="s">
        <v>129</v>
      </c>
      <c r="B2263">
        <v>2020</v>
      </c>
      <c r="C2263">
        <v>3183.1046999999999</v>
      </c>
      <c r="E2263">
        <v>12.25</v>
      </c>
      <c r="F2263">
        <v>0</v>
      </c>
      <c r="G2263">
        <v>11.31</v>
      </c>
      <c r="H2263">
        <v>48.005093000000002</v>
      </c>
      <c r="I2263">
        <v>63.36</v>
      </c>
      <c r="K2263">
        <v>83</v>
      </c>
      <c r="L2263">
        <v>70.397193999999999</v>
      </c>
      <c r="M2263">
        <v>31.25</v>
      </c>
      <c r="P2263">
        <v>3.1737744000000001</v>
      </c>
      <c r="Q2263">
        <v>1467.6042809999999</v>
      </c>
      <c r="S2263">
        <v>676578</v>
      </c>
      <c r="T2263">
        <v>21.916221</v>
      </c>
      <c r="U2263">
        <v>95.955973999999998</v>
      </c>
    </row>
    <row r="2264" spans="1:21">
      <c r="A2264" t="s">
        <v>130</v>
      </c>
      <c r="B2264">
        <v>2000</v>
      </c>
      <c r="C2264">
        <v>6971.6620000000003</v>
      </c>
      <c r="D2264">
        <v>1940</v>
      </c>
      <c r="E2264">
        <v>0.04</v>
      </c>
      <c r="F2264">
        <v>0</v>
      </c>
      <c r="G2264">
        <v>1.37</v>
      </c>
      <c r="H2264">
        <v>97.163123999999996</v>
      </c>
      <c r="I2264">
        <v>134.28</v>
      </c>
      <c r="J2264">
        <v>34.729999999999997</v>
      </c>
      <c r="K2264">
        <v>3</v>
      </c>
      <c r="L2264">
        <v>36.5</v>
      </c>
      <c r="M2264">
        <v>33.700000000000003</v>
      </c>
      <c r="O2264">
        <v>110000</v>
      </c>
      <c r="P2264">
        <v>3.4921833640000002</v>
      </c>
      <c r="Q2264">
        <v>2185.6041150000001</v>
      </c>
      <c r="R2264">
        <v>3.58</v>
      </c>
      <c r="S2264">
        <v>824292</v>
      </c>
      <c r="T2264">
        <v>-22.957640000000001</v>
      </c>
      <c r="U2264">
        <v>18.490410000000001</v>
      </c>
    </row>
    <row r="2265" spans="1:21">
      <c r="A2265" t="s">
        <v>130</v>
      </c>
      <c r="B2265">
        <v>2001</v>
      </c>
      <c r="C2265">
        <v>7906.8760000000002</v>
      </c>
      <c r="D2265">
        <v>2460</v>
      </c>
      <c r="E2265">
        <v>0</v>
      </c>
      <c r="F2265">
        <v>0</v>
      </c>
      <c r="G2265">
        <v>1.36</v>
      </c>
      <c r="H2265">
        <v>100</v>
      </c>
      <c r="I2265">
        <v>132.22999999999999</v>
      </c>
      <c r="J2265">
        <v>30.32</v>
      </c>
      <c r="K2265">
        <v>3</v>
      </c>
      <c r="L2265">
        <v>35.966859999999997</v>
      </c>
      <c r="M2265">
        <v>34</v>
      </c>
      <c r="O2265">
        <v>220000</v>
      </c>
      <c r="P2265">
        <v>1.177948695</v>
      </c>
      <c r="Q2265">
        <v>1950.6485359999999</v>
      </c>
      <c r="R2265">
        <v>4.17</v>
      </c>
      <c r="S2265">
        <v>824292</v>
      </c>
      <c r="T2265">
        <v>-22.957640000000001</v>
      </c>
      <c r="U2265">
        <v>18.490410000000001</v>
      </c>
    </row>
    <row r="2266" spans="1:21">
      <c r="A2266" t="s">
        <v>130</v>
      </c>
      <c r="B2266">
        <v>2002</v>
      </c>
      <c r="C2266">
        <v>7473.2489999999998</v>
      </c>
      <c r="D2266">
        <v>2130.0001139999999</v>
      </c>
      <c r="E2266">
        <v>0</v>
      </c>
      <c r="F2266">
        <v>0</v>
      </c>
      <c r="G2266">
        <v>1.45</v>
      </c>
      <c r="H2266">
        <v>100</v>
      </c>
      <c r="I2266">
        <v>130.43</v>
      </c>
      <c r="J2266">
        <v>33.74</v>
      </c>
      <c r="K2266">
        <v>3</v>
      </c>
      <c r="L2266">
        <v>36.925476000000003</v>
      </c>
      <c r="M2266">
        <v>35</v>
      </c>
      <c r="O2266">
        <v>30000</v>
      </c>
      <c r="P2266">
        <v>4.7886612189999997</v>
      </c>
      <c r="Q2266">
        <v>1808.8848989999999</v>
      </c>
      <c r="R2266">
        <v>3.67</v>
      </c>
      <c r="S2266">
        <v>824292</v>
      </c>
      <c r="T2266">
        <v>-22.957640000000001</v>
      </c>
      <c r="U2266">
        <v>18.490410000000001</v>
      </c>
    </row>
    <row r="2267" spans="1:21">
      <c r="A2267" t="s">
        <v>130</v>
      </c>
      <c r="B2267">
        <v>2003</v>
      </c>
      <c r="C2267">
        <v>7768.2592999999997</v>
      </c>
      <c r="D2267">
        <v>2269.9999809999999</v>
      </c>
      <c r="E2267">
        <v>0.01</v>
      </c>
      <c r="F2267">
        <v>0</v>
      </c>
      <c r="G2267">
        <v>1.5</v>
      </c>
      <c r="H2267">
        <v>99.337745999999996</v>
      </c>
      <c r="I2267">
        <v>128.55000000000001</v>
      </c>
      <c r="J2267">
        <v>33.299999999999997</v>
      </c>
      <c r="K2267">
        <v>3</v>
      </c>
      <c r="L2267">
        <v>37.878852999999999</v>
      </c>
      <c r="M2267">
        <v>35.9</v>
      </c>
      <c r="O2267">
        <v>30000</v>
      </c>
      <c r="P2267">
        <v>4.2397942960000004</v>
      </c>
      <c r="Q2267">
        <v>2621.7003949999998</v>
      </c>
      <c r="R2267">
        <v>3.67</v>
      </c>
      <c r="S2267">
        <v>824292</v>
      </c>
      <c r="T2267">
        <v>-22.957640000000001</v>
      </c>
      <c r="U2267">
        <v>18.490410000000001</v>
      </c>
    </row>
    <row r="2268" spans="1:21">
      <c r="A2268" t="s">
        <v>130</v>
      </c>
      <c r="B2268">
        <v>2004</v>
      </c>
      <c r="C2268">
        <v>7998.0424999999996</v>
      </c>
      <c r="D2268">
        <v>2380.0001139999999</v>
      </c>
      <c r="E2268">
        <v>0</v>
      </c>
      <c r="F2268">
        <v>0</v>
      </c>
      <c r="G2268">
        <v>1.59</v>
      </c>
      <c r="H2268">
        <v>100</v>
      </c>
      <c r="I2268">
        <v>126.63</v>
      </c>
      <c r="J2268">
        <v>34.75</v>
      </c>
      <c r="K2268">
        <v>3</v>
      </c>
      <c r="L2268">
        <v>38.829340000000002</v>
      </c>
      <c r="M2268">
        <v>36.4</v>
      </c>
      <c r="O2268">
        <v>100000</v>
      </c>
      <c r="P2268">
        <v>12.2695481</v>
      </c>
      <c r="Q2268">
        <v>3464.4182259999998</v>
      </c>
      <c r="R2268">
        <v>3.53</v>
      </c>
      <c r="S2268">
        <v>824292</v>
      </c>
      <c r="T2268">
        <v>-22.957640000000001</v>
      </c>
      <c r="U2268">
        <v>18.490410000000001</v>
      </c>
    </row>
    <row r="2269" spans="1:21">
      <c r="A2269" t="s">
        <v>130</v>
      </c>
      <c r="B2269">
        <v>2005</v>
      </c>
      <c r="C2269">
        <v>8329.6640000000007</v>
      </c>
      <c r="D2269">
        <v>2529.9999710000002</v>
      </c>
      <c r="E2269">
        <v>0.04</v>
      </c>
      <c r="F2269">
        <v>0</v>
      </c>
      <c r="G2269">
        <v>1.64</v>
      </c>
      <c r="H2269">
        <v>97.619050000000001</v>
      </c>
      <c r="I2269">
        <v>124.75</v>
      </c>
      <c r="J2269">
        <v>34.54</v>
      </c>
      <c r="K2269">
        <v>3</v>
      </c>
      <c r="L2269">
        <v>39.779297</v>
      </c>
      <c r="M2269">
        <v>37.299999999999997</v>
      </c>
      <c r="O2269">
        <v>400000</v>
      </c>
      <c r="P2269">
        <v>2.5292626579999999</v>
      </c>
      <c r="Q2269">
        <v>3739.5317169999998</v>
      </c>
      <c r="R2269">
        <v>3.71</v>
      </c>
      <c r="S2269">
        <v>824292</v>
      </c>
      <c r="T2269">
        <v>-22.957640000000001</v>
      </c>
      <c r="U2269">
        <v>18.490410000000001</v>
      </c>
    </row>
    <row r="2270" spans="1:21">
      <c r="A2270" t="s">
        <v>130</v>
      </c>
      <c r="B2270">
        <v>2006</v>
      </c>
      <c r="C2270">
        <v>8203.5380000000005</v>
      </c>
      <c r="D2270">
        <v>2529.9999710000002</v>
      </c>
      <c r="E2270">
        <v>0.09</v>
      </c>
      <c r="F2270">
        <v>0</v>
      </c>
      <c r="G2270">
        <v>1.59</v>
      </c>
      <c r="H2270">
        <v>94.642859999999999</v>
      </c>
      <c r="I2270">
        <v>122.81</v>
      </c>
      <c r="J2270">
        <v>35.32</v>
      </c>
      <c r="K2270">
        <v>3</v>
      </c>
      <c r="L2270">
        <v>40.731124999999999</v>
      </c>
      <c r="M2270">
        <v>37.9</v>
      </c>
      <c r="O2270">
        <v>220000</v>
      </c>
      <c r="P2270">
        <v>7.0731753179999997</v>
      </c>
      <c r="Q2270">
        <v>4059.1013480000001</v>
      </c>
      <c r="R2270">
        <v>3.47</v>
      </c>
      <c r="S2270">
        <v>824292</v>
      </c>
      <c r="T2270">
        <v>-22.957640000000001</v>
      </c>
      <c r="U2270">
        <v>18.490410000000001</v>
      </c>
    </row>
    <row r="2271" spans="1:21">
      <c r="A2271" t="s">
        <v>130</v>
      </c>
      <c r="B2271">
        <v>2007</v>
      </c>
      <c r="C2271">
        <v>8337.0660000000007</v>
      </c>
      <c r="D2271">
        <v>2619.9998860000001</v>
      </c>
      <c r="E2271">
        <v>0.04</v>
      </c>
      <c r="F2271">
        <v>0</v>
      </c>
      <c r="G2271">
        <v>1.56</v>
      </c>
      <c r="H2271">
        <v>97.5</v>
      </c>
      <c r="I2271">
        <v>120.94</v>
      </c>
      <c r="J2271">
        <v>35.840000000000003</v>
      </c>
      <c r="K2271">
        <v>3</v>
      </c>
      <c r="L2271">
        <v>43.7</v>
      </c>
      <c r="M2271">
        <v>38.6</v>
      </c>
      <c r="O2271">
        <v>10000</v>
      </c>
      <c r="P2271">
        <v>5.3740441519999997</v>
      </c>
      <c r="Q2271">
        <v>4405.4103990000003</v>
      </c>
      <c r="R2271">
        <v>3.41</v>
      </c>
      <c r="S2271">
        <v>824292</v>
      </c>
      <c r="T2271">
        <v>-22.957640000000001</v>
      </c>
      <c r="U2271">
        <v>18.490410000000001</v>
      </c>
    </row>
    <row r="2272" spans="1:21">
      <c r="A2272" t="s">
        <v>130</v>
      </c>
      <c r="B2272">
        <v>2008</v>
      </c>
      <c r="C2272">
        <v>8670.3955000000005</v>
      </c>
      <c r="D2272">
        <v>2950.0000479999999</v>
      </c>
      <c r="E2272">
        <v>0.17</v>
      </c>
      <c r="F2272">
        <v>0</v>
      </c>
      <c r="G2272">
        <v>1.48</v>
      </c>
      <c r="H2272">
        <v>89.696969999999993</v>
      </c>
      <c r="I2272">
        <v>119.02</v>
      </c>
      <c r="J2272">
        <v>32.33</v>
      </c>
      <c r="K2272">
        <v>3</v>
      </c>
      <c r="L2272">
        <v>42.651049999999998</v>
      </c>
      <c r="M2272">
        <v>39.5</v>
      </c>
      <c r="O2272">
        <v>46600000</v>
      </c>
      <c r="P2272">
        <v>2.6498120379999999</v>
      </c>
      <c r="Q2272">
        <v>4212.3671969999996</v>
      </c>
      <c r="R2272">
        <v>3.63</v>
      </c>
      <c r="S2272">
        <v>824292</v>
      </c>
      <c r="T2272">
        <v>-22.957640000000001</v>
      </c>
      <c r="U2272">
        <v>18.490410000000001</v>
      </c>
    </row>
    <row r="2273" spans="1:21">
      <c r="A2273" t="s">
        <v>130</v>
      </c>
      <c r="B2273">
        <v>2009</v>
      </c>
      <c r="C2273">
        <v>8711.8950000000004</v>
      </c>
      <c r="D2273">
        <v>3019.9999809999999</v>
      </c>
      <c r="E2273">
        <v>0.08</v>
      </c>
      <c r="F2273">
        <v>0</v>
      </c>
      <c r="G2273">
        <v>1.39</v>
      </c>
      <c r="H2273">
        <v>94.557820000000007</v>
      </c>
      <c r="I2273">
        <v>117.18</v>
      </c>
      <c r="J2273">
        <v>33.21</v>
      </c>
      <c r="K2273">
        <v>3</v>
      </c>
      <c r="L2273">
        <v>44.1</v>
      </c>
      <c r="M2273">
        <v>40.1</v>
      </c>
      <c r="P2273">
        <v>0.29597091399999997</v>
      </c>
      <c r="Q2273">
        <v>4295.3871429999999</v>
      </c>
      <c r="R2273">
        <v>3.74</v>
      </c>
      <c r="S2273">
        <v>824292</v>
      </c>
      <c r="T2273">
        <v>-22.957640000000001</v>
      </c>
      <c r="U2273">
        <v>18.490410000000001</v>
      </c>
    </row>
    <row r="2274" spans="1:21">
      <c r="A2274" t="s">
        <v>130</v>
      </c>
      <c r="B2274">
        <v>2010</v>
      </c>
      <c r="C2274">
        <v>8834.8050000000003</v>
      </c>
      <c r="D2274">
        <v>3130.0001139999999</v>
      </c>
      <c r="E2274">
        <v>0.05</v>
      </c>
      <c r="F2274">
        <v>0</v>
      </c>
      <c r="G2274">
        <v>1.25</v>
      </c>
      <c r="H2274">
        <v>96.153850000000006</v>
      </c>
      <c r="I2274">
        <v>115.48</v>
      </c>
      <c r="J2274">
        <v>31.03</v>
      </c>
      <c r="K2274">
        <v>3</v>
      </c>
      <c r="L2274">
        <v>44.610737</v>
      </c>
      <c r="M2274">
        <v>40.9</v>
      </c>
      <c r="O2274">
        <v>47200000</v>
      </c>
      <c r="P2274">
        <v>6.0392494799999996</v>
      </c>
      <c r="Q2274">
        <v>5394.9967120000001</v>
      </c>
      <c r="R2274">
        <v>3.58</v>
      </c>
      <c r="S2274">
        <v>824292</v>
      </c>
      <c r="T2274">
        <v>-22.957640000000001</v>
      </c>
      <c r="U2274">
        <v>18.490410000000001</v>
      </c>
    </row>
    <row r="2275" spans="1:21">
      <c r="A2275" t="s">
        <v>130</v>
      </c>
      <c r="B2275">
        <v>2011</v>
      </c>
      <c r="C2275">
        <v>9036.2839999999997</v>
      </c>
      <c r="D2275">
        <v>3329.9999240000002</v>
      </c>
      <c r="E2275">
        <v>0.03</v>
      </c>
      <c r="F2275">
        <v>0</v>
      </c>
      <c r="G2275">
        <v>1.4</v>
      </c>
      <c r="H2275">
        <v>97.902100000000004</v>
      </c>
      <c r="I2275">
        <v>114.91</v>
      </c>
      <c r="J2275">
        <v>31.46</v>
      </c>
      <c r="K2275">
        <v>3</v>
      </c>
      <c r="L2275">
        <v>42.3</v>
      </c>
      <c r="M2275">
        <v>41.5</v>
      </c>
      <c r="O2275">
        <v>50000</v>
      </c>
      <c r="P2275">
        <v>5.0913381390000003</v>
      </c>
      <c r="Q2275">
        <v>5806.7482460000001</v>
      </c>
      <c r="R2275">
        <v>3.48</v>
      </c>
      <c r="S2275">
        <v>824292</v>
      </c>
      <c r="T2275">
        <v>-22.957640000000001</v>
      </c>
      <c r="U2275">
        <v>18.490410000000001</v>
      </c>
    </row>
    <row r="2276" spans="1:21">
      <c r="A2276" t="s">
        <v>130</v>
      </c>
      <c r="B2276">
        <v>2012</v>
      </c>
      <c r="C2276">
        <v>9158.6129999999994</v>
      </c>
      <c r="D2276">
        <v>3529.9999710000002</v>
      </c>
      <c r="E2276">
        <v>0.03</v>
      </c>
      <c r="F2276">
        <v>0</v>
      </c>
      <c r="G2276">
        <v>1.6</v>
      </c>
      <c r="H2276">
        <v>98.159509999999997</v>
      </c>
      <c r="I2276">
        <v>155.62</v>
      </c>
      <c r="J2276">
        <v>31.74</v>
      </c>
      <c r="K2276">
        <v>3</v>
      </c>
      <c r="L2276">
        <v>46.631860000000003</v>
      </c>
      <c r="M2276">
        <v>42.2</v>
      </c>
      <c r="O2276">
        <v>530000</v>
      </c>
      <c r="P2276">
        <v>5.0616820699999998</v>
      </c>
      <c r="Q2276">
        <v>5942.2927399999999</v>
      </c>
      <c r="R2276">
        <v>3.43</v>
      </c>
      <c r="S2276">
        <v>824292</v>
      </c>
      <c r="T2276">
        <v>-22.957640000000001</v>
      </c>
      <c r="U2276">
        <v>18.490410000000001</v>
      </c>
    </row>
    <row r="2277" spans="1:21">
      <c r="A2277" t="s">
        <v>130</v>
      </c>
      <c r="B2277">
        <v>2013</v>
      </c>
      <c r="C2277">
        <v>9313.8760000000002</v>
      </c>
      <c r="D2277">
        <v>3789.9999619999999</v>
      </c>
      <c r="E2277">
        <v>0.06</v>
      </c>
      <c r="F2277">
        <v>0</v>
      </c>
      <c r="G2277">
        <v>1.28</v>
      </c>
      <c r="H2277">
        <v>95.522385</v>
      </c>
      <c r="I2277">
        <v>154.49</v>
      </c>
      <c r="J2277">
        <v>30.55</v>
      </c>
      <c r="K2277">
        <v>3</v>
      </c>
      <c r="L2277">
        <v>47.4</v>
      </c>
      <c r="M2277">
        <v>43</v>
      </c>
      <c r="P2277">
        <v>5.614719623</v>
      </c>
      <c r="Q2277">
        <v>5392.0949380000002</v>
      </c>
      <c r="R2277">
        <v>3.4</v>
      </c>
      <c r="S2277">
        <v>824292</v>
      </c>
      <c r="T2277">
        <v>-22.957640000000001</v>
      </c>
      <c r="U2277">
        <v>18.490410000000001</v>
      </c>
    </row>
    <row r="2278" spans="1:21">
      <c r="A2278" t="s">
        <v>130</v>
      </c>
      <c r="B2278">
        <v>2014</v>
      </c>
      <c r="C2278">
        <v>9735.8179999999993</v>
      </c>
      <c r="D2278">
        <v>3950.0000479999999</v>
      </c>
      <c r="E2278">
        <v>0.02</v>
      </c>
      <c r="F2278">
        <v>0</v>
      </c>
      <c r="G2278">
        <v>1.5</v>
      </c>
      <c r="H2278">
        <v>98.684209999999993</v>
      </c>
      <c r="I2278">
        <v>152.6</v>
      </c>
      <c r="J2278">
        <v>30.09</v>
      </c>
      <c r="K2278">
        <v>3</v>
      </c>
      <c r="L2278">
        <v>48.728515999999999</v>
      </c>
      <c r="M2278">
        <v>43.6</v>
      </c>
      <c r="O2278">
        <v>70000</v>
      </c>
      <c r="P2278">
        <v>6.0925191600000002</v>
      </c>
      <c r="Q2278">
        <v>5469.9013999999997</v>
      </c>
      <c r="R2278">
        <v>3.32</v>
      </c>
      <c r="S2278">
        <v>824292</v>
      </c>
      <c r="T2278">
        <v>-22.957640000000001</v>
      </c>
      <c r="U2278">
        <v>18.490410000000001</v>
      </c>
    </row>
    <row r="2279" spans="1:21">
      <c r="A2279" t="s">
        <v>130</v>
      </c>
      <c r="B2279">
        <v>2015</v>
      </c>
      <c r="C2279">
        <v>10013.897000000001</v>
      </c>
      <c r="D2279">
        <v>4199.9998089999999</v>
      </c>
      <c r="E2279">
        <v>0.03</v>
      </c>
      <c r="F2279">
        <v>0</v>
      </c>
      <c r="G2279">
        <v>1.53</v>
      </c>
      <c r="H2279">
        <v>98.076930000000004</v>
      </c>
      <c r="I2279">
        <v>151.82</v>
      </c>
      <c r="J2279">
        <v>28.99</v>
      </c>
      <c r="K2279">
        <v>3</v>
      </c>
      <c r="L2279">
        <v>51.6</v>
      </c>
      <c r="M2279">
        <v>44.3</v>
      </c>
      <c r="P2279">
        <v>4.2641745379999998</v>
      </c>
      <c r="Q2279">
        <v>4896.6152599999996</v>
      </c>
      <c r="R2279">
        <v>3.32</v>
      </c>
      <c r="S2279">
        <v>824292</v>
      </c>
      <c r="T2279">
        <v>-22.957640000000001</v>
      </c>
      <c r="U2279">
        <v>18.490410000000001</v>
      </c>
    </row>
    <row r="2280" spans="1:21">
      <c r="A2280" t="s">
        <v>130</v>
      </c>
      <c r="B2280">
        <v>2016</v>
      </c>
      <c r="C2280">
        <v>9860.7430000000004</v>
      </c>
      <c r="D2280">
        <v>4130.0001140000004</v>
      </c>
      <c r="E2280">
        <v>0.06</v>
      </c>
      <c r="F2280">
        <v>0</v>
      </c>
      <c r="G2280">
        <v>1.41</v>
      </c>
      <c r="H2280">
        <v>95.918364999999994</v>
      </c>
      <c r="I2280">
        <v>162.61000000000001</v>
      </c>
      <c r="J2280">
        <v>29.33</v>
      </c>
      <c r="K2280">
        <v>3</v>
      </c>
      <c r="L2280">
        <v>49.7</v>
      </c>
      <c r="M2280">
        <v>45.2</v>
      </c>
      <c r="O2280">
        <v>11630000</v>
      </c>
      <c r="P2280">
        <v>3.3794449999999997E-2</v>
      </c>
      <c r="Q2280">
        <v>4546.986688</v>
      </c>
      <c r="R2280">
        <v>3.36</v>
      </c>
      <c r="S2280">
        <v>824292</v>
      </c>
      <c r="T2280">
        <v>-22.957640000000001</v>
      </c>
      <c r="U2280">
        <v>18.490410000000001</v>
      </c>
    </row>
    <row r="2281" spans="1:21">
      <c r="A2281" t="s">
        <v>130</v>
      </c>
      <c r="B2281">
        <v>2017</v>
      </c>
      <c r="C2281">
        <v>9969.9670000000006</v>
      </c>
      <c r="D2281">
        <v>4269.9999809999999</v>
      </c>
      <c r="E2281">
        <v>0.06</v>
      </c>
      <c r="F2281">
        <v>0</v>
      </c>
      <c r="G2281">
        <v>1.68</v>
      </c>
      <c r="H2281">
        <v>96.551730000000006</v>
      </c>
      <c r="I2281">
        <v>177.82</v>
      </c>
      <c r="J2281">
        <v>29.94</v>
      </c>
      <c r="K2281">
        <v>3</v>
      </c>
      <c r="L2281">
        <v>52.5</v>
      </c>
      <c r="M2281">
        <v>45.6</v>
      </c>
      <c r="O2281">
        <v>37150000</v>
      </c>
      <c r="P2281">
        <v>-1.027250827</v>
      </c>
      <c r="Q2281">
        <v>5367.1146740000004</v>
      </c>
      <c r="R2281">
        <v>3.44</v>
      </c>
      <c r="S2281">
        <v>824292</v>
      </c>
      <c r="T2281">
        <v>-22.957640000000001</v>
      </c>
      <c r="U2281">
        <v>18.490410000000001</v>
      </c>
    </row>
    <row r="2282" spans="1:21">
      <c r="A2282" t="s">
        <v>130</v>
      </c>
      <c r="B2282">
        <v>2018</v>
      </c>
      <c r="C2282">
        <v>9675.6550000000007</v>
      </c>
      <c r="D2282">
        <v>4230.0000190000001</v>
      </c>
      <c r="E2282">
        <v>0.02</v>
      </c>
      <c r="F2282">
        <v>0</v>
      </c>
      <c r="G2282">
        <v>1.39</v>
      </c>
      <c r="H2282">
        <v>98.581565999999995</v>
      </c>
      <c r="I2282">
        <v>181.76</v>
      </c>
      <c r="J2282">
        <v>30.66</v>
      </c>
      <c r="K2282">
        <v>3</v>
      </c>
      <c r="L2282">
        <v>54.002895000000002</v>
      </c>
      <c r="M2282">
        <v>46</v>
      </c>
      <c r="O2282">
        <v>3050000</v>
      </c>
      <c r="P2282">
        <v>1.059943471</v>
      </c>
      <c r="Q2282">
        <v>5588.3928640000004</v>
      </c>
      <c r="R2282">
        <v>3.44</v>
      </c>
      <c r="S2282">
        <v>824292</v>
      </c>
      <c r="T2282">
        <v>-22.957640000000001</v>
      </c>
      <c r="U2282">
        <v>18.490410000000001</v>
      </c>
    </row>
    <row r="2283" spans="1:21">
      <c r="A2283" t="s">
        <v>130</v>
      </c>
      <c r="B2283">
        <v>2019</v>
      </c>
      <c r="C2283">
        <v>9254.4429999999993</v>
      </c>
      <c r="D2283">
        <v>4219.9997899999998</v>
      </c>
      <c r="E2283">
        <v>0.04</v>
      </c>
      <c r="F2283">
        <v>0</v>
      </c>
      <c r="G2283">
        <v>1.32</v>
      </c>
      <c r="H2283">
        <v>97.058819999999997</v>
      </c>
      <c r="I2283">
        <v>199.41</v>
      </c>
      <c r="J2283">
        <v>30.69</v>
      </c>
      <c r="K2283">
        <v>3</v>
      </c>
      <c r="L2283">
        <v>55.17709</v>
      </c>
      <c r="M2283">
        <v>46.5</v>
      </c>
      <c r="O2283">
        <v>20000</v>
      </c>
      <c r="P2283">
        <v>-0.88809916</v>
      </c>
      <c r="Q2283">
        <v>5009.6859039999999</v>
      </c>
      <c r="R2283">
        <v>3.52</v>
      </c>
      <c r="S2283">
        <v>824292</v>
      </c>
      <c r="T2283">
        <v>-22.957640000000001</v>
      </c>
      <c r="U2283">
        <v>18.490410000000001</v>
      </c>
    </row>
    <row r="2284" spans="1:21">
      <c r="A2284" t="s">
        <v>130</v>
      </c>
      <c r="B2284">
        <v>2020</v>
      </c>
      <c r="C2284">
        <v>8960.3520000000008</v>
      </c>
      <c r="E2284">
        <v>0.06</v>
      </c>
      <c r="F2284">
        <v>0</v>
      </c>
      <c r="G2284">
        <v>1.89</v>
      </c>
      <c r="H2284">
        <v>96.923069999999996</v>
      </c>
      <c r="I2284">
        <v>197.35</v>
      </c>
      <c r="K2284">
        <v>3</v>
      </c>
      <c r="L2284">
        <v>56.258693999999998</v>
      </c>
      <c r="M2284">
        <v>46.8</v>
      </c>
      <c r="P2284">
        <v>-8.500149038</v>
      </c>
      <c r="Q2284">
        <v>4179.2780659999999</v>
      </c>
      <c r="S2284">
        <v>824292</v>
      </c>
      <c r="T2284">
        <v>-22.957640000000001</v>
      </c>
      <c r="U2284">
        <v>18.490410000000001</v>
      </c>
    </row>
    <row r="2285" spans="1:21">
      <c r="A2285" t="s">
        <v>131</v>
      </c>
      <c r="B2285">
        <v>2000</v>
      </c>
      <c r="C2285">
        <v>44017.279999999999</v>
      </c>
      <c r="D2285">
        <v>90</v>
      </c>
      <c r="E2285">
        <v>0.03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541</v>
      </c>
      <c r="L2285">
        <v>99.437089999999998</v>
      </c>
      <c r="M2285">
        <v>100</v>
      </c>
      <c r="R2285">
        <v>17.39</v>
      </c>
      <c r="S2285">
        <v>21</v>
      </c>
      <c r="T2285">
        <v>-0.52277799999999996</v>
      </c>
      <c r="U2285">
        <v>166.93150299999999</v>
      </c>
    </row>
    <row r="2286" spans="1:21">
      <c r="A2286" t="s">
        <v>131</v>
      </c>
      <c r="B2286">
        <v>2001</v>
      </c>
      <c r="C2286">
        <v>39953.254000000001</v>
      </c>
      <c r="D2286">
        <v>80</v>
      </c>
      <c r="E2286">
        <v>0.03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541</v>
      </c>
      <c r="L2286">
        <v>99.415633999999997</v>
      </c>
      <c r="M2286">
        <v>100</v>
      </c>
      <c r="R2286">
        <v>17.100000000000001</v>
      </c>
      <c r="S2286">
        <v>21</v>
      </c>
      <c r="T2286">
        <v>-0.52277799999999996</v>
      </c>
      <c r="U2286">
        <v>166.93150299999999</v>
      </c>
    </row>
    <row r="2287" spans="1:21">
      <c r="A2287" t="s">
        <v>131</v>
      </c>
      <c r="B2287">
        <v>2002</v>
      </c>
      <c r="C2287">
        <v>37538.883000000002</v>
      </c>
      <c r="D2287">
        <v>79.999998210000001</v>
      </c>
      <c r="E2287">
        <v>0.03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541</v>
      </c>
      <c r="L2287">
        <v>99.386589999999998</v>
      </c>
      <c r="M2287">
        <v>100</v>
      </c>
      <c r="R2287">
        <v>18.239999999999998</v>
      </c>
      <c r="S2287">
        <v>21</v>
      </c>
      <c r="T2287">
        <v>-0.52277799999999996</v>
      </c>
      <c r="U2287">
        <v>166.93150299999999</v>
      </c>
    </row>
    <row r="2288" spans="1:21">
      <c r="A2288" t="s">
        <v>131</v>
      </c>
      <c r="B2288">
        <v>2003</v>
      </c>
      <c r="C2288">
        <v>33686.04</v>
      </c>
      <c r="D2288">
        <v>70.000000299999996</v>
      </c>
      <c r="E2288">
        <v>0.03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541</v>
      </c>
      <c r="L2288">
        <v>99.352320000000006</v>
      </c>
      <c r="M2288">
        <v>100</v>
      </c>
      <c r="R2288">
        <v>16.11</v>
      </c>
      <c r="S2288">
        <v>21</v>
      </c>
      <c r="T2288">
        <v>-0.52277799999999996</v>
      </c>
      <c r="U2288">
        <v>166.93150299999999</v>
      </c>
    </row>
    <row r="2289" spans="1:21">
      <c r="A2289" t="s">
        <v>131</v>
      </c>
      <c r="B2289">
        <v>2004</v>
      </c>
      <c r="C2289">
        <v>31641.86</v>
      </c>
      <c r="D2289">
        <v>70.000000299999996</v>
      </c>
      <c r="E2289">
        <v>0.03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541</v>
      </c>
      <c r="L2289">
        <v>99.315155000000004</v>
      </c>
      <c r="M2289">
        <v>100</v>
      </c>
      <c r="R2289">
        <v>15.7</v>
      </c>
      <c r="S2289">
        <v>21</v>
      </c>
      <c r="T2289">
        <v>-0.52277799999999996</v>
      </c>
      <c r="U2289">
        <v>166.93150299999999</v>
      </c>
    </row>
    <row r="2290" spans="1:21">
      <c r="A2290" t="s">
        <v>131</v>
      </c>
      <c r="B2290">
        <v>2005</v>
      </c>
      <c r="C2290">
        <v>31064.384999999998</v>
      </c>
      <c r="D2290">
        <v>70.000000299999996</v>
      </c>
      <c r="E2290">
        <v>0.03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541</v>
      </c>
      <c r="L2290">
        <v>99.277450000000002</v>
      </c>
      <c r="M2290">
        <v>100</v>
      </c>
      <c r="O2290">
        <v>2070000</v>
      </c>
      <c r="P2290">
        <v>-3.0303030299999998</v>
      </c>
      <c r="R2290">
        <v>15.32</v>
      </c>
      <c r="S2290">
        <v>21</v>
      </c>
      <c r="T2290">
        <v>-0.52277799999999996</v>
      </c>
      <c r="U2290">
        <v>166.93150299999999</v>
      </c>
    </row>
    <row r="2291" spans="1:21">
      <c r="A2291" t="s">
        <v>131</v>
      </c>
      <c r="B2291">
        <v>2006</v>
      </c>
      <c r="C2291">
        <v>22659.775000000001</v>
      </c>
      <c r="D2291">
        <v>50.000000749999998</v>
      </c>
      <c r="E2291">
        <v>0.03</v>
      </c>
      <c r="F2291">
        <v>0</v>
      </c>
      <c r="G2291">
        <v>0</v>
      </c>
      <c r="H2291">
        <v>0</v>
      </c>
      <c r="I2291">
        <v>4.07</v>
      </c>
      <c r="J2291">
        <v>7.0000000000000007E-2</v>
      </c>
      <c r="K2291">
        <v>541</v>
      </c>
      <c r="L2291">
        <v>99.241630000000001</v>
      </c>
      <c r="M2291">
        <v>100</v>
      </c>
      <c r="P2291">
        <v>9.375</v>
      </c>
      <c r="R2291">
        <v>10.220000000000001</v>
      </c>
      <c r="S2291">
        <v>21</v>
      </c>
      <c r="T2291">
        <v>-0.52277799999999996</v>
      </c>
      <c r="U2291">
        <v>166.93150299999999</v>
      </c>
    </row>
    <row r="2292" spans="1:21">
      <c r="A2292" t="s">
        <v>131</v>
      </c>
      <c r="B2292">
        <v>2007</v>
      </c>
      <c r="C2292">
        <v>22131.348000000002</v>
      </c>
      <c r="D2292">
        <v>39.999999109999997</v>
      </c>
      <c r="E2292">
        <v>0.02</v>
      </c>
      <c r="F2292">
        <v>0</v>
      </c>
      <c r="G2292">
        <v>0</v>
      </c>
      <c r="H2292">
        <v>0</v>
      </c>
      <c r="I2292">
        <v>4.0599999999999996</v>
      </c>
      <c r="J2292">
        <v>0.08</v>
      </c>
      <c r="K2292">
        <v>541</v>
      </c>
      <c r="L2292">
        <v>99.8</v>
      </c>
      <c r="M2292">
        <v>100</v>
      </c>
      <c r="O2292">
        <v>350000</v>
      </c>
      <c r="P2292">
        <v>-22.85714286</v>
      </c>
      <c r="R2292">
        <v>12.41</v>
      </c>
      <c r="S2292">
        <v>21</v>
      </c>
      <c r="T2292">
        <v>-0.52277799999999996</v>
      </c>
      <c r="U2292">
        <v>166.93150299999999</v>
      </c>
    </row>
    <row r="2293" spans="1:21">
      <c r="A2293" t="s">
        <v>131</v>
      </c>
      <c r="B2293">
        <v>2008</v>
      </c>
      <c r="C2293">
        <v>22558.276999999998</v>
      </c>
      <c r="D2293">
        <v>39.999999109999997</v>
      </c>
      <c r="E2293">
        <v>0.02</v>
      </c>
      <c r="F2293">
        <v>0</v>
      </c>
      <c r="G2293">
        <v>0</v>
      </c>
      <c r="H2293">
        <v>0</v>
      </c>
      <c r="I2293">
        <v>4.05</v>
      </c>
      <c r="J2293">
        <v>0.08</v>
      </c>
      <c r="K2293">
        <v>541</v>
      </c>
      <c r="L2293">
        <v>99.186250000000001</v>
      </c>
      <c r="M2293">
        <v>100</v>
      </c>
      <c r="P2293">
        <v>22.222222219999999</v>
      </c>
      <c r="R2293">
        <v>10.47</v>
      </c>
      <c r="S2293">
        <v>21</v>
      </c>
      <c r="T2293">
        <v>-0.52277799999999996</v>
      </c>
      <c r="U2293">
        <v>166.93150299999999</v>
      </c>
    </row>
    <row r="2294" spans="1:21">
      <c r="A2294" t="s">
        <v>131</v>
      </c>
      <c r="B2294">
        <v>2009</v>
      </c>
      <c r="C2294">
        <v>21952.796999999999</v>
      </c>
      <c r="D2294">
        <v>39.999999109999997</v>
      </c>
      <c r="E2294">
        <v>0.02</v>
      </c>
      <c r="F2294">
        <v>0</v>
      </c>
      <c r="G2294">
        <v>0</v>
      </c>
      <c r="H2294">
        <v>0</v>
      </c>
      <c r="I2294">
        <v>4.0199999999999996</v>
      </c>
      <c r="J2294">
        <v>0.04</v>
      </c>
      <c r="K2294">
        <v>541</v>
      </c>
      <c r="L2294">
        <v>99.172110000000004</v>
      </c>
      <c r="M2294">
        <v>100</v>
      </c>
      <c r="P2294">
        <v>9.0909090910000003</v>
      </c>
      <c r="R2294">
        <v>9.1</v>
      </c>
      <c r="S2294">
        <v>21</v>
      </c>
      <c r="T2294">
        <v>-0.52277799999999996</v>
      </c>
      <c r="U2294">
        <v>166.93150299999999</v>
      </c>
    </row>
    <row r="2295" spans="1:21">
      <c r="A2295" t="s">
        <v>131</v>
      </c>
      <c r="B2295">
        <v>2010</v>
      </c>
      <c r="C2295">
        <v>23124.062000000002</v>
      </c>
      <c r="D2295">
        <v>39.999999109999997</v>
      </c>
      <c r="E2295">
        <v>0.02</v>
      </c>
      <c r="F2295">
        <v>0</v>
      </c>
      <c r="G2295">
        <v>0</v>
      </c>
      <c r="H2295">
        <v>0</v>
      </c>
      <c r="I2295">
        <v>4</v>
      </c>
      <c r="J2295">
        <v>0.03</v>
      </c>
      <c r="K2295">
        <v>541</v>
      </c>
      <c r="L2295">
        <v>99.170630000000003</v>
      </c>
      <c r="M2295">
        <v>100</v>
      </c>
      <c r="P2295">
        <v>11.11111111</v>
      </c>
      <c r="Q2295">
        <v>4752.1750819999997</v>
      </c>
      <c r="R2295">
        <v>8.6999999999999993</v>
      </c>
      <c r="S2295">
        <v>21</v>
      </c>
      <c r="T2295">
        <v>-0.52277799999999996</v>
      </c>
      <c r="U2295">
        <v>166.93150299999999</v>
      </c>
    </row>
    <row r="2296" spans="1:21">
      <c r="A2296" t="s">
        <v>131</v>
      </c>
      <c r="B2296">
        <v>2011</v>
      </c>
      <c r="C2296">
        <v>22639.81</v>
      </c>
      <c r="D2296">
        <v>39.999999109999997</v>
      </c>
      <c r="E2296">
        <v>0.02</v>
      </c>
      <c r="F2296">
        <v>0</v>
      </c>
      <c r="G2296">
        <v>0</v>
      </c>
      <c r="H2296">
        <v>0</v>
      </c>
      <c r="I2296">
        <v>3.97</v>
      </c>
      <c r="J2296">
        <v>0.05</v>
      </c>
      <c r="K2296">
        <v>541</v>
      </c>
      <c r="L2296">
        <v>99</v>
      </c>
      <c r="M2296">
        <v>100</v>
      </c>
      <c r="P2296">
        <v>10</v>
      </c>
      <c r="Q2296">
        <v>6560.2748700000002</v>
      </c>
      <c r="R2296">
        <v>7.51</v>
      </c>
      <c r="S2296">
        <v>21</v>
      </c>
      <c r="T2296">
        <v>-0.52277799999999996</v>
      </c>
      <c r="U2296">
        <v>166.93150299999999</v>
      </c>
    </row>
    <row r="2297" spans="1:21">
      <c r="A2297" t="s">
        <v>131</v>
      </c>
      <c r="B2297">
        <v>2012</v>
      </c>
      <c r="C2297">
        <v>23654.348000000002</v>
      </c>
      <c r="D2297">
        <v>39.999999109999997</v>
      </c>
      <c r="E2297">
        <v>0.02</v>
      </c>
      <c r="F2297">
        <v>0</v>
      </c>
      <c r="G2297">
        <v>0</v>
      </c>
      <c r="H2297">
        <v>0</v>
      </c>
      <c r="I2297">
        <v>6.91</v>
      </c>
      <c r="J2297">
        <v>7.0000000000000007E-2</v>
      </c>
      <c r="K2297">
        <v>541</v>
      </c>
      <c r="L2297">
        <v>99.216446000000005</v>
      </c>
      <c r="M2297">
        <v>100</v>
      </c>
      <c r="P2297">
        <v>11.363636359999999</v>
      </c>
      <c r="Q2297">
        <v>9562.6678659999998</v>
      </c>
      <c r="R2297">
        <v>7.05</v>
      </c>
      <c r="S2297">
        <v>21</v>
      </c>
      <c r="T2297">
        <v>-0.52277799999999996</v>
      </c>
      <c r="U2297">
        <v>166.93150299999999</v>
      </c>
    </row>
    <row r="2298" spans="1:21">
      <c r="A2298" t="s">
        <v>131</v>
      </c>
      <c r="B2298">
        <v>2013</v>
      </c>
      <c r="C2298">
        <v>26976.27</v>
      </c>
      <c r="D2298">
        <v>50.000000749999998</v>
      </c>
      <c r="E2298">
        <v>0.02</v>
      </c>
      <c r="F2298">
        <v>0</v>
      </c>
      <c r="G2298">
        <v>0</v>
      </c>
      <c r="H2298">
        <v>0</v>
      </c>
      <c r="I2298">
        <v>20.57</v>
      </c>
      <c r="J2298">
        <v>0.06</v>
      </c>
      <c r="K2298">
        <v>541</v>
      </c>
      <c r="L2298">
        <v>99.268209999999996</v>
      </c>
      <c r="M2298">
        <v>100</v>
      </c>
      <c r="P2298">
        <v>30.6122449</v>
      </c>
      <c r="Q2298">
        <v>9648.4956550000006</v>
      </c>
      <c r="R2298">
        <v>6.06</v>
      </c>
      <c r="S2298">
        <v>21</v>
      </c>
      <c r="T2298">
        <v>-0.52277799999999996</v>
      </c>
      <c r="U2298">
        <v>166.93150299999999</v>
      </c>
    </row>
    <row r="2299" spans="1:21">
      <c r="A2299" t="s">
        <v>131</v>
      </c>
      <c r="B2299">
        <v>2014</v>
      </c>
      <c r="C2299">
        <v>28475.136999999999</v>
      </c>
      <c r="D2299">
        <v>50.000000749999998</v>
      </c>
      <c r="E2299">
        <v>0.02</v>
      </c>
      <c r="F2299">
        <v>0</v>
      </c>
      <c r="G2299">
        <v>0</v>
      </c>
      <c r="H2299">
        <v>0</v>
      </c>
      <c r="I2299">
        <v>20.41</v>
      </c>
      <c r="J2299">
        <v>0.05</v>
      </c>
      <c r="K2299">
        <v>541</v>
      </c>
      <c r="L2299">
        <v>99.337789999999998</v>
      </c>
      <c r="M2299">
        <v>100</v>
      </c>
      <c r="O2299">
        <v>10000</v>
      </c>
      <c r="P2299">
        <v>26.5625</v>
      </c>
      <c r="Q2299">
        <v>10171.480729999999</v>
      </c>
      <c r="R2299">
        <v>5.13</v>
      </c>
      <c r="S2299">
        <v>21</v>
      </c>
      <c r="T2299">
        <v>-0.52277799999999996</v>
      </c>
      <c r="U2299">
        <v>166.93150299999999</v>
      </c>
    </row>
    <row r="2300" spans="1:21">
      <c r="A2300" t="s">
        <v>131</v>
      </c>
      <c r="B2300">
        <v>2015</v>
      </c>
      <c r="C2300">
        <v>29667.088</v>
      </c>
      <c r="D2300">
        <v>59.999998660000003</v>
      </c>
      <c r="E2300">
        <v>0.03</v>
      </c>
      <c r="F2300">
        <v>0</v>
      </c>
      <c r="G2300">
        <v>0</v>
      </c>
      <c r="H2300">
        <v>0</v>
      </c>
      <c r="I2300">
        <v>20.239999999999998</v>
      </c>
      <c r="J2300">
        <v>0.1</v>
      </c>
      <c r="K2300">
        <v>541</v>
      </c>
      <c r="L2300">
        <v>99</v>
      </c>
      <c r="M2300">
        <v>100</v>
      </c>
      <c r="O2300">
        <v>8640000</v>
      </c>
      <c r="P2300">
        <v>3.703703704</v>
      </c>
      <c r="Q2300">
        <v>8341.0122780000002</v>
      </c>
      <c r="R2300">
        <v>5.39</v>
      </c>
      <c r="S2300">
        <v>21</v>
      </c>
      <c r="T2300">
        <v>-0.52277799999999996</v>
      </c>
      <c r="U2300">
        <v>166.93150299999999</v>
      </c>
    </row>
    <row r="2301" spans="1:21">
      <c r="A2301" t="s">
        <v>131</v>
      </c>
      <c r="B2301">
        <v>2016</v>
      </c>
      <c r="C2301">
        <v>31831.388999999999</v>
      </c>
      <c r="D2301">
        <v>59.999998660000003</v>
      </c>
      <c r="E2301">
        <v>0.03</v>
      </c>
      <c r="F2301">
        <v>0</v>
      </c>
      <c r="G2301">
        <v>0</v>
      </c>
      <c r="H2301">
        <v>0</v>
      </c>
      <c r="I2301">
        <v>67.790000000000006</v>
      </c>
      <c r="J2301">
        <v>0.18</v>
      </c>
      <c r="K2301">
        <v>541</v>
      </c>
      <c r="L2301">
        <v>99.712879999999998</v>
      </c>
      <c r="M2301">
        <v>100</v>
      </c>
      <c r="O2301">
        <v>2950000</v>
      </c>
      <c r="P2301">
        <v>3.5714285710000002</v>
      </c>
      <c r="Q2301">
        <v>9521.0421009999991</v>
      </c>
      <c r="R2301">
        <v>5.03</v>
      </c>
      <c r="S2301">
        <v>21</v>
      </c>
      <c r="T2301">
        <v>-0.52277799999999996</v>
      </c>
      <c r="U2301">
        <v>166.93150299999999</v>
      </c>
    </row>
    <row r="2302" spans="1:21">
      <c r="A2302" t="s">
        <v>131</v>
      </c>
      <c r="B2302">
        <v>2017</v>
      </c>
      <c r="C2302">
        <v>24506.256000000001</v>
      </c>
      <c r="D2302">
        <v>70.000000299999996</v>
      </c>
      <c r="E2302">
        <v>0.03</v>
      </c>
      <c r="F2302">
        <v>0</v>
      </c>
      <c r="G2302">
        <v>0</v>
      </c>
      <c r="H2302">
        <v>0</v>
      </c>
      <c r="I2302">
        <v>67.13</v>
      </c>
      <c r="J2302">
        <v>0.6</v>
      </c>
      <c r="K2302">
        <v>541</v>
      </c>
      <c r="L2302">
        <v>99.870040000000003</v>
      </c>
      <c r="M2302">
        <v>100</v>
      </c>
      <c r="O2302">
        <v>2650000</v>
      </c>
      <c r="P2302">
        <v>-5.7471264370000004</v>
      </c>
      <c r="Q2302">
        <v>10339.385480000001</v>
      </c>
      <c r="R2302">
        <v>5.68</v>
      </c>
      <c r="S2302">
        <v>21</v>
      </c>
      <c r="T2302">
        <v>-0.52277799999999996</v>
      </c>
      <c r="U2302">
        <v>166.93150299999999</v>
      </c>
    </row>
    <row r="2303" spans="1:21">
      <c r="A2303" t="s">
        <v>131</v>
      </c>
      <c r="B2303">
        <v>2018</v>
      </c>
      <c r="C2303">
        <v>28203.953000000001</v>
      </c>
      <c r="D2303">
        <v>59.999998660000003</v>
      </c>
      <c r="E2303">
        <v>0.03</v>
      </c>
      <c r="F2303">
        <v>0</v>
      </c>
      <c r="G2303">
        <v>0</v>
      </c>
      <c r="H2303">
        <v>0</v>
      </c>
      <c r="I2303">
        <v>76.98</v>
      </c>
      <c r="J2303">
        <v>0.66</v>
      </c>
      <c r="K2303">
        <v>541</v>
      </c>
      <c r="L2303">
        <v>99.928219999999996</v>
      </c>
      <c r="M2303">
        <v>100</v>
      </c>
      <c r="P2303">
        <v>6.0975609759999996</v>
      </c>
      <c r="Q2303">
        <v>11614.665080000001</v>
      </c>
      <c r="R2303">
        <v>5.15</v>
      </c>
      <c r="S2303">
        <v>21</v>
      </c>
      <c r="T2303">
        <v>-0.52277799999999996</v>
      </c>
      <c r="U2303">
        <v>166.93150299999999</v>
      </c>
    </row>
    <row r="2304" spans="1:21">
      <c r="A2304" t="s">
        <v>131</v>
      </c>
      <c r="B2304">
        <v>2019</v>
      </c>
      <c r="C2304">
        <v>22405.49</v>
      </c>
      <c r="D2304">
        <v>59.999998660000003</v>
      </c>
      <c r="E2304">
        <v>0.03</v>
      </c>
      <c r="F2304">
        <v>0</v>
      </c>
      <c r="G2304">
        <v>0</v>
      </c>
      <c r="H2304">
        <v>0</v>
      </c>
      <c r="I2304">
        <v>180.88</v>
      </c>
      <c r="J2304">
        <v>0.61</v>
      </c>
      <c r="K2304">
        <v>541</v>
      </c>
      <c r="L2304">
        <v>100</v>
      </c>
      <c r="M2304">
        <v>100</v>
      </c>
      <c r="P2304">
        <v>0</v>
      </c>
      <c r="Q2304">
        <v>11029.73558</v>
      </c>
      <c r="R2304">
        <v>5.0599999999999996</v>
      </c>
      <c r="S2304">
        <v>21</v>
      </c>
      <c r="T2304">
        <v>-0.52277799999999996</v>
      </c>
      <c r="U2304">
        <v>166.93150299999999</v>
      </c>
    </row>
    <row r="2305" spans="1:21">
      <c r="A2305" t="s">
        <v>131</v>
      </c>
      <c r="B2305">
        <v>2020</v>
      </c>
      <c r="C2305">
        <v>21142.482</v>
      </c>
      <c r="E2305">
        <v>0.04</v>
      </c>
      <c r="F2305">
        <v>0</v>
      </c>
      <c r="G2305">
        <v>0</v>
      </c>
      <c r="H2305">
        <v>0</v>
      </c>
      <c r="I2305">
        <v>179.71</v>
      </c>
      <c r="K2305">
        <v>541</v>
      </c>
      <c r="L2305">
        <v>100</v>
      </c>
      <c r="M2305">
        <v>100</v>
      </c>
      <c r="P2305">
        <v>1.1494252869999999</v>
      </c>
      <c r="Q2305">
        <v>10580.268190000001</v>
      </c>
      <c r="S2305">
        <v>21</v>
      </c>
      <c r="T2305">
        <v>-0.52277799999999996</v>
      </c>
      <c r="U2305">
        <v>166.93150299999999</v>
      </c>
    </row>
    <row r="2306" spans="1:21">
      <c r="A2306" t="s">
        <v>132</v>
      </c>
      <c r="B2306">
        <v>2000</v>
      </c>
      <c r="C2306">
        <v>599.05600000000004</v>
      </c>
      <c r="D2306">
        <v>3220</v>
      </c>
      <c r="E2306">
        <v>0.06</v>
      </c>
      <c r="F2306">
        <v>0</v>
      </c>
      <c r="G2306">
        <v>1.63</v>
      </c>
      <c r="H2306">
        <v>96.449700000000007</v>
      </c>
      <c r="I2306">
        <v>11.76</v>
      </c>
      <c r="J2306">
        <v>88.29</v>
      </c>
      <c r="K2306">
        <v>203</v>
      </c>
      <c r="L2306">
        <v>29.046267</v>
      </c>
      <c r="M2306">
        <v>5.7</v>
      </c>
      <c r="O2306">
        <v>11770000</v>
      </c>
      <c r="P2306">
        <v>6.1999999880000001</v>
      </c>
      <c r="Q2306">
        <v>229.49039260000001</v>
      </c>
      <c r="R2306">
        <v>6.83</v>
      </c>
      <c r="S2306">
        <v>147181</v>
      </c>
      <c r="T2306">
        <v>28.394856999999998</v>
      </c>
      <c r="U2306">
        <v>84.124008000000003</v>
      </c>
    </row>
    <row r="2307" spans="1:21">
      <c r="A2307" t="s">
        <v>132</v>
      </c>
      <c r="B2307">
        <v>2001</v>
      </c>
      <c r="C2307">
        <v>622.0788</v>
      </c>
      <c r="D2307">
        <v>3460</v>
      </c>
      <c r="E2307">
        <v>0.02</v>
      </c>
      <c r="F2307">
        <v>0</v>
      </c>
      <c r="G2307">
        <v>1.83</v>
      </c>
      <c r="H2307">
        <v>98.918914999999998</v>
      </c>
      <c r="I2307">
        <v>16.54</v>
      </c>
      <c r="J2307">
        <v>87.76</v>
      </c>
      <c r="K2307">
        <v>203</v>
      </c>
      <c r="L2307">
        <v>24.6</v>
      </c>
      <c r="M2307">
        <v>6.9</v>
      </c>
      <c r="O2307">
        <v>5140000</v>
      </c>
      <c r="P2307">
        <v>4.7998921489999997</v>
      </c>
      <c r="Q2307">
        <v>246.7255581</v>
      </c>
      <c r="R2307">
        <v>6.73</v>
      </c>
      <c r="S2307">
        <v>147181</v>
      </c>
      <c r="T2307">
        <v>28.394856999999998</v>
      </c>
      <c r="U2307">
        <v>84.124008000000003</v>
      </c>
    </row>
    <row r="2308" spans="1:21">
      <c r="A2308" t="s">
        <v>132</v>
      </c>
      <c r="B2308">
        <v>2002</v>
      </c>
      <c r="C2308">
        <v>645.29060000000004</v>
      </c>
      <c r="D2308">
        <v>2789.9999619999999</v>
      </c>
      <c r="E2308">
        <v>0.02</v>
      </c>
      <c r="F2308">
        <v>0</v>
      </c>
      <c r="G2308">
        <v>2.1</v>
      </c>
      <c r="H2308">
        <v>99.056600000000003</v>
      </c>
      <c r="I2308">
        <v>16.53</v>
      </c>
      <c r="J2308">
        <v>89.95</v>
      </c>
      <c r="K2308">
        <v>203</v>
      </c>
      <c r="L2308">
        <v>35.887410000000003</v>
      </c>
      <c r="M2308">
        <v>8.3000000000000007</v>
      </c>
      <c r="O2308">
        <v>41820000</v>
      </c>
      <c r="P2308">
        <v>0.120143175</v>
      </c>
      <c r="Q2308">
        <v>244.7208435</v>
      </c>
      <c r="R2308">
        <v>6.79</v>
      </c>
      <c r="S2308">
        <v>147181</v>
      </c>
      <c r="T2308">
        <v>28.394856999999998</v>
      </c>
      <c r="U2308">
        <v>84.124008000000003</v>
      </c>
    </row>
    <row r="2309" spans="1:21">
      <c r="A2309" t="s">
        <v>132</v>
      </c>
      <c r="B2309">
        <v>2003</v>
      </c>
      <c r="C2309">
        <v>669.50134000000003</v>
      </c>
      <c r="D2309">
        <v>3019.9999809999999</v>
      </c>
      <c r="E2309">
        <v>0</v>
      </c>
      <c r="F2309">
        <v>0</v>
      </c>
      <c r="G2309">
        <v>2.2400000000000002</v>
      </c>
      <c r="H2309">
        <v>100</v>
      </c>
      <c r="I2309">
        <v>22.39</v>
      </c>
      <c r="J2309">
        <v>89.44</v>
      </c>
      <c r="K2309">
        <v>203</v>
      </c>
      <c r="L2309">
        <v>39.298949999999998</v>
      </c>
      <c r="M2309">
        <v>9.9</v>
      </c>
      <c r="O2309">
        <v>62490000</v>
      </c>
      <c r="P2309">
        <v>3.9450377670000001</v>
      </c>
      <c r="Q2309">
        <v>252.40235179999999</v>
      </c>
      <c r="R2309">
        <v>6.72</v>
      </c>
      <c r="S2309">
        <v>147181</v>
      </c>
      <c r="T2309">
        <v>28.394856999999998</v>
      </c>
      <c r="U2309">
        <v>84.124008000000003</v>
      </c>
    </row>
    <row r="2310" spans="1:21">
      <c r="A2310" t="s">
        <v>132</v>
      </c>
      <c r="B2310">
        <v>2004</v>
      </c>
      <c r="C2310">
        <v>660.46559999999999</v>
      </c>
      <c r="D2310">
        <v>2809.9999429999998</v>
      </c>
      <c r="E2310">
        <v>0.01</v>
      </c>
      <c r="F2310">
        <v>0</v>
      </c>
      <c r="G2310">
        <v>2.38</v>
      </c>
      <c r="H2310">
        <v>99.581590000000006</v>
      </c>
      <c r="I2310">
        <v>22.49</v>
      </c>
      <c r="J2310">
        <v>90.3</v>
      </c>
      <c r="K2310">
        <v>203</v>
      </c>
      <c r="L2310">
        <v>37.200000000000003</v>
      </c>
      <c r="M2310">
        <v>11.4</v>
      </c>
      <c r="O2310">
        <v>5260000</v>
      </c>
      <c r="P2310">
        <v>4.6826032450000001</v>
      </c>
      <c r="Q2310">
        <v>286.15767260000001</v>
      </c>
      <c r="R2310">
        <v>6.51</v>
      </c>
      <c r="S2310">
        <v>147181</v>
      </c>
      <c r="T2310">
        <v>28.394856999999998</v>
      </c>
      <c r="U2310">
        <v>84.124008000000003</v>
      </c>
    </row>
    <row r="2311" spans="1:21">
      <c r="A2311" t="s">
        <v>132</v>
      </c>
      <c r="B2311">
        <v>2005</v>
      </c>
      <c r="C2311">
        <v>678.47529999999995</v>
      </c>
      <c r="D2311">
        <v>3190.0000570000002</v>
      </c>
      <c r="E2311">
        <v>0.01</v>
      </c>
      <c r="F2311">
        <v>0</v>
      </c>
      <c r="G2311">
        <v>2.4900000000000002</v>
      </c>
      <c r="H2311">
        <v>99.6</v>
      </c>
      <c r="I2311">
        <v>22.35</v>
      </c>
      <c r="J2311">
        <v>89.52</v>
      </c>
      <c r="K2311">
        <v>203</v>
      </c>
      <c r="L2311">
        <v>46.115729999999999</v>
      </c>
      <c r="M2311">
        <v>13.1</v>
      </c>
      <c r="O2311">
        <v>39830000</v>
      </c>
      <c r="P2311">
        <v>3.4791810459999999</v>
      </c>
      <c r="Q2311">
        <v>315.80563000000001</v>
      </c>
      <c r="R2311">
        <v>6.51</v>
      </c>
      <c r="S2311">
        <v>147181</v>
      </c>
      <c r="T2311">
        <v>28.394856999999998</v>
      </c>
      <c r="U2311">
        <v>84.124008000000003</v>
      </c>
    </row>
    <row r="2312" spans="1:21">
      <c r="A2312" t="s">
        <v>132</v>
      </c>
      <c r="B2312">
        <v>2006</v>
      </c>
      <c r="C2312">
        <v>663.45460000000003</v>
      </c>
      <c r="D2312">
        <v>2619.9998860000001</v>
      </c>
      <c r="E2312">
        <v>0.01</v>
      </c>
      <c r="F2312">
        <v>0</v>
      </c>
      <c r="G2312">
        <v>2.71</v>
      </c>
      <c r="H2312">
        <v>99.632355000000004</v>
      </c>
      <c r="I2312">
        <v>22.23</v>
      </c>
      <c r="J2312">
        <v>91.25</v>
      </c>
      <c r="K2312">
        <v>203</v>
      </c>
      <c r="L2312">
        <v>51.2</v>
      </c>
      <c r="M2312">
        <v>14.7</v>
      </c>
      <c r="O2312">
        <v>18590000</v>
      </c>
      <c r="P2312">
        <v>3.3646147879999999</v>
      </c>
      <c r="Q2312">
        <v>346.94533130000002</v>
      </c>
      <c r="R2312">
        <v>6.29</v>
      </c>
      <c r="S2312">
        <v>147181</v>
      </c>
      <c r="T2312">
        <v>28.394856999999998</v>
      </c>
      <c r="U2312">
        <v>84.124008000000003</v>
      </c>
    </row>
    <row r="2313" spans="1:21">
      <c r="A2313" t="s">
        <v>132</v>
      </c>
      <c r="B2313">
        <v>2007</v>
      </c>
      <c r="C2313">
        <v>653.86755000000005</v>
      </c>
      <c r="D2313">
        <v>2690.0000570000002</v>
      </c>
      <c r="E2313">
        <v>0.01</v>
      </c>
      <c r="F2313">
        <v>0</v>
      </c>
      <c r="G2313">
        <v>2.77</v>
      </c>
      <c r="H2313">
        <v>99.640289999999993</v>
      </c>
      <c r="I2313">
        <v>22.18</v>
      </c>
      <c r="J2313">
        <v>91.31</v>
      </c>
      <c r="K2313">
        <v>203</v>
      </c>
      <c r="L2313">
        <v>52.940235000000001</v>
      </c>
      <c r="M2313">
        <v>16.5</v>
      </c>
      <c r="O2313">
        <v>61790000</v>
      </c>
      <c r="P2313">
        <v>3.4115602759999999</v>
      </c>
      <c r="Q2313">
        <v>391.38005720000001</v>
      </c>
      <c r="R2313">
        <v>6.21</v>
      </c>
      <c r="S2313">
        <v>147181</v>
      </c>
      <c r="T2313">
        <v>28.394856999999998</v>
      </c>
      <c r="U2313">
        <v>84.124008000000003</v>
      </c>
    </row>
    <row r="2314" spans="1:21">
      <c r="A2314" t="s">
        <v>132</v>
      </c>
      <c r="B2314">
        <v>2008</v>
      </c>
      <c r="C2314">
        <v>719.46136000000001</v>
      </c>
      <c r="D2314">
        <v>2990.0000100000002</v>
      </c>
      <c r="E2314">
        <v>0.01</v>
      </c>
      <c r="F2314">
        <v>0</v>
      </c>
      <c r="G2314">
        <v>2.79</v>
      </c>
      <c r="H2314">
        <v>99.642859999999999</v>
      </c>
      <c r="I2314">
        <v>22.3</v>
      </c>
      <c r="J2314">
        <v>90.47</v>
      </c>
      <c r="K2314">
        <v>203</v>
      </c>
      <c r="L2314">
        <v>56.361980000000003</v>
      </c>
      <c r="M2314">
        <v>18.100000000000001</v>
      </c>
      <c r="O2314">
        <v>53050000</v>
      </c>
      <c r="P2314">
        <v>6.1046391419999999</v>
      </c>
      <c r="Q2314">
        <v>470.45545900000002</v>
      </c>
      <c r="R2314">
        <v>6.05</v>
      </c>
      <c r="S2314">
        <v>147181</v>
      </c>
      <c r="T2314">
        <v>28.394856999999998</v>
      </c>
      <c r="U2314">
        <v>84.124008000000003</v>
      </c>
    </row>
    <row r="2315" spans="1:21">
      <c r="A2315" t="s">
        <v>132</v>
      </c>
      <c r="B2315">
        <v>2009</v>
      </c>
      <c r="C2315">
        <v>818.67523000000006</v>
      </c>
      <c r="D2315">
        <v>3880.0001139999999</v>
      </c>
      <c r="E2315">
        <v>0.01</v>
      </c>
      <c r="F2315">
        <v>0</v>
      </c>
      <c r="G2315">
        <v>3.08</v>
      </c>
      <c r="H2315">
        <v>99.676379999999995</v>
      </c>
      <c r="I2315">
        <v>25.72</v>
      </c>
      <c r="J2315">
        <v>88.93</v>
      </c>
      <c r="K2315">
        <v>203</v>
      </c>
      <c r="L2315">
        <v>59.793666999999999</v>
      </c>
      <c r="M2315">
        <v>19.8</v>
      </c>
      <c r="O2315">
        <v>51230000</v>
      </c>
      <c r="P2315">
        <v>4.5330787199999998</v>
      </c>
      <c r="Q2315">
        <v>478.1732528</v>
      </c>
      <c r="R2315">
        <v>5.96</v>
      </c>
      <c r="S2315">
        <v>147181</v>
      </c>
      <c r="T2315">
        <v>28.394856999999998</v>
      </c>
      <c r="U2315">
        <v>84.124008000000003</v>
      </c>
    </row>
    <row r="2316" spans="1:21">
      <c r="A2316" t="s">
        <v>132</v>
      </c>
      <c r="B2316">
        <v>2010</v>
      </c>
      <c r="C2316">
        <v>868.66949999999997</v>
      </c>
      <c r="D2316">
        <v>4639.9998660000001</v>
      </c>
      <c r="E2316">
        <v>0</v>
      </c>
      <c r="F2316">
        <v>0</v>
      </c>
      <c r="G2316">
        <v>3.18</v>
      </c>
      <c r="H2316">
        <v>100</v>
      </c>
      <c r="I2316">
        <v>25.98</v>
      </c>
      <c r="J2316">
        <v>87.29</v>
      </c>
      <c r="K2316">
        <v>203</v>
      </c>
      <c r="L2316">
        <v>68.599999999999994</v>
      </c>
      <c r="M2316">
        <v>21.6</v>
      </c>
      <c r="O2316">
        <v>23280000</v>
      </c>
      <c r="P2316">
        <v>4.8164146499999996</v>
      </c>
      <c r="Q2316">
        <v>592.40120709999997</v>
      </c>
      <c r="R2316">
        <v>5.85</v>
      </c>
      <c r="S2316">
        <v>147181</v>
      </c>
      <c r="T2316">
        <v>28.394856999999998</v>
      </c>
      <c r="U2316">
        <v>84.124008000000003</v>
      </c>
    </row>
    <row r="2317" spans="1:21">
      <c r="A2317" t="s">
        <v>132</v>
      </c>
      <c r="B2317">
        <v>2011</v>
      </c>
      <c r="C2317">
        <v>922.14340000000004</v>
      </c>
      <c r="D2317">
        <v>5199.9998089999999</v>
      </c>
      <c r="E2317">
        <v>0</v>
      </c>
      <c r="F2317">
        <v>0</v>
      </c>
      <c r="G2317">
        <v>3.46</v>
      </c>
      <c r="H2317">
        <v>100</v>
      </c>
      <c r="I2317">
        <v>26.36</v>
      </c>
      <c r="J2317">
        <v>86.95</v>
      </c>
      <c r="K2317">
        <v>203</v>
      </c>
      <c r="L2317">
        <v>67.260000000000005</v>
      </c>
      <c r="M2317">
        <v>23.2</v>
      </c>
      <c r="O2317">
        <v>130800000</v>
      </c>
      <c r="P2317">
        <v>3.421828241</v>
      </c>
      <c r="Q2317">
        <v>799.58337689999996</v>
      </c>
      <c r="R2317">
        <v>5.86</v>
      </c>
      <c r="S2317">
        <v>147181</v>
      </c>
      <c r="T2317">
        <v>28.394856999999998</v>
      </c>
      <c r="U2317">
        <v>84.124008000000003</v>
      </c>
    </row>
    <row r="2318" spans="1:21">
      <c r="A2318" t="s">
        <v>132</v>
      </c>
      <c r="B2318">
        <v>2012</v>
      </c>
      <c r="C2318">
        <v>967.20619999999997</v>
      </c>
      <c r="D2318">
        <v>6000</v>
      </c>
      <c r="E2318">
        <v>0.02</v>
      </c>
      <c r="F2318">
        <v>0</v>
      </c>
      <c r="G2318">
        <v>3.51</v>
      </c>
      <c r="H2318">
        <v>99.433425999999997</v>
      </c>
      <c r="I2318">
        <v>26.62</v>
      </c>
      <c r="J2318">
        <v>84.7</v>
      </c>
      <c r="K2318">
        <v>203</v>
      </c>
      <c r="L2318">
        <v>74.965969999999999</v>
      </c>
      <c r="M2318">
        <v>24.6</v>
      </c>
      <c r="O2318">
        <v>29380000</v>
      </c>
      <c r="P2318">
        <v>4.4384935050000003</v>
      </c>
      <c r="Q2318">
        <v>804.14160730000003</v>
      </c>
      <c r="R2318">
        <v>5.39</v>
      </c>
      <c r="S2318">
        <v>147181</v>
      </c>
      <c r="T2318">
        <v>28.394856999999998</v>
      </c>
      <c r="U2318">
        <v>84.124008000000003</v>
      </c>
    </row>
    <row r="2319" spans="1:21">
      <c r="A2319" t="s">
        <v>132</v>
      </c>
      <c r="B2319">
        <v>2013</v>
      </c>
      <c r="C2319">
        <v>1020.5796</v>
      </c>
      <c r="D2319">
        <v>6090.000153</v>
      </c>
      <c r="E2319">
        <v>0.01</v>
      </c>
      <c r="F2319">
        <v>0</v>
      </c>
      <c r="G2319">
        <v>3.49</v>
      </c>
      <c r="H2319">
        <v>99.714290000000005</v>
      </c>
      <c r="I2319">
        <v>28.04</v>
      </c>
      <c r="J2319">
        <v>86.05</v>
      </c>
      <c r="K2319">
        <v>203</v>
      </c>
      <c r="L2319">
        <v>77.466194000000002</v>
      </c>
      <c r="M2319">
        <v>26.1</v>
      </c>
      <c r="O2319">
        <v>319940000</v>
      </c>
      <c r="P2319">
        <v>3.5251531709999999</v>
      </c>
      <c r="Q2319">
        <v>823.35987460000001</v>
      </c>
      <c r="R2319">
        <v>5.86</v>
      </c>
      <c r="S2319">
        <v>147181</v>
      </c>
      <c r="T2319">
        <v>28.394856999999998</v>
      </c>
      <c r="U2319">
        <v>84.124008000000003</v>
      </c>
    </row>
    <row r="2320" spans="1:21">
      <c r="A2320" t="s">
        <v>132</v>
      </c>
      <c r="B2320">
        <v>2014</v>
      </c>
      <c r="C2320">
        <v>1099.4447</v>
      </c>
      <c r="D2320">
        <v>7130.0001140000004</v>
      </c>
      <c r="E2320">
        <v>0</v>
      </c>
      <c r="F2320">
        <v>0</v>
      </c>
      <c r="G2320">
        <v>3.78</v>
      </c>
      <c r="H2320">
        <v>100</v>
      </c>
      <c r="I2320">
        <v>28.66</v>
      </c>
      <c r="J2320">
        <v>84.06</v>
      </c>
      <c r="K2320">
        <v>203</v>
      </c>
      <c r="L2320">
        <v>84.9</v>
      </c>
      <c r="M2320">
        <v>27.6</v>
      </c>
      <c r="O2320">
        <v>386670000</v>
      </c>
      <c r="P2320">
        <v>6.0114828429999996</v>
      </c>
      <c r="Q2320">
        <v>844.85312480000005</v>
      </c>
      <c r="R2320">
        <v>5.72</v>
      </c>
      <c r="S2320">
        <v>147181</v>
      </c>
      <c r="T2320">
        <v>28.394856999999998</v>
      </c>
      <c r="U2320">
        <v>84.124008000000003</v>
      </c>
    </row>
    <row r="2321" spans="1:21">
      <c r="A2321" t="s">
        <v>132</v>
      </c>
      <c r="B2321">
        <v>2015</v>
      </c>
      <c r="C2321">
        <v>979.09580000000005</v>
      </c>
      <c r="D2321">
        <v>7190.0000570000002</v>
      </c>
      <c r="E2321">
        <v>0</v>
      </c>
      <c r="F2321">
        <v>0</v>
      </c>
      <c r="G2321">
        <v>3.45</v>
      </c>
      <c r="H2321">
        <v>100</v>
      </c>
      <c r="I2321">
        <v>30.61</v>
      </c>
      <c r="J2321">
        <v>85.04</v>
      </c>
      <c r="K2321">
        <v>203</v>
      </c>
      <c r="L2321">
        <v>82.523960000000002</v>
      </c>
      <c r="M2321">
        <v>29</v>
      </c>
      <c r="O2321">
        <v>18440000</v>
      </c>
      <c r="P2321">
        <v>3.9760532720000001</v>
      </c>
      <c r="Q2321">
        <v>901.74960769999996</v>
      </c>
      <c r="R2321">
        <v>5.47</v>
      </c>
      <c r="S2321">
        <v>147181</v>
      </c>
      <c r="T2321">
        <v>28.394856999999998</v>
      </c>
      <c r="U2321">
        <v>84.124008000000003</v>
      </c>
    </row>
    <row r="2322" spans="1:21">
      <c r="A2322" t="s">
        <v>132</v>
      </c>
      <c r="B2322">
        <v>2016</v>
      </c>
      <c r="C2322">
        <v>1426.1302000000001</v>
      </c>
      <c r="D2322">
        <v>10409.99985</v>
      </c>
      <c r="E2322">
        <v>0</v>
      </c>
      <c r="F2322">
        <v>0</v>
      </c>
      <c r="G2322">
        <v>4.2300000000000004</v>
      </c>
      <c r="H2322">
        <v>100</v>
      </c>
      <c r="I2322">
        <v>31.09</v>
      </c>
      <c r="J2322">
        <v>79.2</v>
      </c>
      <c r="K2322">
        <v>203</v>
      </c>
      <c r="L2322">
        <v>90.7</v>
      </c>
      <c r="M2322">
        <v>30.2</v>
      </c>
      <c r="O2322">
        <v>29030000</v>
      </c>
      <c r="P2322">
        <v>0.43311371900000001</v>
      </c>
      <c r="Q2322">
        <v>899.52358100000004</v>
      </c>
      <c r="R2322">
        <v>5.93</v>
      </c>
      <c r="S2322">
        <v>147181</v>
      </c>
      <c r="T2322">
        <v>28.394856999999998</v>
      </c>
      <c r="U2322">
        <v>84.124008000000003</v>
      </c>
    </row>
    <row r="2323" spans="1:21">
      <c r="A2323" t="s">
        <v>132</v>
      </c>
      <c r="B2323">
        <v>2017</v>
      </c>
      <c r="C2323">
        <v>1614.7568000000001</v>
      </c>
      <c r="D2323">
        <v>12479.999540000001</v>
      </c>
      <c r="E2323">
        <v>0</v>
      </c>
      <c r="F2323">
        <v>0</v>
      </c>
      <c r="G2323">
        <v>4.72</v>
      </c>
      <c r="H2323">
        <v>100</v>
      </c>
      <c r="I2323">
        <v>35.950000000000003</v>
      </c>
      <c r="J2323">
        <v>76.41</v>
      </c>
      <c r="K2323">
        <v>203</v>
      </c>
      <c r="L2323">
        <v>87.896349999999998</v>
      </c>
      <c r="M2323">
        <v>31.4</v>
      </c>
      <c r="O2323">
        <v>10640000</v>
      </c>
      <c r="P2323">
        <v>8.9772793560000004</v>
      </c>
      <c r="Q2323">
        <v>1048.453755</v>
      </c>
      <c r="R2323">
        <v>5.76</v>
      </c>
      <c r="S2323">
        <v>147181</v>
      </c>
      <c r="T2323">
        <v>28.394856999999998</v>
      </c>
      <c r="U2323">
        <v>84.124008000000003</v>
      </c>
    </row>
    <row r="2324" spans="1:21">
      <c r="A2324" t="s">
        <v>132</v>
      </c>
      <c r="B2324">
        <v>2018</v>
      </c>
      <c r="C2324">
        <v>1753.6006</v>
      </c>
      <c r="D2324">
        <v>15189.99958</v>
      </c>
      <c r="E2324">
        <v>0</v>
      </c>
      <c r="F2324">
        <v>0</v>
      </c>
      <c r="G2324">
        <v>4.99</v>
      </c>
      <c r="H2324">
        <v>100</v>
      </c>
      <c r="I2324">
        <v>39.61</v>
      </c>
      <c r="J2324">
        <v>74.27</v>
      </c>
      <c r="K2324">
        <v>203</v>
      </c>
      <c r="L2324">
        <v>93.92</v>
      </c>
      <c r="M2324">
        <v>32.299999999999997</v>
      </c>
      <c r="O2324">
        <v>14870000</v>
      </c>
      <c r="P2324">
        <v>7.6223761049999998</v>
      </c>
      <c r="Q2324">
        <v>1178.525932</v>
      </c>
      <c r="R2324">
        <v>5.68</v>
      </c>
      <c r="S2324">
        <v>147181</v>
      </c>
      <c r="T2324">
        <v>28.394856999999998</v>
      </c>
      <c r="U2324">
        <v>84.124008000000003</v>
      </c>
    </row>
    <row r="2325" spans="1:21">
      <c r="A2325" t="s">
        <v>132</v>
      </c>
      <c r="B2325">
        <v>2019</v>
      </c>
      <c r="C2325">
        <v>1700.5831000000001</v>
      </c>
      <c r="D2325">
        <v>13449.999809999999</v>
      </c>
      <c r="E2325">
        <v>0</v>
      </c>
      <c r="F2325">
        <v>0</v>
      </c>
      <c r="G2325">
        <v>6.26</v>
      </c>
      <c r="H2325">
        <v>100</v>
      </c>
      <c r="I2325">
        <v>43.08</v>
      </c>
      <c r="J2325">
        <v>77.39</v>
      </c>
      <c r="K2325">
        <v>203</v>
      </c>
      <c r="L2325">
        <v>89.9</v>
      </c>
      <c r="M2325">
        <v>33.6</v>
      </c>
      <c r="O2325">
        <v>332730000</v>
      </c>
      <c r="P2325">
        <v>6.6570554279999996</v>
      </c>
      <c r="Q2325">
        <v>1194.956876</v>
      </c>
      <c r="R2325">
        <v>5.23</v>
      </c>
      <c r="S2325">
        <v>147181</v>
      </c>
      <c r="T2325">
        <v>28.394856999999998</v>
      </c>
      <c r="U2325">
        <v>84.124008000000003</v>
      </c>
    </row>
    <row r="2326" spans="1:21">
      <c r="A2326" t="s">
        <v>132</v>
      </c>
      <c r="B2326">
        <v>2020</v>
      </c>
      <c r="C2326">
        <v>1677.7974999999999</v>
      </c>
      <c r="E2326">
        <v>0</v>
      </c>
      <c r="F2326">
        <v>0</v>
      </c>
      <c r="G2326">
        <v>6.33</v>
      </c>
      <c r="H2326">
        <v>100</v>
      </c>
      <c r="I2326">
        <v>46.78</v>
      </c>
      <c r="K2326">
        <v>203</v>
      </c>
      <c r="L2326">
        <v>89.9</v>
      </c>
      <c r="M2326">
        <v>34.799999999999997</v>
      </c>
      <c r="P2326">
        <v>-2.0883786949999998</v>
      </c>
      <c r="Q2326">
        <v>1155.1428539999999</v>
      </c>
      <c r="S2326">
        <v>147181</v>
      </c>
      <c r="T2326">
        <v>28.394856999999998</v>
      </c>
      <c r="U2326">
        <v>84.124008000000003</v>
      </c>
    </row>
    <row r="2327" spans="1:21">
      <c r="A2327" t="s">
        <v>133</v>
      </c>
      <c r="B2327">
        <v>2000</v>
      </c>
      <c r="C2327">
        <v>63325.41</v>
      </c>
      <c r="D2327">
        <v>162100</v>
      </c>
      <c r="E2327">
        <v>82.49</v>
      </c>
      <c r="F2327">
        <v>3.93</v>
      </c>
      <c r="G2327">
        <v>2.97</v>
      </c>
      <c r="H2327">
        <v>7.7189839999999998</v>
      </c>
      <c r="J2327">
        <v>1.73</v>
      </c>
      <c r="K2327">
        <v>508</v>
      </c>
      <c r="L2327">
        <v>100</v>
      </c>
      <c r="M2327">
        <v>100</v>
      </c>
      <c r="N2327">
        <v>0.92585930000000005</v>
      </c>
      <c r="P2327">
        <v>4.1956424979999998</v>
      </c>
      <c r="Q2327">
        <v>26149.411080000002</v>
      </c>
      <c r="R2327">
        <v>4.1500000000000004</v>
      </c>
      <c r="S2327">
        <v>41543</v>
      </c>
      <c r="T2327">
        <v>52.132632999999998</v>
      </c>
      <c r="U2327">
        <v>5.2912660000000002</v>
      </c>
    </row>
    <row r="2328" spans="1:21">
      <c r="A2328" t="s">
        <v>133</v>
      </c>
      <c r="B2328">
        <v>2001</v>
      </c>
      <c r="C2328">
        <v>65422.44</v>
      </c>
      <c r="D2328">
        <v>167120</v>
      </c>
      <c r="E2328">
        <v>86.14</v>
      </c>
      <c r="F2328">
        <v>3.98</v>
      </c>
      <c r="G2328">
        <v>3.31</v>
      </c>
      <c r="H2328">
        <v>7.8026330000000002</v>
      </c>
      <c r="J2328">
        <v>1.76</v>
      </c>
      <c r="K2328">
        <v>508</v>
      </c>
      <c r="L2328">
        <v>100</v>
      </c>
      <c r="M2328">
        <v>100</v>
      </c>
      <c r="N2328">
        <v>0.98837649999999999</v>
      </c>
      <c r="P2328">
        <v>2.326955087</v>
      </c>
      <c r="Q2328">
        <v>26873.27593</v>
      </c>
      <c r="R2328">
        <v>4.16</v>
      </c>
      <c r="S2328">
        <v>41543</v>
      </c>
      <c r="T2328">
        <v>52.132632999999998</v>
      </c>
      <c r="U2328">
        <v>5.2912660000000002</v>
      </c>
    </row>
    <row r="2329" spans="1:21">
      <c r="A2329" t="s">
        <v>133</v>
      </c>
      <c r="B2329">
        <v>2002</v>
      </c>
      <c r="C2329">
        <v>65146.559999999998</v>
      </c>
      <c r="D2329">
        <v>167429.9927</v>
      </c>
      <c r="E2329">
        <v>87.86</v>
      </c>
      <c r="F2329">
        <v>3.91</v>
      </c>
      <c r="G2329">
        <v>3.98</v>
      </c>
      <c r="H2329">
        <v>8.2402090000000001</v>
      </c>
      <c r="J2329">
        <v>1.92</v>
      </c>
      <c r="K2329">
        <v>508</v>
      </c>
      <c r="L2329">
        <v>100</v>
      </c>
      <c r="M2329">
        <v>100</v>
      </c>
      <c r="N2329">
        <v>1.1863465</v>
      </c>
      <c r="P2329">
        <v>0.21727359500000001</v>
      </c>
      <c r="Q2329">
        <v>29204.039830000002</v>
      </c>
      <c r="R2329">
        <v>4.1900000000000004</v>
      </c>
      <c r="S2329">
        <v>41543</v>
      </c>
      <c r="T2329">
        <v>52.132632999999998</v>
      </c>
      <c r="U2329">
        <v>5.2912660000000002</v>
      </c>
    </row>
    <row r="2330" spans="1:21">
      <c r="A2330" t="s">
        <v>133</v>
      </c>
      <c r="B2330">
        <v>2003</v>
      </c>
      <c r="C2330">
        <v>65296.625</v>
      </c>
      <c r="D2330">
        <v>170360.0006</v>
      </c>
      <c r="E2330">
        <v>88.62</v>
      </c>
      <c r="F2330">
        <v>4.0199999999999996</v>
      </c>
      <c r="G2330">
        <v>3.96</v>
      </c>
      <c r="H2330">
        <v>8.2608700000000006</v>
      </c>
      <c r="J2330">
        <v>1.91</v>
      </c>
      <c r="K2330">
        <v>508</v>
      </c>
      <c r="L2330">
        <v>100</v>
      </c>
      <c r="M2330">
        <v>100</v>
      </c>
      <c r="N2330">
        <v>1.1635091</v>
      </c>
      <c r="P2330">
        <v>0.155645898</v>
      </c>
      <c r="Q2330">
        <v>35672.206599999998</v>
      </c>
      <c r="R2330">
        <v>4.34</v>
      </c>
      <c r="S2330">
        <v>41543</v>
      </c>
      <c r="T2330">
        <v>52.132632999999998</v>
      </c>
      <c r="U2330">
        <v>5.2912660000000002</v>
      </c>
    </row>
    <row r="2331" spans="1:21">
      <c r="A2331" t="s">
        <v>133</v>
      </c>
      <c r="B2331">
        <v>2004</v>
      </c>
      <c r="C2331">
        <v>67222.880000000005</v>
      </c>
      <c r="D2331">
        <v>172119.9951</v>
      </c>
      <c r="E2331">
        <v>91.89</v>
      </c>
      <c r="F2331">
        <v>3.82</v>
      </c>
      <c r="G2331">
        <v>5.3</v>
      </c>
      <c r="H2331">
        <v>9.0288090000000008</v>
      </c>
      <c r="J2331">
        <v>2.2200000000000002</v>
      </c>
      <c r="K2331">
        <v>508</v>
      </c>
      <c r="L2331">
        <v>100</v>
      </c>
      <c r="M2331">
        <v>100</v>
      </c>
      <c r="N2331">
        <v>1.5031251000000001</v>
      </c>
      <c r="P2331">
        <v>1.984945714</v>
      </c>
      <c r="Q2331">
        <v>40362.394780000002</v>
      </c>
      <c r="R2331">
        <v>4.3</v>
      </c>
      <c r="S2331">
        <v>41543</v>
      </c>
      <c r="T2331">
        <v>52.132632999999998</v>
      </c>
      <c r="U2331">
        <v>5.2912660000000002</v>
      </c>
    </row>
    <row r="2332" spans="1:21">
      <c r="A2332" t="s">
        <v>133</v>
      </c>
      <c r="B2332">
        <v>2005</v>
      </c>
      <c r="C2332">
        <v>68395.850000000006</v>
      </c>
      <c r="D2332">
        <v>167929.9927</v>
      </c>
      <c r="E2332">
        <v>88.22</v>
      </c>
      <c r="F2332">
        <v>4</v>
      </c>
      <c r="G2332">
        <v>7.46</v>
      </c>
      <c r="H2332">
        <v>11.496790000000001</v>
      </c>
      <c r="J2332">
        <v>2.74</v>
      </c>
      <c r="K2332">
        <v>508</v>
      </c>
      <c r="L2332">
        <v>100</v>
      </c>
      <c r="M2332">
        <v>100</v>
      </c>
      <c r="N2332">
        <v>2.0780501</v>
      </c>
      <c r="P2332">
        <v>2.0508761080000002</v>
      </c>
      <c r="Q2332">
        <v>41979.055849999997</v>
      </c>
      <c r="R2332">
        <v>4.1399999999999997</v>
      </c>
      <c r="S2332">
        <v>41543</v>
      </c>
      <c r="T2332">
        <v>52.132632999999998</v>
      </c>
      <c r="U2332">
        <v>5.2912660000000002</v>
      </c>
    </row>
    <row r="2333" spans="1:21">
      <c r="A2333" t="s">
        <v>133</v>
      </c>
      <c r="B2333">
        <v>2006</v>
      </c>
      <c r="C2333">
        <v>66740</v>
      </c>
      <c r="D2333">
        <v>163699.9969</v>
      </c>
      <c r="E2333">
        <v>87.17</v>
      </c>
      <c r="F2333">
        <v>3.47</v>
      </c>
      <c r="G2333">
        <v>8.0500000000000007</v>
      </c>
      <c r="H2333">
        <v>11.672914499999999</v>
      </c>
      <c r="J2333">
        <v>3.12</v>
      </c>
      <c r="K2333">
        <v>508</v>
      </c>
      <c r="L2333">
        <v>100</v>
      </c>
      <c r="M2333">
        <v>100</v>
      </c>
      <c r="N2333">
        <v>2.3150840000000001</v>
      </c>
      <c r="P2333">
        <v>3.4609889539999998</v>
      </c>
      <c r="Q2333">
        <v>44863.350630000001</v>
      </c>
      <c r="R2333">
        <v>3.97</v>
      </c>
      <c r="S2333">
        <v>41543</v>
      </c>
      <c r="T2333">
        <v>52.132632999999998</v>
      </c>
      <c r="U2333">
        <v>5.2912660000000002</v>
      </c>
    </row>
    <row r="2334" spans="1:21">
      <c r="A2334" t="s">
        <v>133</v>
      </c>
      <c r="B2334">
        <v>2007</v>
      </c>
      <c r="C2334">
        <v>67568.08</v>
      </c>
      <c r="D2334">
        <v>164550.0031</v>
      </c>
      <c r="E2334">
        <v>93.21</v>
      </c>
      <c r="F2334">
        <v>4.2</v>
      </c>
      <c r="G2334">
        <v>7.59</v>
      </c>
      <c r="H2334">
        <v>11.228572</v>
      </c>
      <c r="J2334">
        <v>3.68</v>
      </c>
      <c r="K2334">
        <v>508</v>
      </c>
      <c r="L2334">
        <v>100</v>
      </c>
      <c r="M2334">
        <v>100</v>
      </c>
      <c r="N2334">
        <v>2.4174243999999998</v>
      </c>
      <c r="P2334">
        <v>3.7728425209999998</v>
      </c>
      <c r="Q2334">
        <v>51733.442130000003</v>
      </c>
      <c r="R2334">
        <v>3.81</v>
      </c>
      <c r="S2334">
        <v>41543</v>
      </c>
      <c r="T2334">
        <v>52.132632999999998</v>
      </c>
      <c r="U2334">
        <v>5.2912660000000002</v>
      </c>
    </row>
    <row r="2335" spans="1:21">
      <c r="A2335" t="s">
        <v>133</v>
      </c>
      <c r="B2335">
        <v>2008</v>
      </c>
      <c r="C2335">
        <v>66484.649999999994</v>
      </c>
      <c r="D2335">
        <v>165220.0012</v>
      </c>
      <c r="E2335">
        <v>93.7</v>
      </c>
      <c r="F2335">
        <v>4.17</v>
      </c>
      <c r="G2335">
        <v>9.5299999999999994</v>
      </c>
      <c r="H2335">
        <v>12.756052</v>
      </c>
      <c r="J2335">
        <v>3.94</v>
      </c>
      <c r="K2335">
        <v>508</v>
      </c>
      <c r="L2335">
        <v>100</v>
      </c>
      <c r="M2335">
        <v>100</v>
      </c>
      <c r="N2335">
        <v>2.9132164</v>
      </c>
      <c r="P2335">
        <v>2.1703248510000002</v>
      </c>
      <c r="Q2335">
        <v>57644.47997</v>
      </c>
      <c r="R2335">
        <v>3.7</v>
      </c>
      <c r="S2335">
        <v>41543</v>
      </c>
      <c r="T2335">
        <v>52.132632999999998</v>
      </c>
      <c r="U2335">
        <v>5.2912660000000002</v>
      </c>
    </row>
    <row r="2336" spans="1:21">
      <c r="A2336" t="s">
        <v>133</v>
      </c>
      <c r="B2336">
        <v>2009</v>
      </c>
      <c r="C2336">
        <v>65268.383000000002</v>
      </c>
      <c r="D2336">
        <v>160490.0055</v>
      </c>
      <c r="E2336">
        <v>98.48</v>
      </c>
      <c r="F2336">
        <v>4.25</v>
      </c>
      <c r="G2336">
        <v>10.83</v>
      </c>
      <c r="H2336">
        <v>13.279324000000001</v>
      </c>
      <c r="J2336">
        <v>4.38</v>
      </c>
      <c r="K2336">
        <v>508</v>
      </c>
      <c r="L2336">
        <v>100</v>
      </c>
      <c r="M2336">
        <v>100</v>
      </c>
      <c r="N2336">
        <v>3.4302777999999998</v>
      </c>
      <c r="P2336">
        <v>-3.6668839370000001</v>
      </c>
      <c r="Q2336">
        <v>52514.027119999999</v>
      </c>
      <c r="R2336">
        <v>3.79</v>
      </c>
      <c r="S2336">
        <v>41543</v>
      </c>
      <c r="T2336">
        <v>52.132632999999998</v>
      </c>
      <c r="U2336">
        <v>5.2912660000000002</v>
      </c>
    </row>
    <row r="2337" spans="1:21">
      <c r="A2337" t="s">
        <v>133</v>
      </c>
      <c r="B2337">
        <v>2010</v>
      </c>
      <c r="C2337">
        <v>70448.460000000006</v>
      </c>
      <c r="D2337">
        <v>171110.0006</v>
      </c>
      <c r="E2337">
        <v>103.95</v>
      </c>
      <c r="F2337">
        <v>3.97</v>
      </c>
      <c r="G2337">
        <v>11.19</v>
      </c>
      <c r="H2337">
        <v>12.727731</v>
      </c>
      <c r="J2337">
        <v>3.85</v>
      </c>
      <c r="K2337">
        <v>508</v>
      </c>
      <c r="L2337">
        <v>100</v>
      </c>
      <c r="M2337">
        <v>100</v>
      </c>
      <c r="N2337">
        <v>3.2134413999999998</v>
      </c>
      <c r="P2337">
        <v>1.342739336</v>
      </c>
      <c r="Q2337">
        <v>50950.034339999998</v>
      </c>
      <c r="R2337">
        <v>4.01</v>
      </c>
      <c r="S2337">
        <v>41543</v>
      </c>
      <c r="T2337">
        <v>52.132632999999998</v>
      </c>
      <c r="U2337">
        <v>5.2912660000000002</v>
      </c>
    </row>
    <row r="2338" spans="1:21">
      <c r="A2338" t="s">
        <v>133</v>
      </c>
      <c r="B2338">
        <v>2011</v>
      </c>
      <c r="C2338">
        <v>66766.09</v>
      </c>
      <c r="D2338">
        <v>158770.0043</v>
      </c>
      <c r="E2338">
        <v>97.35</v>
      </c>
      <c r="F2338">
        <v>4.1399999999999997</v>
      </c>
      <c r="G2338">
        <v>12.32</v>
      </c>
      <c r="H2338">
        <v>14.4627</v>
      </c>
      <c r="J2338">
        <v>4.6900000000000004</v>
      </c>
      <c r="K2338">
        <v>508</v>
      </c>
      <c r="L2338">
        <v>100</v>
      </c>
      <c r="M2338">
        <v>100</v>
      </c>
      <c r="N2338">
        <v>3.8112892999999999</v>
      </c>
      <c r="P2338">
        <v>1.551189312</v>
      </c>
      <c r="Q2338">
        <v>54159.346610000001</v>
      </c>
      <c r="R2338">
        <v>3.67</v>
      </c>
      <c r="S2338">
        <v>41543</v>
      </c>
      <c r="T2338">
        <v>52.132632999999998</v>
      </c>
      <c r="U2338">
        <v>5.2912660000000002</v>
      </c>
    </row>
    <row r="2339" spans="1:21">
      <c r="A2339" t="s">
        <v>133</v>
      </c>
      <c r="B2339">
        <v>2012</v>
      </c>
      <c r="C2339">
        <v>65277.332000000002</v>
      </c>
      <c r="D2339">
        <v>157470.0012</v>
      </c>
      <c r="E2339">
        <v>86.69</v>
      </c>
      <c r="F2339">
        <v>3.91</v>
      </c>
      <c r="G2339">
        <v>12.47</v>
      </c>
      <c r="H2339">
        <v>15.892111</v>
      </c>
      <c r="J2339">
        <v>4.9000000000000004</v>
      </c>
      <c r="K2339">
        <v>508</v>
      </c>
      <c r="L2339">
        <v>100</v>
      </c>
      <c r="M2339">
        <v>100</v>
      </c>
      <c r="N2339">
        <v>3.9636314000000001</v>
      </c>
      <c r="P2339">
        <v>-1.0303539909999999</v>
      </c>
      <c r="Q2339">
        <v>50073.005660000003</v>
      </c>
      <c r="R2339">
        <v>3.71</v>
      </c>
      <c r="S2339">
        <v>41543</v>
      </c>
      <c r="T2339">
        <v>52.132632999999998</v>
      </c>
      <c r="U2339">
        <v>5.2912660000000002</v>
      </c>
    </row>
    <row r="2340" spans="1:21">
      <c r="A2340" t="s">
        <v>133</v>
      </c>
      <c r="B2340">
        <v>2013</v>
      </c>
      <c r="C2340">
        <v>63014.336000000003</v>
      </c>
      <c r="D2340">
        <v>157089.9963</v>
      </c>
      <c r="E2340">
        <v>86.51</v>
      </c>
      <c r="F2340">
        <v>2.89</v>
      </c>
      <c r="G2340">
        <v>12.1</v>
      </c>
      <c r="H2340">
        <v>14.768473</v>
      </c>
      <c r="J2340">
        <v>4.9400000000000004</v>
      </c>
      <c r="K2340">
        <v>508</v>
      </c>
      <c r="L2340">
        <v>100</v>
      </c>
      <c r="M2340">
        <v>100</v>
      </c>
      <c r="N2340">
        <v>3.9457889000000002</v>
      </c>
      <c r="P2340">
        <v>-0.130175288</v>
      </c>
      <c r="Q2340">
        <v>52184.061849999998</v>
      </c>
      <c r="R2340">
        <v>3.64</v>
      </c>
      <c r="S2340">
        <v>41543</v>
      </c>
      <c r="T2340">
        <v>52.132632999999998</v>
      </c>
      <c r="U2340">
        <v>5.2912660000000002</v>
      </c>
    </row>
    <row r="2341" spans="1:21">
      <c r="A2341" t="s">
        <v>133</v>
      </c>
      <c r="B2341">
        <v>2014</v>
      </c>
      <c r="C2341">
        <v>59946.082000000002</v>
      </c>
      <c r="D2341">
        <v>149789.9933</v>
      </c>
      <c r="E2341">
        <v>87.48</v>
      </c>
      <c r="F2341">
        <v>4.09</v>
      </c>
      <c r="G2341">
        <v>11.65</v>
      </c>
      <c r="H2341">
        <v>15.248982</v>
      </c>
      <c r="J2341">
        <v>5.53</v>
      </c>
      <c r="K2341">
        <v>508</v>
      </c>
      <c r="L2341">
        <v>100</v>
      </c>
      <c r="M2341">
        <v>100</v>
      </c>
      <c r="N2341">
        <v>3.9784324</v>
      </c>
      <c r="P2341">
        <v>1.423395395</v>
      </c>
      <c r="Q2341">
        <v>52830.174229999997</v>
      </c>
      <c r="R2341">
        <v>3.38</v>
      </c>
      <c r="S2341">
        <v>41543</v>
      </c>
      <c r="T2341">
        <v>52.132632999999998</v>
      </c>
      <c r="U2341">
        <v>5.2912660000000002</v>
      </c>
    </row>
    <row r="2342" spans="1:21">
      <c r="A2342" t="s">
        <v>133</v>
      </c>
      <c r="B2342">
        <v>2015</v>
      </c>
      <c r="C2342">
        <v>60683.023000000001</v>
      </c>
      <c r="D2342">
        <v>157410.0037</v>
      </c>
      <c r="E2342">
        <v>91.03</v>
      </c>
      <c r="F2342">
        <v>4.08</v>
      </c>
      <c r="G2342">
        <v>13.69</v>
      </c>
      <c r="H2342">
        <v>16.332719999999998</v>
      </c>
      <c r="J2342">
        <v>5.72</v>
      </c>
      <c r="K2342">
        <v>508</v>
      </c>
      <c r="L2342">
        <v>100</v>
      </c>
      <c r="M2342">
        <v>100</v>
      </c>
      <c r="N2342">
        <v>4.503984</v>
      </c>
      <c r="P2342">
        <v>1.9591697210000001</v>
      </c>
      <c r="Q2342">
        <v>45175.231890000003</v>
      </c>
      <c r="R2342">
        <v>3.38</v>
      </c>
      <c r="S2342">
        <v>41543</v>
      </c>
      <c r="T2342">
        <v>52.132632999999998</v>
      </c>
      <c r="U2342">
        <v>5.2912660000000002</v>
      </c>
    </row>
    <row r="2343" spans="1:21">
      <c r="A2343" t="s">
        <v>133</v>
      </c>
      <c r="B2343">
        <v>2016</v>
      </c>
      <c r="C2343">
        <v>60943.15</v>
      </c>
      <c r="D2343">
        <v>158539.9933</v>
      </c>
      <c r="E2343">
        <v>95.09</v>
      </c>
      <c r="F2343">
        <v>3.96</v>
      </c>
      <c r="G2343">
        <v>14.78</v>
      </c>
      <c r="H2343">
        <v>16.463145999999998</v>
      </c>
      <c r="J2343">
        <v>5.59</v>
      </c>
      <c r="K2343">
        <v>508</v>
      </c>
      <c r="L2343">
        <v>100</v>
      </c>
      <c r="M2343">
        <v>100</v>
      </c>
      <c r="N2343">
        <v>4.6764109999999999</v>
      </c>
      <c r="P2343">
        <v>2.191713719</v>
      </c>
      <c r="Q2343">
        <v>46007.852919999998</v>
      </c>
      <c r="R2343">
        <v>3.38</v>
      </c>
      <c r="S2343">
        <v>41543</v>
      </c>
      <c r="T2343">
        <v>52.132632999999998</v>
      </c>
      <c r="U2343">
        <v>5.2912660000000002</v>
      </c>
    </row>
    <row r="2344" spans="1:21">
      <c r="A2344" t="s">
        <v>133</v>
      </c>
      <c r="B2344">
        <v>2017</v>
      </c>
      <c r="C2344">
        <v>61101.004000000001</v>
      </c>
      <c r="D2344">
        <v>155759.9945</v>
      </c>
      <c r="E2344">
        <v>94.81</v>
      </c>
      <c r="F2344">
        <v>3.4</v>
      </c>
      <c r="G2344">
        <v>17.43</v>
      </c>
      <c r="H2344">
        <v>18.012798</v>
      </c>
      <c r="J2344">
        <v>6.36</v>
      </c>
      <c r="K2344">
        <v>508</v>
      </c>
      <c r="L2344">
        <v>100</v>
      </c>
      <c r="M2344">
        <v>100</v>
      </c>
      <c r="N2344">
        <v>5.4899817000000004</v>
      </c>
      <c r="P2344">
        <v>2.9109025129999999</v>
      </c>
      <c r="Q2344">
        <v>48554.992279999999</v>
      </c>
      <c r="R2344">
        <v>3.31</v>
      </c>
      <c r="S2344">
        <v>41543</v>
      </c>
      <c r="T2344">
        <v>52.132632999999998</v>
      </c>
      <c r="U2344">
        <v>5.2912660000000002</v>
      </c>
    </row>
    <row r="2345" spans="1:21">
      <c r="A2345" t="s">
        <v>133</v>
      </c>
      <c r="B2345">
        <v>2018</v>
      </c>
      <c r="C2345">
        <v>59348.1</v>
      </c>
      <c r="D2345">
        <v>151360.0006</v>
      </c>
      <c r="E2345">
        <v>91.26</v>
      </c>
      <c r="F2345">
        <v>3.51</v>
      </c>
      <c r="G2345">
        <v>18.91</v>
      </c>
      <c r="H2345">
        <v>19.722027000000001</v>
      </c>
      <c r="J2345">
        <v>7.39</v>
      </c>
      <c r="K2345">
        <v>508</v>
      </c>
      <c r="L2345">
        <v>100</v>
      </c>
      <c r="M2345">
        <v>100</v>
      </c>
      <c r="N2345">
        <v>5.9912679999999998</v>
      </c>
      <c r="P2345">
        <v>2.3609150950000002</v>
      </c>
      <c r="Q2345">
        <v>53018.629359999999</v>
      </c>
      <c r="R2345">
        <v>3.17</v>
      </c>
      <c r="S2345">
        <v>41543</v>
      </c>
      <c r="T2345">
        <v>52.132632999999998</v>
      </c>
      <c r="U2345">
        <v>5.2912660000000002</v>
      </c>
    </row>
    <row r="2346" spans="1:21">
      <c r="A2346" t="s">
        <v>133</v>
      </c>
      <c r="B2346">
        <v>2019</v>
      </c>
      <c r="C2346">
        <v>58836.934000000001</v>
      </c>
      <c r="D2346">
        <v>146339.9963</v>
      </c>
      <c r="E2346">
        <v>94.09</v>
      </c>
      <c r="F2346">
        <v>3.91</v>
      </c>
      <c r="G2346">
        <v>22.79</v>
      </c>
      <c r="H2346">
        <v>22.104479000000001</v>
      </c>
      <c r="J2346">
        <v>8.5399999999999991</v>
      </c>
      <c r="K2346">
        <v>508</v>
      </c>
      <c r="L2346">
        <v>100</v>
      </c>
      <c r="M2346">
        <v>100</v>
      </c>
      <c r="N2346">
        <v>7.3029875999999998</v>
      </c>
      <c r="P2346">
        <v>1.9555884160000001</v>
      </c>
      <c r="Q2346">
        <v>52476.273249999998</v>
      </c>
      <c r="R2346">
        <v>3.05</v>
      </c>
      <c r="S2346">
        <v>41543</v>
      </c>
      <c r="T2346">
        <v>52.132632999999998</v>
      </c>
      <c r="U2346">
        <v>5.2912660000000002</v>
      </c>
    </row>
    <row r="2347" spans="1:21">
      <c r="A2347" t="s">
        <v>133</v>
      </c>
      <c r="B2347">
        <v>2020</v>
      </c>
      <c r="C2347">
        <v>56705.54</v>
      </c>
      <c r="E2347">
        <v>85.95</v>
      </c>
      <c r="F2347">
        <v>4.09</v>
      </c>
      <c r="G2347">
        <v>32.75</v>
      </c>
      <c r="H2347">
        <v>30.002443</v>
      </c>
      <c r="K2347">
        <v>508</v>
      </c>
      <c r="L2347">
        <v>100</v>
      </c>
      <c r="M2347">
        <v>100</v>
      </c>
      <c r="N2347">
        <v>10.758958</v>
      </c>
      <c r="P2347">
        <v>-3.798635993</v>
      </c>
      <c r="Q2347">
        <v>52397.116710000002</v>
      </c>
      <c r="S2347">
        <v>41543</v>
      </c>
      <c r="T2347">
        <v>52.132632999999998</v>
      </c>
      <c r="U2347">
        <v>5.2912660000000002</v>
      </c>
    </row>
    <row r="2348" spans="1:21">
      <c r="A2348" t="s">
        <v>134</v>
      </c>
      <c r="B2348">
        <v>2000</v>
      </c>
      <c r="C2348">
        <v>45268.093999999997</v>
      </c>
      <c r="D2348">
        <v>2233.203</v>
      </c>
      <c r="E2348">
        <v>1.1200000000000001</v>
      </c>
      <c r="F2348">
        <v>0</v>
      </c>
      <c r="G2348">
        <v>0.45</v>
      </c>
      <c r="H2348">
        <v>28.662420000000001</v>
      </c>
      <c r="I2348">
        <v>367.99</v>
      </c>
      <c r="J2348">
        <v>7.54</v>
      </c>
      <c r="K2348">
        <v>16</v>
      </c>
      <c r="L2348">
        <v>100</v>
      </c>
      <c r="P2348">
        <v>2.1001088270000001</v>
      </c>
      <c r="Q2348">
        <v>16039.169169999999</v>
      </c>
      <c r="S2348">
        <v>19060</v>
      </c>
      <c r="T2348">
        <v>-20.904305000000001</v>
      </c>
      <c r="U2348">
        <v>165.618042</v>
      </c>
    </row>
    <row r="2349" spans="1:21">
      <c r="A2349" t="s">
        <v>134</v>
      </c>
      <c r="B2349">
        <v>2001</v>
      </c>
      <c r="C2349">
        <v>42436.5</v>
      </c>
      <c r="D2349">
        <v>1888.5050000000001</v>
      </c>
      <c r="E2349">
        <v>1.27</v>
      </c>
      <c r="F2349">
        <v>0</v>
      </c>
      <c r="G2349">
        <v>0.37</v>
      </c>
      <c r="H2349">
        <v>22.560976</v>
      </c>
      <c r="I2349">
        <v>373.41</v>
      </c>
      <c r="J2349">
        <v>6.72</v>
      </c>
      <c r="K2349">
        <v>16</v>
      </c>
      <c r="L2349">
        <v>100</v>
      </c>
      <c r="Q2349">
        <v>15174.27843</v>
      </c>
      <c r="S2349">
        <v>19060</v>
      </c>
      <c r="T2349">
        <v>-20.904305000000001</v>
      </c>
      <c r="U2349">
        <v>165.618042</v>
      </c>
    </row>
    <row r="2350" spans="1:21">
      <c r="A2350" t="s">
        <v>134</v>
      </c>
      <c r="B2350">
        <v>2002</v>
      </c>
      <c r="C2350">
        <v>45016.35</v>
      </c>
      <c r="D2350">
        <v>2405.5520000000001</v>
      </c>
      <c r="E2350">
        <v>1.34</v>
      </c>
      <c r="F2350">
        <v>0</v>
      </c>
      <c r="G2350">
        <v>0.33</v>
      </c>
      <c r="H2350">
        <v>19.760479</v>
      </c>
      <c r="I2350">
        <v>376.7</v>
      </c>
      <c r="J2350">
        <v>5.28</v>
      </c>
      <c r="K2350">
        <v>16</v>
      </c>
      <c r="L2350">
        <v>100</v>
      </c>
      <c r="Q2350">
        <v>16885.894400000001</v>
      </c>
      <c r="S2350">
        <v>19060</v>
      </c>
      <c r="T2350">
        <v>-20.904305000000001</v>
      </c>
      <c r="U2350">
        <v>165.618042</v>
      </c>
    </row>
    <row r="2351" spans="1:21">
      <c r="A2351" t="s">
        <v>134</v>
      </c>
      <c r="B2351">
        <v>2003</v>
      </c>
      <c r="C2351">
        <v>47813.31</v>
      </c>
      <c r="D2351">
        <v>2739.2489999999998</v>
      </c>
      <c r="E2351">
        <v>1.34</v>
      </c>
      <c r="F2351">
        <v>0</v>
      </c>
      <c r="G2351">
        <v>0.32</v>
      </c>
      <c r="H2351">
        <v>19.27711</v>
      </c>
      <c r="I2351">
        <v>390.71</v>
      </c>
      <c r="J2351">
        <v>4.93</v>
      </c>
      <c r="K2351">
        <v>16</v>
      </c>
      <c r="L2351">
        <v>100</v>
      </c>
      <c r="Q2351">
        <v>21817.31511</v>
      </c>
      <c r="S2351">
        <v>19060</v>
      </c>
      <c r="T2351">
        <v>-20.904305000000001</v>
      </c>
      <c r="U2351">
        <v>165.618042</v>
      </c>
    </row>
    <row r="2352" spans="1:21">
      <c r="A2352" t="s">
        <v>134</v>
      </c>
      <c r="B2352">
        <v>2004</v>
      </c>
      <c r="C2352">
        <v>45600.542999999998</v>
      </c>
      <c r="D2352">
        <v>2530.23</v>
      </c>
      <c r="E2352">
        <v>1.26</v>
      </c>
      <c r="F2352">
        <v>0</v>
      </c>
      <c r="G2352">
        <v>0.33</v>
      </c>
      <c r="H2352">
        <v>20.754716999999999</v>
      </c>
      <c r="I2352">
        <v>435.5</v>
      </c>
      <c r="J2352">
        <v>5.2</v>
      </c>
      <c r="K2352">
        <v>16</v>
      </c>
      <c r="L2352">
        <v>100</v>
      </c>
      <c r="Q2352">
        <v>25770.531080000001</v>
      </c>
      <c r="S2352">
        <v>19060</v>
      </c>
      <c r="T2352">
        <v>-20.904305000000001</v>
      </c>
      <c r="U2352">
        <v>165.618042</v>
      </c>
    </row>
    <row r="2353" spans="1:21">
      <c r="A2353" t="s">
        <v>134</v>
      </c>
      <c r="B2353">
        <v>2005</v>
      </c>
      <c r="C2353">
        <v>49324.58</v>
      </c>
      <c r="D2353">
        <v>2823.59</v>
      </c>
      <c r="E2353">
        <v>1.43</v>
      </c>
      <c r="F2353">
        <v>0</v>
      </c>
      <c r="G2353">
        <v>0.36</v>
      </c>
      <c r="H2353">
        <v>20.111732</v>
      </c>
      <c r="I2353">
        <v>429.22</v>
      </c>
      <c r="J2353">
        <v>5.08</v>
      </c>
      <c r="K2353">
        <v>16</v>
      </c>
      <c r="L2353">
        <v>100</v>
      </c>
      <c r="Q2353">
        <v>26861.69844</v>
      </c>
      <c r="S2353">
        <v>19060</v>
      </c>
      <c r="T2353">
        <v>-20.904305000000001</v>
      </c>
      <c r="U2353">
        <v>165.618042</v>
      </c>
    </row>
    <row r="2354" spans="1:21">
      <c r="A2354" t="s">
        <v>134</v>
      </c>
      <c r="B2354">
        <v>2006</v>
      </c>
      <c r="C2354">
        <v>47853.824000000001</v>
      </c>
      <c r="D2354">
        <v>2720.9140000000002</v>
      </c>
      <c r="E2354">
        <v>1.46</v>
      </c>
      <c r="F2354">
        <v>0</v>
      </c>
      <c r="G2354">
        <v>0.31</v>
      </c>
      <c r="H2354">
        <v>17.514123999999999</v>
      </c>
      <c r="I2354">
        <v>445.96</v>
      </c>
      <c r="J2354">
        <v>4.5199999999999996</v>
      </c>
      <c r="K2354">
        <v>16</v>
      </c>
      <c r="L2354">
        <v>100</v>
      </c>
      <c r="Q2354">
        <v>29604.052640000002</v>
      </c>
      <c r="S2354">
        <v>19060</v>
      </c>
      <c r="T2354">
        <v>-20.904305000000001</v>
      </c>
      <c r="U2354">
        <v>165.618042</v>
      </c>
    </row>
    <row r="2355" spans="1:21">
      <c r="A2355" t="s">
        <v>134</v>
      </c>
      <c r="B2355">
        <v>2007</v>
      </c>
      <c r="C2355">
        <v>50583.902000000002</v>
      </c>
      <c r="D2355">
        <v>2944.6010000000001</v>
      </c>
      <c r="E2355">
        <v>1.41</v>
      </c>
      <c r="F2355">
        <v>0</v>
      </c>
      <c r="G2355">
        <v>0.43</v>
      </c>
      <c r="H2355">
        <v>23.369564</v>
      </c>
      <c r="I2355">
        <v>457.47</v>
      </c>
      <c r="J2355">
        <v>5.82</v>
      </c>
      <c r="K2355">
        <v>16</v>
      </c>
      <c r="L2355">
        <v>100</v>
      </c>
      <c r="Q2355">
        <v>36864.857620000002</v>
      </c>
      <c r="S2355">
        <v>19060</v>
      </c>
      <c r="T2355">
        <v>-20.904305000000001</v>
      </c>
      <c r="U2355">
        <v>165.618042</v>
      </c>
    </row>
    <row r="2356" spans="1:21">
      <c r="A2356" t="s">
        <v>134</v>
      </c>
      <c r="B2356">
        <v>2008</v>
      </c>
      <c r="C2356">
        <v>50031.6</v>
      </c>
      <c r="D2356">
        <v>2867.5940000000001</v>
      </c>
      <c r="E2356">
        <v>1.3</v>
      </c>
      <c r="F2356">
        <v>0</v>
      </c>
      <c r="G2356">
        <v>0.48</v>
      </c>
      <c r="H2356">
        <v>26.966293</v>
      </c>
      <c r="I2356">
        <v>451.23</v>
      </c>
      <c r="J2356">
        <v>7.78</v>
      </c>
      <c r="K2356">
        <v>16</v>
      </c>
      <c r="L2356">
        <v>100</v>
      </c>
      <c r="Q2356">
        <v>37353.737300000001</v>
      </c>
      <c r="S2356">
        <v>19060</v>
      </c>
      <c r="T2356">
        <v>-20.904305000000001</v>
      </c>
      <c r="U2356">
        <v>165.618042</v>
      </c>
    </row>
    <row r="2357" spans="1:21">
      <c r="A2357" t="s">
        <v>134</v>
      </c>
      <c r="B2357">
        <v>2009</v>
      </c>
      <c r="C2357">
        <v>49562.726999999999</v>
      </c>
      <c r="D2357">
        <v>2951.9349999999999</v>
      </c>
      <c r="E2357">
        <v>1.4</v>
      </c>
      <c r="F2357">
        <v>0</v>
      </c>
      <c r="G2357">
        <v>0.43</v>
      </c>
      <c r="H2357">
        <v>23.497267000000001</v>
      </c>
      <c r="I2357">
        <v>465.35</v>
      </c>
      <c r="J2357">
        <v>6.96</v>
      </c>
      <c r="K2357">
        <v>16</v>
      </c>
      <c r="L2357">
        <v>100</v>
      </c>
      <c r="Q2357">
        <v>35391.087870000003</v>
      </c>
      <c r="S2357">
        <v>19060</v>
      </c>
      <c r="T2357">
        <v>-20.904305000000001</v>
      </c>
      <c r="U2357">
        <v>165.618042</v>
      </c>
    </row>
    <row r="2358" spans="1:21">
      <c r="A2358" t="s">
        <v>134</v>
      </c>
      <c r="B2358">
        <v>2010</v>
      </c>
      <c r="C2358">
        <v>56732.92</v>
      </c>
      <c r="D2358">
        <v>3578.9920000000002</v>
      </c>
      <c r="E2358">
        <v>1.7</v>
      </c>
      <c r="F2358">
        <v>0</v>
      </c>
      <c r="G2358">
        <v>0.31</v>
      </c>
      <c r="H2358">
        <v>15.422886</v>
      </c>
      <c r="I2358">
        <v>467.31</v>
      </c>
      <c r="J2358">
        <v>4.8499999999999996</v>
      </c>
      <c r="K2358">
        <v>16</v>
      </c>
      <c r="L2358">
        <v>100</v>
      </c>
      <c r="Q2358">
        <v>37494.89516</v>
      </c>
      <c r="S2358">
        <v>19060</v>
      </c>
      <c r="T2358">
        <v>-20.904305000000001</v>
      </c>
      <c r="U2358">
        <v>165.618042</v>
      </c>
    </row>
    <row r="2359" spans="1:21">
      <c r="A2359" t="s">
        <v>134</v>
      </c>
      <c r="B2359">
        <v>2011</v>
      </c>
      <c r="C2359">
        <v>55054.582000000002</v>
      </c>
      <c r="D2359">
        <v>3560.6570000000002</v>
      </c>
      <c r="E2359">
        <v>1.73</v>
      </c>
      <c r="F2359">
        <v>0</v>
      </c>
      <c r="G2359">
        <v>0.42</v>
      </c>
      <c r="H2359">
        <v>19.534883000000001</v>
      </c>
      <c r="I2359">
        <v>464.02</v>
      </c>
      <c r="J2359">
        <v>5.93</v>
      </c>
      <c r="K2359">
        <v>16</v>
      </c>
      <c r="L2359">
        <v>100</v>
      </c>
      <c r="Q2359">
        <v>40697.65294</v>
      </c>
      <c r="S2359">
        <v>19060</v>
      </c>
      <c r="T2359">
        <v>-20.904305000000001</v>
      </c>
      <c r="U2359">
        <v>165.618042</v>
      </c>
    </row>
    <row r="2360" spans="1:21">
      <c r="A2360" t="s">
        <v>134</v>
      </c>
      <c r="B2360">
        <v>2012</v>
      </c>
      <c r="C2360">
        <v>57458.292999999998</v>
      </c>
      <c r="D2360">
        <v>3655.9989999999998</v>
      </c>
      <c r="E2360">
        <v>1.72</v>
      </c>
      <c r="F2360">
        <v>0</v>
      </c>
      <c r="G2360">
        <v>0.46</v>
      </c>
      <c r="H2360">
        <v>21.100916000000002</v>
      </c>
      <c r="I2360">
        <v>457.62</v>
      </c>
      <c r="J2360">
        <v>6.17</v>
      </c>
      <c r="K2360">
        <v>16</v>
      </c>
      <c r="L2360">
        <v>100</v>
      </c>
      <c r="Q2360">
        <v>37294.022810000002</v>
      </c>
      <c r="S2360">
        <v>19060</v>
      </c>
      <c r="T2360">
        <v>-20.904305000000001</v>
      </c>
      <c r="U2360">
        <v>165.618042</v>
      </c>
    </row>
    <row r="2361" spans="1:21">
      <c r="A2361" t="s">
        <v>134</v>
      </c>
      <c r="B2361">
        <v>2013</v>
      </c>
      <c r="C2361">
        <v>60432.472999999998</v>
      </c>
      <c r="D2361">
        <v>3861.3510000000001</v>
      </c>
      <c r="E2361">
        <v>1.87</v>
      </c>
      <c r="F2361">
        <v>0</v>
      </c>
      <c r="G2361">
        <v>0.51</v>
      </c>
      <c r="H2361">
        <v>21.428570000000001</v>
      </c>
      <c r="I2361">
        <v>451.42</v>
      </c>
      <c r="J2361">
        <v>6.56</v>
      </c>
      <c r="K2361">
        <v>16</v>
      </c>
      <c r="L2361">
        <v>100</v>
      </c>
      <c r="Q2361">
        <v>38503.253850000001</v>
      </c>
      <c r="S2361">
        <v>19060</v>
      </c>
      <c r="T2361">
        <v>-20.904305000000001</v>
      </c>
      <c r="U2361">
        <v>165.618042</v>
      </c>
    </row>
    <row r="2362" spans="1:21">
      <c r="A2362" t="s">
        <v>134</v>
      </c>
      <c r="B2362">
        <v>2014</v>
      </c>
      <c r="C2362">
        <v>68428.61</v>
      </c>
      <c r="D2362">
        <v>4888.1109999999999</v>
      </c>
      <c r="E2362">
        <v>2.5</v>
      </c>
      <c r="F2362">
        <v>0</v>
      </c>
      <c r="G2362">
        <v>0.35</v>
      </c>
      <c r="H2362">
        <v>12.280703000000001</v>
      </c>
      <c r="I2362">
        <v>446.46</v>
      </c>
      <c r="J2362">
        <v>4.29</v>
      </c>
      <c r="K2362">
        <v>16</v>
      </c>
      <c r="L2362">
        <v>100</v>
      </c>
      <c r="Q2362">
        <v>39675.566310000002</v>
      </c>
      <c r="S2362">
        <v>19060</v>
      </c>
      <c r="T2362">
        <v>-20.904305000000001</v>
      </c>
      <c r="U2362">
        <v>165.618042</v>
      </c>
    </row>
    <row r="2363" spans="1:21">
      <c r="A2363" t="s">
        <v>134</v>
      </c>
      <c r="B2363">
        <v>2015</v>
      </c>
      <c r="C2363">
        <v>69502.61</v>
      </c>
      <c r="D2363">
        <v>4752.4319999999998</v>
      </c>
      <c r="E2363">
        <v>2.34</v>
      </c>
      <c r="F2363">
        <v>0</v>
      </c>
      <c r="G2363">
        <v>0.41</v>
      </c>
      <c r="H2363">
        <v>14.909091</v>
      </c>
      <c r="I2363">
        <v>453.36</v>
      </c>
      <c r="J2363">
        <v>5.09</v>
      </c>
      <c r="K2363">
        <v>16</v>
      </c>
      <c r="L2363">
        <v>100</v>
      </c>
      <c r="Q2363">
        <v>32520.294160000001</v>
      </c>
      <c r="S2363">
        <v>19060</v>
      </c>
      <c r="T2363">
        <v>-20.904305000000001</v>
      </c>
      <c r="U2363">
        <v>165.618042</v>
      </c>
    </row>
    <row r="2364" spans="1:21">
      <c r="A2364" t="s">
        <v>134</v>
      </c>
      <c r="B2364">
        <v>2016</v>
      </c>
      <c r="C2364">
        <v>73955.19</v>
      </c>
      <c r="D2364">
        <v>5328.1509999999998</v>
      </c>
      <c r="E2364">
        <v>2.67</v>
      </c>
      <c r="F2364">
        <v>0</v>
      </c>
      <c r="G2364">
        <v>0.28999999999999998</v>
      </c>
      <c r="H2364">
        <v>9.7972975000000009</v>
      </c>
      <c r="I2364">
        <v>455.65</v>
      </c>
      <c r="J2364">
        <v>3.7</v>
      </c>
      <c r="K2364">
        <v>16</v>
      </c>
      <c r="L2364">
        <v>100</v>
      </c>
      <c r="Q2364">
        <v>32391.197219999998</v>
      </c>
      <c r="S2364">
        <v>19060</v>
      </c>
      <c r="T2364">
        <v>-20.904305000000001</v>
      </c>
      <c r="U2364">
        <v>165.618042</v>
      </c>
    </row>
    <row r="2365" spans="1:21">
      <c r="A2365" t="s">
        <v>134</v>
      </c>
      <c r="B2365">
        <v>2017</v>
      </c>
      <c r="C2365">
        <v>71473.98</v>
      </c>
      <c r="E2365">
        <v>2.62</v>
      </c>
      <c r="F2365">
        <v>0</v>
      </c>
      <c r="G2365">
        <v>0.44</v>
      </c>
      <c r="H2365">
        <v>14.379085999999999</v>
      </c>
      <c r="I2365">
        <v>513.38</v>
      </c>
      <c r="J2365">
        <v>5.08</v>
      </c>
      <c r="K2365">
        <v>16</v>
      </c>
      <c r="L2365">
        <v>100</v>
      </c>
      <c r="O2365">
        <v>4270000</v>
      </c>
      <c r="Q2365">
        <v>33976.555549999997</v>
      </c>
      <c r="S2365">
        <v>19060</v>
      </c>
      <c r="T2365">
        <v>-20.904305000000001</v>
      </c>
      <c r="U2365">
        <v>165.618042</v>
      </c>
    </row>
    <row r="2366" spans="1:21">
      <c r="A2366" t="s">
        <v>134</v>
      </c>
      <c r="B2366">
        <v>2018</v>
      </c>
      <c r="C2366">
        <v>79704.05</v>
      </c>
      <c r="E2366">
        <v>2.58</v>
      </c>
      <c r="F2366">
        <v>0</v>
      </c>
      <c r="G2366">
        <v>0.42</v>
      </c>
      <c r="H2366">
        <v>14</v>
      </c>
      <c r="I2366">
        <v>516.77</v>
      </c>
      <c r="J2366">
        <v>4.7699999999999996</v>
      </c>
      <c r="K2366">
        <v>16</v>
      </c>
      <c r="L2366">
        <v>100</v>
      </c>
      <c r="Q2366">
        <v>36382.487659999999</v>
      </c>
      <c r="S2366">
        <v>19060</v>
      </c>
      <c r="T2366">
        <v>-20.904305000000001</v>
      </c>
      <c r="U2366">
        <v>165.618042</v>
      </c>
    </row>
    <row r="2367" spans="1:21">
      <c r="A2367" t="s">
        <v>134</v>
      </c>
      <c r="B2367">
        <v>2019</v>
      </c>
      <c r="C2367">
        <v>79064.88</v>
      </c>
      <c r="E2367">
        <v>2.6</v>
      </c>
      <c r="F2367">
        <v>0</v>
      </c>
      <c r="G2367">
        <v>0.54</v>
      </c>
      <c r="H2367">
        <v>17.197452999999999</v>
      </c>
      <c r="I2367">
        <v>629.12</v>
      </c>
      <c r="J2367">
        <v>5.4</v>
      </c>
      <c r="K2367">
        <v>16</v>
      </c>
      <c r="L2367">
        <v>100</v>
      </c>
      <c r="Q2367">
        <v>34788.529280000002</v>
      </c>
      <c r="S2367">
        <v>19060</v>
      </c>
      <c r="T2367">
        <v>-20.904305000000001</v>
      </c>
      <c r="U2367">
        <v>165.618042</v>
      </c>
    </row>
    <row r="2368" spans="1:21">
      <c r="A2368" t="s">
        <v>134</v>
      </c>
      <c r="B2368">
        <v>2020</v>
      </c>
      <c r="C2368">
        <v>74262.350000000006</v>
      </c>
      <c r="E2368">
        <v>2.73</v>
      </c>
      <c r="F2368">
        <v>0</v>
      </c>
      <c r="G2368">
        <v>0.42</v>
      </c>
      <c r="H2368">
        <v>13.333333</v>
      </c>
      <c r="I2368">
        <v>697.36</v>
      </c>
      <c r="K2368">
        <v>16</v>
      </c>
      <c r="L2368">
        <v>100</v>
      </c>
      <c r="S2368">
        <v>19060</v>
      </c>
      <c r="T2368">
        <v>-20.904305000000001</v>
      </c>
      <c r="U2368">
        <v>165.618042</v>
      </c>
    </row>
    <row r="2369" spans="1:21">
      <c r="A2369" t="s">
        <v>135</v>
      </c>
      <c r="B2369">
        <v>2000</v>
      </c>
      <c r="C2369">
        <v>59543.81</v>
      </c>
      <c r="D2369">
        <v>29450</v>
      </c>
      <c r="E2369">
        <v>10.69</v>
      </c>
      <c r="F2369">
        <v>0</v>
      </c>
      <c r="G2369">
        <v>27.51</v>
      </c>
      <c r="H2369">
        <v>72.015709999999999</v>
      </c>
      <c r="J2369">
        <v>29.13</v>
      </c>
      <c r="K2369">
        <v>18</v>
      </c>
      <c r="L2369">
        <v>100</v>
      </c>
      <c r="M2369">
        <v>100</v>
      </c>
      <c r="N2369">
        <v>36.374214000000002</v>
      </c>
      <c r="P2369">
        <v>2.9050229879999998</v>
      </c>
      <c r="Q2369">
        <v>13641.102720000001</v>
      </c>
      <c r="R2369">
        <v>5.66</v>
      </c>
      <c r="S2369">
        <v>268838</v>
      </c>
      <c r="T2369">
        <v>-40.900556999999999</v>
      </c>
      <c r="U2369">
        <v>174.88597100000001</v>
      </c>
    </row>
    <row r="2370" spans="1:21">
      <c r="A2370" t="s">
        <v>135</v>
      </c>
      <c r="B2370">
        <v>2001</v>
      </c>
      <c r="C2370">
        <v>58485.120000000003</v>
      </c>
      <c r="D2370">
        <v>31620</v>
      </c>
      <c r="E2370">
        <v>13.51</v>
      </c>
      <c r="F2370">
        <v>0</v>
      </c>
      <c r="G2370">
        <v>24.84</v>
      </c>
      <c r="H2370">
        <v>64.771839999999997</v>
      </c>
      <c r="J2370">
        <v>27.13</v>
      </c>
      <c r="K2370">
        <v>18</v>
      </c>
      <c r="L2370">
        <v>100</v>
      </c>
      <c r="M2370">
        <v>100</v>
      </c>
      <c r="N2370">
        <v>32.730766000000003</v>
      </c>
      <c r="P2370">
        <v>3.4648466619999998</v>
      </c>
      <c r="Q2370">
        <v>13882.856830000001</v>
      </c>
      <c r="R2370">
        <v>5.48</v>
      </c>
      <c r="S2370">
        <v>268838</v>
      </c>
      <c r="T2370">
        <v>-40.900556999999999</v>
      </c>
      <c r="U2370">
        <v>174.88597100000001</v>
      </c>
    </row>
    <row r="2371" spans="1:21">
      <c r="A2371" t="s">
        <v>135</v>
      </c>
      <c r="B2371">
        <v>2002</v>
      </c>
      <c r="C2371">
        <v>59589.08</v>
      </c>
      <c r="D2371">
        <v>31540.000919999999</v>
      </c>
      <c r="E2371">
        <v>11.39</v>
      </c>
      <c r="F2371">
        <v>0</v>
      </c>
      <c r="G2371">
        <v>28.07</v>
      </c>
      <c r="H2371">
        <v>71.135329999999996</v>
      </c>
      <c r="J2371">
        <v>28.98</v>
      </c>
      <c r="K2371">
        <v>18</v>
      </c>
      <c r="L2371">
        <v>100</v>
      </c>
      <c r="M2371">
        <v>100</v>
      </c>
      <c r="N2371">
        <v>35.126747000000002</v>
      </c>
      <c r="P2371">
        <v>4.6744018330000001</v>
      </c>
      <c r="Q2371">
        <v>16874.18749</v>
      </c>
      <c r="R2371">
        <v>5.23</v>
      </c>
      <c r="S2371">
        <v>268838</v>
      </c>
      <c r="T2371">
        <v>-40.900556999999999</v>
      </c>
      <c r="U2371">
        <v>174.88597100000001</v>
      </c>
    </row>
    <row r="2372" spans="1:21">
      <c r="A2372" t="s">
        <v>135</v>
      </c>
      <c r="B2372">
        <v>2003</v>
      </c>
      <c r="C2372">
        <v>56734.85</v>
      </c>
      <c r="D2372">
        <v>33400.001530000001</v>
      </c>
      <c r="E2372">
        <v>12.62</v>
      </c>
      <c r="F2372">
        <v>0</v>
      </c>
      <c r="G2372">
        <v>26.9</v>
      </c>
      <c r="H2372">
        <v>68.066800000000001</v>
      </c>
      <c r="J2372">
        <v>28.35</v>
      </c>
      <c r="K2372">
        <v>18</v>
      </c>
      <c r="L2372">
        <v>100</v>
      </c>
      <c r="M2372">
        <v>100</v>
      </c>
      <c r="N2372">
        <v>34.357146999999998</v>
      </c>
      <c r="P2372">
        <v>4.5498020099999996</v>
      </c>
      <c r="Q2372">
        <v>21913.708170000002</v>
      </c>
      <c r="R2372">
        <v>4.9400000000000004</v>
      </c>
      <c r="S2372">
        <v>268838</v>
      </c>
      <c r="T2372">
        <v>-40.900556999999999</v>
      </c>
      <c r="U2372">
        <v>174.88597100000001</v>
      </c>
    </row>
    <row r="2373" spans="1:21">
      <c r="A2373" t="s">
        <v>135</v>
      </c>
      <c r="B2373">
        <v>2004</v>
      </c>
      <c r="C2373">
        <v>57499.695</v>
      </c>
      <c r="D2373">
        <v>32840.00015</v>
      </c>
      <c r="E2373">
        <v>10.91</v>
      </c>
      <c r="F2373">
        <v>0</v>
      </c>
      <c r="G2373">
        <v>30.61</v>
      </c>
      <c r="H2373">
        <v>73.723500000000001</v>
      </c>
      <c r="J2373">
        <v>30.76</v>
      </c>
      <c r="K2373">
        <v>18</v>
      </c>
      <c r="L2373">
        <v>100</v>
      </c>
      <c r="M2373">
        <v>100</v>
      </c>
      <c r="N2373">
        <v>37.794468000000002</v>
      </c>
      <c r="P2373">
        <v>4.0281394349999999</v>
      </c>
      <c r="Q2373">
        <v>25420.23488</v>
      </c>
      <c r="R2373">
        <v>4.87</v>
      </c>
      <c r="S2373">
        <v>268838</v>
      </c>
      <c r="T2373">
        <v>-40.900556999999999</v>
      </c>
      <c r="U2373">
        <v>174.88597100000001</v>
      </c>
    </row>
    <row r="2374" spans="1:21">
      <c r="A2374" t="s">
        <v>135</v>
      </c>
      <c r="B2374">
        <v>2005</v>
      </c>
      <c r="C2374">
        <v>55352.245999999999</v>
      </c>
      <c r="D2374">
        <v>34229.999539999997</v>
      </c>
      <c r="E2374">
        <v>13.93</v>
      </c>
      <c r="F2374">
        <v>0</v>
      </c>
      <c r="G2374">
        <v>27.6</v>
      </c>
      <c r="H2374">
        <v>66.457984999999994</v>
      </c>
      <c r="J2374">
        <v>29.46</v>
      </c>
      <c r="K2374">
        <v>18</v>
      </c>
      <c r="L2374">
        <v>100</v>
      </c>
      <c r="M2374">
        <v>100</v>
      </c>
      <c r="N2374">
        <v>34.682921999999998</v>
      </c>
      <c r="P2374">
        <v>3.3211441129999999</v>
      </c>
      <c r="Q2374">
        <v>27751.065470000001</v>
      </c>
      <c r="R2374">
        <v>4.5999999999999996</v>
      </c>
      <c r="S2374">
        <v>268838</v>
      </c>
      <c r="T2374">
        <v>-40.900556999999999</v>
      </c>
      <c r="U2374">
        <v>174.88597100000001</v>
      </c>
    </row>
    <row r="2375" spans="1:21">
      <c r="A2375" t="s">
        <v>135</v>
      </c>
      <c r="B2375">
        <v>2006</v>
      </c>
      <c r="C2375">
        <v>55087.375</v>
      </c>
      <c r="D2375">
        <v>34270.000460000003</v>
      </c>
      <c r="E2375">
        <v>13.99</v>
      </c>
      <c r="F2375">
        <v>0</v>
      </c>
      <c r="G2375">
        <v>28.08</v>
      </c>
      <c r="H2375">
        <v>66.745900000000006</v>
      </c>
      <c r="J2375">
        <v>29.59</v>
      </c>
      <c r="K2375">
        <v>18</v>
      </c>
      <c r="L2375">
        <v>100</v>
      </c>
      <c r="M2375">
        <v>100</v>
      </c>
      <c r="N2375">
        <v>34.811123000000002</v>
      </c>
      <c r="P2375">
        <v>2.880937844</v>
      </c>
      <c r="Q2375">
        <v>26654.593199999999</v>
      </c>
      <c r="R2375">
        <v>4.47</v>
      </c>
      <c r="S2375">
        <v>268838</v>
      </c>
      <c r="T2375">
        <v>-40.900556999999999</v>
      </c>
      <c r="U2375">
        <v>174.88597100000001</v>
      </c>
    </row>
    <row r="2376" spans="1:21">
      <c r="A2376" t="s">
        <v>135</v>
      </c>
      <c r="B2376">
        <v>2007</v>
      </c>
      <c r="C2376">
        <v>54356.55</v>
      </c>
      <c r="D2376">
        <v>33270.000460000003</v>
      </c>
      <c r="E2376">
        <v>13.95</v>
      </c>
      <c r="F2376">
        <v>0</v>
      </c>
      <c r="G2376">
        <v>28.46</v>
      </c>
      <c r="H2376">
        <v>67.106809999999996</v>
      </c>
      <c r="J2376">
        <v>29.35</v>
      </c>
      <c r="K2376">
        <v>18</v>
      </c>
      <c r="L2376">
        <v>100</v>
      </c>
      <c r="M2376">
        <v>100</v>
      </c>
      <c r="N2376">
        <v>35.406635000000001</v>
      </c>
      <c r="P2376">
        <v>3.0275105550000001</v>
      </c>
      <c r="Q2376">
        <v>32479.981739999999</v>
      </c>
      <c r="R2376">
        <v>4.3899999999999997</v>
      </c>
      <c r="S2376">
        <v>268838</v>
      </c>
      <c r="T2376">
        <v>-40.900556999999999</v>
      </c>
      <c r="U2376">
        <v>174.88597100000001</v>
      </c>
    </row>
    <row r="2377" spans="1:21">
      <c r="A2377" t="s">
        <v>135</v>
      </c>
      <c r="B2377">
        <v>2008</v>
      </c>
      <c r="C2377">
        <v>54010.57</v>
      </c>
      <c r="D2377">
        <v>34169.998169999999</v>
      </c>
      <c r="E2377">
        <v>14.42</v>
      </c>
      <c r="F2377">
        <v>0</v>
      </c>
      <c r="G2377">
        <v>27.97</v>
      </c>
      <c r="H2377">
        <v>65.982544000000004</v>
      </c>
      <c r="J2377">
        <v>28.39</v>
      </c>
      <c r="K2377">
        <v>18</v>
      </c>
      <c r="L2377">
        <v>100</v>
      </c>
      <c r="M2377">
        <v>100</v>
      </c>
      <c r="N2377">
        <v>34.397457000000003</v>
      </c>
      <c r="P2377">
        <v>-1.1150413239999999</v>
      </c>
      <c r="Q2377">
        <v>31252.96256</v>
      </c>
      <c r="R2377">
        <v>4.49</v>
      </c>
      <c r="S2377">
        <v>268838</v>
      </c>
      <c r="T2377">
        <v>-40.900556999999999</v>
      </c>
      <c r="U2377">
        <v>174.88597100000001</v>
      </c>
    </row>
    <row r="2378" spans="1:21">
      <c r="A2378" t="s">
        <v>135</v>
      </c>
      <c r="B2378">
        <v>2009</v>
      </c>
      <c r="C2378">
        <v>53337.417999999998</v>
      </c>
      <c r="D2378">
        <v>31170.000080000002</v>
      </c>
      <c r="E2378">
        <v>11.49</v>
      </c>
      <c r="F2378">
        <v>0</v>
      </c>
      <c r="G2378">
        <v>30.68</v>
      </c>
      <c r="H2378">
        <v>72.753140000000002</v>
      </c>
      <c r="J2378">
        <v>30.56</v>
      </c>
      <c r="K2378">
        <v>18</v>
      </c>
      <c r="L2378">
        <v>100</v>
      </c>
      <c r="M2378">
        <v>100</v>
      </c>
      <c r="N2378">
        <v>37.898605000000003</v>
      </c>
      <c r="P2378">
        <v>-0.13516993099999999</v>
      </c>
      <c r="Q2378">
        <v>28209.36233</v>
      </c>
      <c r="R2378">
        <v>4.5199999999999996</v>
      </c>
      <c r="S2378">
        <v>268838</v>
      </c>
      <c r="T2378">
        <v>-40.900556999999999</v>
      </c>
      <c r="U2378">
        <v>174.88597100000001</v>
      </c>
    </row>
    <row r="2379" spans="1:21">
      <c r="A2379" t="s">
        <v>135</v>
      </c>
      <c r="B2379">
        <v>2010</v>
      </c>
      <c r="C2379">
        <v>54097.279999999999</v>
      </c>
      <c r="D2379">
        <v>31049.999240000001</v>
      </c>
      <c r="E2379">
        <v>11.27</v>
      </c>
      <c r="F2379">
        <v>0</v>
      </c>
      <c r="G2379">
        <v>32.299999999999997</v>
      </c>
      <c r="H2379">
        <v>74.133574999999993</v>
      </c>
      <c r="J2379">
        <v>31.68</v>
      </c>
      <c r="K2379">
        <v>18</v>
      </c>
      <c r="L2379">
        <v>100</v>
      </c>
      <c r="M2379">
        <v>100</v>
      </c>
      <c r="N2379">
        <v>38.817486000000002</v>
      </c>
      <c r="P2379">
        <v>1.5279941349999999</v>
      </c>
      <c r="Q2379">
        <v>33676.774120000002</v>
      </c>
      <c r="R2379">
        <v>4.62</v>
      </c>
      <c r="S2379">
        <v>268838</v>
      </c>
      <c r="T2379">
        <v>-40.900556999999999</v>
      </c>
      <c r="U2379">
        <v>174.88597100000001</v>
      </c>
    </row>
    <row r="2380" spans="1:21">
      <c r="A2380" t="s">
        <v>135</v>
      </c>
      <c r="B2380">
        <v>2011</v>
      </c>
      <c r="C2380">
        <v>53886.934000000001</v>
      </c>
      <c r="D2380">
        <v>30290.000919999999</v>
      </c>
      <c r="E2380">
        <v>10.07</v>
      </c>
      <c r="F2380">
        <v>0</v>
      </c>
      <c r="G2380">
        <v>33.18</v>
      </c>
      <c r="H2380">
        <v>76.716769999999997</v>
      </c>
      <c r="J2380">
        <v>32.65</v>
      </c>
      <c r="K2380">
        <v>18</v>
      </c>
      <c r="L2380">
        <v>100</v>
      </c>
      <c r="M2380">
        <v>100</v>
      </c>
      <c r="N2380">
        <v>39.533886000000003</v>
      </c>
      <c r="P2380">
        <v>2.2567369209999999</v>
      </c>
      <c r="Q2380">
        <v>38387.627079999998</v>
      </c>
      <c r="R2380">
        <v>4.51</v>
      </c>
      <c r="S2380">
        <v>268838</v>
      </c>
      <c r="T2380">
        <v>-40.900556999999999</v>
      </c>
      <c r="U2380">
        <v>174.88597100000001</v>
      </c>
    </row>
    <row r="2381" spans="1:21">
      <c r="A2381" t="s">
        <v>135</v>
      </c>
      <c r="B2381">
        <v>2012</v>
      </c>
      <c r="C2381">
        <v>53929.51</v>
      </c>
      <c r="D2381">
        <v>32110.000609999999</v>
      </c>
      <c r="E2381">
        <v>11.74</v>
      </c>
      <c r="F2381">
        <v>0</v>
      </c>
      <c r="G2381">
        <v>31.4</v>
      </c>
      <c r="H2381">
        <v>72.786280000000005</v>
      </c>
      <c r="J2381">
        <v>31.02</v>
      </c>
      <c r="K2381">
        <v>18</v>
      </c>
      <c r="L2381">
        <v>100</v>
      </c>
      <c r="M2381">
        <v>100</v>
      </c>
      <c r="N2381">
        <v>36.914870000000001</v>
      </c>
      <c r="P2381">
        <v>2.24064087</v>
      </c>
      <c r="Q2381">
        <v>39973.38076</v>
      </c>
      <c r="R2381">
        <v>4.63</v>
      </c>
      <c r="S2381">
        <v>268838</v>
      </c>
      <c r="T2381">
        <v>-40.900556999999999</v>
      </c>
      <c r="U2381">
        <v>174.88597100000001</v>
      </c>
    </row>
    <row r="2382" spans="1:21">
      <c r="A2382" t="s">
        <v>135</v>
      </c>
      <c r="B2382">
        <v>2013</v>
      </c>
      <c r="C2382">
        <v>53825.684000000001</v>
      </c>
      <c r="D2382">
        <v>31889.999390000001</v>
      </c>
      <c r="E2382">
        <v>10.55</v>
      </c>
      <c r="F2382">
        <v>0</v>
      </c>
      <c r="G2382">
        <v>31.82</v>
      </c>
      <c r="H2382">
        <v>75.100309999999993</v>
      </c>
      <c r="J2382">
        <v>30.36</v>
      </c>
      <c r="K2382">
        <v>18</v>
      </c>
      <c r="L2382">
        <v>100</v>
      </c>
      <c r="M2382">
        <v>100</v>
      </c>
      <c r="N2382">
        <v>36.921745000000001</v>
      </c>
      <c r="P2382">
        <v>2.6957838590000001</v>
      </c>
      <c r="Q2382">
        <v>42976.649590000001</v>
      </c>
      <c r="R2382">
        <v>4.55</v>
      </c>
      <c r="S2382">
        <v>268838</v>
      </c>
      <c r="T2382">
        <v>-40.900556999999999</v>
      </c>
      <c r="U2382">
        <v>174.88597100000001</v>
      </c>
    </row>
    <row r="2383" spans="1:21">
      <c r="A2383" t="s">
        <v>135</v>
      </c>
      <c r="B2383">
        <v>2014</v>
      </c>
      <c r="C2383">
        <v>55530.688000000002</v>
      </c>
      <c r="D2383">
        <v>31969.999309999999</v>
      </c>
      <c r="E2383">
        <v>8.66</v>
      </c>
      <c r="F2383">
        <v>0</v>
      </c>
      <c r="G2383">
        <v>34</v>
      </c>
      <c r="H2383">
        <v>79.699950000000001</v>
      </c>
      <c r="J2383">
        <v>31.09</v>
      </c>
      <c r="K2383">
        <v>18</v>
      </c>
      <c r="L2383">
        <v>100</v>
      </c>
      <c r="M2383">
        <v>100</v>
      </c>
      <c r="N2383">
        <v>37.536892000000002</v>
      </c>
      <c r="P2383">
        <v>3.813831016</v>
      </c>
      <c r="Q2383">
        <v>44572.89875</v>
      </c>
      <c r="R2383">
        <v>4.6100000000000003</v>
      </c>
      <c r="S2383">
        <v>268838</v>
      </c>
      <c r="T2383">
        <v>-40.900556999999999</v>
      </c>
      <c r="U2383">
        <v>174.88597100000001</v>
      </c>
    </row>
    <row r="2384" spans="1:21">
      <c r="A2384" t="s">
        <v>135</v>
      </c>
      <c r="B2384">
        <v>2015</v>
      </c>
      <c r="C2384">
        <v>54939.43</v>
      </c>
      <c r="D2384">
        <v>32279.998780000002</v>
      </c>
      <c r="E2384">
        <v>8.42</v>
      </c>
      <c r="F2384">
        <v>0</v>
      </c>
      <c r="G2384">
        <v>34.92</v>
      </c>
      <c r="H2384">
        <v>80.572209999999998</v>
      </c>
      <c r="J2384">
        <v>31.24</v>
      </c>
      <c r="K2384">
        <v>18</v>
      </c>
      <c r="L2384">
        <v>100</v>
      </c>
      <c r="M2384">
        <v>100</v>
      </c>
      <c r="N2384">
        <v>38.129432999999999</v>
      </c>
      <c r="P2384">
        <v>3.707375818</v>
      </c>
      <c r="Q2384">
        <v>38630.726589999998</v>
      </c>
      <c r="R2384">
        <v>4.49</v>
      </c>
      <c r="S2384">
        <v>268838</v>
      </c>
      <c r="T2384">
        <v>-40.900556999999999</v>
      </c>
      <c r="U2384">
        <v>174.88597100000001</v>
      </c>
    </row>
    <row r="2385" spans="1:21">
      <c r="A2385" t="s">
        <v>135</v>
      </c>
      <c r="B2385">
        <v>2016</v>
      </c>
      <c r="C2385">
        <v>54612.46</v>
      </c>
      <c r="D2385">
        <v>31190.000530000001</v>
      </c>
      <c r="E2385">
        <v>6.73</v>
      </c>
      <c r="F2385">
        <v>0</v>
      </c>
      <c r="G2385">
        <v>36.200000000000003</v>
      </c>
      <c r="H2385">
        <v>84.323319999999995</v>
      </c>
      <c r="J2385">
        <v>31.83</v>
      </c>
      <c r="K2385">
        <v>18</v>
      </c>
      <c r="L2385">
        <v>100</v>
      </c>
      <c r="M2385">
        <v>100</v>
      </c>
      <c r="N2385">
        <v>38.990870000000001</v>
      </c>
      <c r="P2385">
        <v>3.7300798930000001</v>
      </c>
      <c r="Q2385">
        <v>40080.49411</v>
      </c>
      <c r="R2385">
        <v>4.2699999999999996</v>
      </c>
      <c r="S2385">
        <v>268838</v>
      </c>
      <c r="T2385">
        <v>-40.900556999999999</v>
      </c>
      <c r="U2385">
        <v>174.88597100000001</v>
      </c>
    </row>
    <row r="2386" spans="1:21">
      <c r="A2386" t="s">
        <v>135</v>
      </c>
      <c r="B2386">
        <v>2017</v>
      </c>
      <c r="C2386">
        <v>54745.46</v>
      </c>
      <c r="D2386">
        <v>32930.000310000003</v>
      </c>
      <c r="E2386">
        <v>7.98</v>
      </c>
      <c r="F2386">
        <v>0</v>
      </c>
      <c r="G2386">
        <v>35.33</v>
      </c>
      <c r="H2386">
        <v>81.574700000000007</v>
      </c>
      <c r="J2386">
        <v>30.22</v>
      </c>
      <c r="K2386">
        <v>18</v>
      </c>
      <c r="L2386">
        <v>100</v>
      </c>
      <c r="M2386">
        <v>100</v>
      </c>
      <c r="N2386">
        <v>37.082999999999998</v>
      </c>
      <c r="P2386">
        <v>3.6132815530000002</v>
      </c>
      <c r="Q2386">
        <v>42992.895270000001</v>
      </c>
      <c r="R2386">
        <v>4.13</v>
      </c>
      <c r="S2386">
        <v>268838</v>
      </c>
      <c r="T2386">
        <v>-40.900556999999999</v>
      </c>
      <c r="U2386">
        <v>174.88597100000001</v>
      </c>
    </row>
    <row r="2387" spans="1:21">
      <c r="A2387" t="s">
        <v>135</v>
      </c>
      <c r="B2387">
        <v>2018</v>
      </c>
      <c r="C2387">
        <v>53424.1</v>
      </c>
      <c r="D2387">
        <v>32360.000609999999</v>
      </c>
      <c r="E2387">
        <v>7.13</v>
      </c>
      <c r="F2387">
        <v>0</v>
      </c>
      <c r="G2387">
        <v>36.299999999999997</v>
      </c>
      <c r="H2387">
        <v>83.58278</v>
      </c>
      <c r="J2387">
        <v>30.73</v>
      </c>
      <c r="K2387">
        <v>18</v>
      </c>
      <c r="L2387">
        <v>100</v>
      </c>
      <c r="M2387">
        <v>100</v>
      </c>
      <c r="N2387">
        <v>38.162261999999998</v>
      </c>
      <c r="P2387">
        <v>3.2057478800000001</v>
      </c>
      <c r="Q2387">
        <v>43306.07</v>
      </c>
      <c r="R2387">
        <v>3.93</v>
      </c>
      <c r="S2387">
        <v>268838</v>
      </c>
      <c r="T2387">
        <v>-40.900556999999999</v>
      </c>
      <c r="U2387">
        <v>174.88597100000001</v>
      </c>
    </row>
    <row r="2388" spans="1:21">
      <c r="A2388" t="s">
        <v>135</v>
      </c>
      <c r="B2388">
        <v>2019</v>
      </c>
      <c r="C2388">
        <v>53259.336000000003</v>
      </c>
      <c r="D2388">
        <v>34009.998319999999</v>
      </c>
      <c r="E2388">
        <v>7.84</v>
      </c>
      <c r="F2388">
        <v>0</v>
      </c>
      <c r="G2388">
        <v>35.97</v>
      </c>
      <c r="H2388">
        <v>82.10454</v>
      </c>
      <c r="J2388">
        <v>29.65</v>
      </c>
      <c r="K2388">
        <v>18</v>
      </c>
      <c r="L2388">
        <v>100</v>
      </c>
      <c r="M2388">
        <v>100</v>
      </c>
      <c r="N2388">
        <v>36.76238</v>
      </c>
      <c r="P2388">
        <v>1.633932613</v>
      </c>
      <c r="Q2388">
        <v>42755.216260000001</v>
      </c>
      <c r="R2388">
        <v>4.0199999999999996</v>
      </c>
      <c r="S2388">
        <v>268838</v>
      </c>
      <c r="T2388">
        <v>-40.900556999999999</v>
      </c>
      <c r="U2388">
        <v>174.88597100000001</v>
      </c>
    </row>
    <row r="2389" spans="1:21">
      <c r="A2389" t="s">
        <v>135</v>
      </c>
      <c r="B2389">
        <v>2020</v>
      </c>
      <c r="C2389">
        <v>47384.516000000003</v>
      </c>
      <c r="E2389">
        <v>8.42</v>
      </c>
      <c r="F2389">
        <v>0</v>
      </c>
      <c r="G2389">
        <v>34.770000000000003</v>
      </c>
      <c r="H2389">
        <v>80.504745</v>
      </c>
      <c r="K2389">
        <v>18</v>
      </c>
      <c r="L2389">
        <v>100</v>
      </c>
      <c r="M2389">
        <v>100</v>
      </c>
      <c r="N2389">
        <v>39.064182000000002</v>
      </c>
      <c r="P2389">
        <v>1.8628515329999999</v>
      </c>
      <c r="Q2389">
        <v>41441.466670000002</v>
      </c>
      <c r="S2389">
        <v>268838</v>
      </c>
      <c r="T2389">
        <v>-40.900556999999999</v>
      </c>
      <c r="U2389">
        <v>174.88597100000001</v>
      </c>
    </row>
    <row r="2390" spans="1:21">
      <c r="A2390" t="s">
        <v>136</v>
      </c>
      <c r="B2390">
        <v>2000</v>
      </c>
      <c r="C2390">
        <v>3180.8793999999998</v>
      </c>
      <c r="D2390">
        <v>3770</v>
      </c>
      <c r="E2390">
        <v>1.69</v>
      </c>
      <c r="F2390">
        <v>0</v>
      </c>
      <c r="G2390">
        <v>0.44</v>
      </c>
      <c r="H2390">
        <v>20.657276</v>
      </c>
      <c r="I2390">
        <v>30.18</v>
      </c>
      <c r="J2390">
        <v>58.42</v>
      </c>
      <c r="K2390">
        <v>55</v>
      </c>
      <c r="L2390">
        <v>72.781570000000002</v>
      </c>
      <c r="M2390">
        <v>33.9</v>
      </c>
      <c r="O2390">
        <v>30000</v>
      </c>
      <c r="P2390">
        <v>4.1015902510000002</v>
      </c>
      <c r="Q2390">
        <v>1007.499839</v>
      </c>
      <c r="R2390">
        <v>5.23</v>
      </c>
      <c r="S2390">
        <v>130370</v>
      </c>
      <c r="T2390">
        <v>12.865416</v>
      </c>
      <c r="U2390">
        <v>-85.207228999999998</v>
      </c>
    </row>
    <row r="2391" spans="1:21">
      <c r="A2391" t="s">
        <v>136</v>
      </c>
      <c r="B2391">
        <v>2001</v>
      </c>
      <c r="C2391">
        <v>3331.2754</v>
      </c>
      <c r="D2391">
        <v>3930</v>
      </c>
      <c r="E2391">
        <v>1.87</v>
      </c>
      <c r="F2391">
        <v>0</v>
      </c>
      <c r="G2391">
        <v>0.46</v>
      </c>
      <c r="H2391">
        <v>19.74249</v>
      </c>
      <c r="I2391">
        <v>28.73</v>
      </c>
      <c r="J2391">
        <v>56.66</v>
      </c>
      <c r="K2391">
        <v>55</v>
      </c>
      <c r="L2391">
        <v>72.221580000000003</v>
      </c>
      <c r="M2391">
        <v>35</v>
      </c>
      <c r="O2391">
        <v>20000</v>
      </c>
      <c r="P2391">
        <v>2.9608434909999999</v>
      </c>
      <c r="Q2391">
        <v>1034.551387</v>
      </c>
      <c r="R2391">
        <v>5.13</v>
      </c>
      <c r="S2391">
        <v>130370</v>
      </c>
      <c r="T2391">
        <v>12.865416</v>
      </c>
      <c r="U2391">
        <v>-85.207228999999998</v>
      </c>
    </row>
    <row r="2392" spans="1:21">
      <c r="A2392" t="s">
        <v>136</v>
      </c>
      <c r="B2392">
        <v>2002</v>
      </c>
      <c r="C2392">
        <v>3352.5956999999999</v>
      </c>
      <c r="D2392">
        <v>4059.9999429999998</v>
      </c>
      <c r="E2392">
        <v>2.0099999999999998</v>
      </c>
      <c r="F2392">
        <v>0</v>
      </c>
      <c r="G2392">
        <v>0.69</v>
      </c>
      <c r="H2392">
        <v>25.555554999999998</v>
      </c>
      <c r="I2392">
        <v>42.71</v>
      </c>
      <c r="J2392">
        <v>54.67</v>
      </c>
      <c r="K2392">
        <v>55</v>
      </c>
      <c r="L2392">
        <v>73.858289999999997</v>
      </c>
      <c r="M2392">
        <v>36</v>
      </c>
      <c r="O2392">
        <v>680000</v>
      </c>
      <c r="P2392">
        <v>0.75393887599999998</v>
      </c>
      <c r="Q2392">
        <v>1000.936715</v>
      </c>
      <c r="R2392">
        <v>5.09</v>
      </c>
      <c r="S2392">
        <v>130370</v>
      </c>
      <c r="T2392">
        <v>12.865416</v>
      </c>
      <c r="U2392">
        <v>-85.207228999999998</v>
      </c>
    </row>
    <row r="2393" spans="1:21">
      <c r="A2393" t="s">
        <v>136</v>
      </c>
      <c r="B2393">
        <v>2003</v>
      </c>
      <c r="C2393">
        <v>3514.2737000000002</v>
      </c>
      <c r="D2393">
        <v>4559.9999429999998</v>
      </c>
      <c r="E2393">
        <v>1.78</v>
      </c>
      <c r="F2393">
        <v>0</v>
      </c>
      <c r="G2393">
        <v>0.82</v>
      </c>
      <c r="H2393">
        <v>31.538464000000001</v>
      </c>
      <c r="I2393">
        <v>46.75</v>
      </c>
      <c r="J2393">
        <v>51.49</v>
      </c>
      <c r="K2393">
        <v>55</v>
      </c>
      <c r="L2393">
        <v>74.387630000000001</v>
      </c>
      <c r="M2393">
        <v>37</v>
      </c>
      <c r="O2393">
        <v>15280000</v>
      </c>
      <c r="P2393">
        <v>2.5207328960000002</v>
      </c>
      <c r="Q2393">
        <v>1005.7330439999999</v>
      </c>
      <c r="R2393">
        <v>5.15</v>
      </c>
      <c r="S2393">
        <v>130370</v>
      </c>
      <c r="T2393">
        <v>12.865416</v>
      </c>
      <c r="U2393">
        <v>-85.207228999999998</v>
      </c>
    </row>
    <row r="2394" spans="1:21">
      <c r="A2394" t="s">
        <v>136</v>
      </c>
      <c r="B2394">
        <v>2004</v>
      </c>
      <c r="C2394">
        <v>3614.3872000000001</v>
      </c>
      <c r="D2394">
        <v>4530.0002100000002</v>
      </c>
      <c r="E2394">
        <v>1.67</v>
      </c>
      <c r="F2394">
        <v>0</v>
      </c>
      <c r="G2394">
        <v>1.02</v>
      </c>
      <c r="H2394">
        <v>37.918216999999999</v>
      </c>
      <c r="I2394">
        <v>56.67</v>
      </c>
      <c r="J2394">
        <v>51.17</v>
      </c>
      <c r="K2394">
        <v>55</v>
      </c>
      <c r="L2394">
        <v>74.914079999999998</v>
      </c>
      <c r="M2394">
        <v>38.200000000000003</v>
      </c>
      <c r="O2394">
        <v>180000</v>
      </c>
      <c r="P2394">
        <v>5.3121705700000001</v>
      </c>
      <c r="Q2394">
        <v>1080.269119</v>
      </c>
      <c r="R2394">
        <v>5.16</v>
      </c>
      <c r="S2394">
        <v>130370</v>
      </c>
      <c r="T2394">
        <v>12.865416</v>
      </c>
      <c r="U2394">
        <v>-85.207228999999998</v>
      </c>
    </row>
    <row r="2395" spans="1:21">
      <c r="A2395" t="s">
        <v>136</v>
      </c>
      <c r="B2395">
        <v>2005</v>
      </c>
      <c r="C2395">
        <v>3627.2177999999999</v>
      </c>
      <c r="D2395">
        <v>4340.000153</v>
      </c>
      <c r="E2395">
        <v>1.82</v>
      </c>
      <c r="F2395">
        <v>0</v>
      </c>
      <c r="G2395">
        <v>1.19</v>
      </c>
      <c r="H2395">
        <v>39.534885000000003</v>
      </c>
      <c r="I2395">
        <v>57.72</v>
      </c>
      <c r="J2395">
        <v>52.76</v>
      </c>
      <c r="K2395">
        <v>55</v>
      </c>
      <c r="L2395">
        <v>73.821815000000001</v>
      </c>
      <c r="M2395">
        <v>39.1</v>
      </c>
      <c r="O2395">
        <v>40000</v>
      </c>
      <c r="P2395">
        <v>4.2823983380000001</v>
      </c>
      <c r="Q2395">
        <v>1162.289685</v>
      </c>
      <c r="R2395">
        <v>5.03</v>
      </c>
      <c r="S2395">
        <v>130370</v>
      </c>
      <c r="T2395">
        <v>12.865416</v>
      </c>
      <c r="U2395">
        <v>-85.207228999999998</v>
      </c>
    </row>
    <row r="2396" spans="1:21">
      <c r="A2396" t="s">
        <v>136</v>
      </c>
      <c r="B2396">
        <v>2006</v>
      </c>
      <c r="C2396">
        <v>3595.2570000000001</v>
      </c>
      <c r="D2396">
        <v>4550.0001910000001</v>
      </c>
      <c r="E2396">
        <v>1.95</v>
      </c>
      <c r="F2396">
        <v>0</v>
      </c>
      <c r="G2396">
        <v>1.1499999999999999</v>
      </c>
      <c r="H2396">
        <v>37.096775000000001</v>
      </c>
      <c r="I2396">
        <v>56.94</v>
      </c>
      <c r="J2396">
        <v>53.29</v>
      </c>
      <c r="K2396">
        <v>55</v>
      </c>
      <c r="L2396">
        <v>75.967770000000002</v>
      </c>
      <c r="M2396">
        <v>40.200000000000003</v>
      </c>
      <c r="O2396">
        <v>50000</v>
      </c>
      <c r="P2396">
        <v>4.1531995879999997</v>
      </c>
      <c r="Q2396">
        <v>1226.644309</v>
      </c>
      <c r="R2396">
        <v>5</v>
      </c>
      <c r="S2396">
        <v>130370</v>
      </c>
      <c r="T2396">
        <v>12.865416</v>
      </c>
      <c r="U2396">
        <v>-85.207228999999998</v>
      </c>
    </row>
    <row r="2397" spans="1:21">
      <c r="A2397" t="s">
        <v>136</v>
      </c>
      <c r="B2397">
        <v>2007</v>
      </c>
      <c r="C2397">
        <v>3692.5571</v>
      </c>
      <c r="D2397">
        <v>4699.9998089999999</v>
      </c>
      <c r="E2397">
        <v>1.93</v>
      </c>
      <c r="F2397">
        <v>0</v>
      </c>
      <c r="G2397">
        <v>0.99</v>
      </c>
      <c r="H2397">
        <v>33.904110000000003</v>
      </c>
      <c r="I2397">
        <v>56.28</v>
      </c>
      <c r="J2397">
        <v>52.61</v>
      </c>
      <c r="K2397">
        <v>55</v>
      </c>
      <c r="L2397">
        <v>76.500079999999997</v>
      </c>
      <c r="M2397">
        <v>41.2</v>
      </c>
      <c r="O2397">
        <v>100000</v>
      </c>
      <c r="P2397">
        <v>5.0766589809999996</v>
      </c>
      <c r="Q2397">
        <v>1327.966782</v>
      </c>
      <c r="R2397">
        <v>4.84</v>
      </c>
      <c r="S2397">
        <v>130370</v>
      </c>
      <c r="T2397">
        <v>12.865416</v>
      </c>
      <c r="U2397">
        <v>-85.207228999999998</v>
      </c>
    </row>
    <row r="2398" spans="1:21">
      <c r="A2398" t="s">
        <v>136</v>
      </c>
      <c r="B2398">
        <v>2008</v>
      </c>
      <c r="C2398">
        <v>3683.9101999999998</v>
      </c>
      <c r="D2398">
        <v>4500</v>
      </c>
      <c r="E2398">
        <v>1.96</v>
      </c>
      <c r="F2398">
        <v>0</v>
      </c>
      <c r="G2398">
        <v>1.26</v>
      </c>
      <c r="H2398">
        <v>39.130436000000003</v>
      </c>
      <c r="I2398">
        <v>55.51</v>
      </c>
      <c r="J2398">
        <v>53.77</v>
      </c>
      <c r="K2398">
        <v>55</v>
      </c>
      <c r="L2398">
        <v>77.039609999999996</v>
      </c>
      <c r="M2398">
        <v>42.5</v>
      </c>
      <c r="O2398">
        <v>1930000</v>
      </c>
      <c r="P2398">
        <v>3.4347446559999999</v>
      </c>
      <c r="Q2398">
        <v>1499.2576200000001</v>
      </c>
      <c r="R2398">
        <v>4.6900000000000004</v>
      </c>
      <c r="S2398">
        <v>130370</v>
      </c>
      <c r="T2398">
        <v>12.865416</v>
      </c>
      <c r="U2398">
        <v>-85.207228999999998</v>
      </c>
    </row>
    <row r="2399" spans="1:21">
      <c r="A2399" t="s">
        <v>136</v>
      </c>
      <c r="B2399">
        <v>2009</v>
      </c>
      <c r="C2399">
        <v>3631.8910000000001</v>
      </c>
      <c r="D2399">
        <v>4389.9998660000001</v>
      </c>
      <c r="E2399">
        <v>2.39</v>
      </c>
      <c r="F2399">
        <v>0</v>
      </c>
      <c r="G2399">
        <v>1.1599999999999999</v>
      </c>
      <c r="H2399">
        <v>32.676056000000003</v>
      </c>
      <c r="I2399">
        <v>61.7</v>
      </c>
      <c r="J2399">
        <v>54.56</v>
      </c>
      <c r="K2399">
        <v>55</v>
      </c>
      <c r="L2399">
        <v>77.916309999999996</v>
      </c>
      <c r="M2399">
        <v>43.4</v>
      </c>
      <c r="O2399">
        <v>8980000</v>
      </c>
      <c r="P2399">
        <v>-3.2928151130000001</v>
      </c>
      <c r="Q2399">
        <v>1444.36951</v>
      </c>
      <c r="R2399">
        <v>4.82</v>
      </c>
      <c r="S2399">
        <v>130370</v>
      </c>
      <c r="T2399">
        <v>12.865416</v>
      </c>
      <c r="U2399">
        <v>-85.207228999999998</v>
      </c>
    </row>
    <row r="2400" spans="1:21">
      <c r="A2400" t="s">
        <v>136</v>
      </c>
      <c r="B2400">
        <v>2010</v>
      </c>
      <c r="C2400">
        <v>3699.9202</v>
      </c>
      <c r="D2400">
        <v>4510.0002290000002</v>
      </c>
      <c r="E2400">
        <v>2.17</v>
      </c>
      <c r="F2400">
        <v>0</v>
      </c>
      <c r="G2400">
        <v>1.34</v>
      </c>
      <c r="H2400">
        <v>38.176639999999999</v>
      </c>
      <c r="I2400">
        <v>64.83</v>
      </c>
      <c r="J2400">
        <v>54.44</v>
      </c>
      <c r="K2400">
        <v>55</v>
      </c>
      <c r="L2400">
        <v>78.151214999999993</v>
      </c>
      <c r="M2400">
        <v>44.7</v>
      </c>
      <c r="O2400">
        <v>96620000</v>
      </c>
      <c r="P2400">
        <v>4.4104813979999999</v>
      </c>
      <c r="Q2400">
        <v>1503.8641909999999</v>
      </c>
      <c r="R2400">
        <v>4.7300000000000004</v>
      </c>
      <c r="S2400">
        <v>130370</v>
      </c>
      <c r="T2400">
        <v>12.865416</v>
      </c>
      <c r="U2400">
        <v>-85.207228999999998</v>
      </c>
    </row>
    <row r="2401" spans="1:21">
      <c r="A2401" t="s">
        <v>136</v>
      </c>
      <c r="B2401">
        <v>2011</v>
      </c>
      <c r="C2401">
        <v>3835.2746999999999</v>
      </c>
      <c r="D2401">
        <v>4769.9999809999999</v>
      </c>
      <c r="E2401">
        <v>2.35</v>
      </c>
      <c r="F2401">
        <v>0</v>
      </c>
      <c r="G2401">
        <v>1.31</v>
      </c>
      <c r="H2401">
        <v>35.792349999999999</v>
      </c>
      <c r="I2401">
        <v>63.97</v>
      </c>
      <c r="J2401">
        <v>53.3</v>
      </c>
      <c r="K2401">
        <v>55</v>
      </c>
      <c r="L2401">
        <v>78.728700000000003</v>
      </c>
      <c r="M2401">
        <v>46</v>
      </c>
      <c r="O2401">
        <v>16970000</v>
      </c>
      <c r="P2401">
        <v>6.3167096059999999</v>
      </c>
      <c r="Q2401">
        <v>1655.802946</v>
      </c>
      <c r="R2401">
        <v>4.53</v>
      </c>
      <c r="S2401">
        <v>130370</v>
      </c>
      <c r="T2401">
        <v>12.865416</v>
      </c>
      <c r="U2401">
        <v>-85.207228999999998</v>
      </c>
    </row>
    <row r="2402" spans="1:21">
      <c r="A2402" t="s">
        <v>136</v>
      </c>
      <c r="B2402">
        <v>2012</v>
      </c>
      <c r="C2402">
        <v>3815.5432000000001</v>
      </c>
      <c r="D2402">
        <v>4690.0000570000002</v>
      </c>
      <c r="E2402">
        <v>2.2200000000000002</v>
      </c>
      <c r="F2402">
        <v>0</v>
      </c>
      <c r="G2402">
        <v>1.67</v>
      </c>
      <c r="H2402">
        <v>42.930590000000002</v>
      </c>
      <c r="I2402">
        <v>91.87</v>
      </c>
      <c r="J2402">
        <v>53.27</v>
      </c>
      <c r="K2402">
        <v>55</v>
      </c>
      <c r="L2402">
        <v>79.639160000000004</v>
      </c>
      <c r="M2402">
        <v>47.2</v>
      </c>
      <c r="O2402">
        <v>72210000</v>
      </c>
      <c r="P2402">
        <v>6.496026079</v>
      </c>
      <c r="Q2402">
        <v>1760.4603079999999</v>
      </c>
      <c r="R2402">
        <v>4.6100000000000003</v>
      </c>
      <c r="S2402">
        <v>130370</v>
      </c>
      <c r="T2402">
        <v>12.865416</v>
      </c>
      <c r="U2402">
        <v>-85.207228999999998</v>
      </c>
    </row>
    <row r="2403" spans="1:21">
      <c r="A2403" t="s">
        <v>136</v>
      </c>
      <c r="B2403">
        <v>2013</v>
      </c>
      <c r="C2403">
        <v>3991.6354999999999</v>
      </c>
      <c r="D2403">
        <v>4469.9997899999998</v>
      </c>
      <c r="E2403">
        <v>1.99</v>
      </c>
      <c r="F2403">
        <v>0</v>
      </c>
      <c r="G2403">
        <v>2.0499999999999998</v>
      </c>
      <c r="H2403">
        <v>50.742576999999997</v>
      </c>
      <c r="I2403">
        <v>91.76</v>
      </c>
      <c r="J2403">
        <v>54.28</v>
      </c>
      <c r="K2403">
        <v>55</v>
      </c>
      <c r="L2403">
        <v>80.823440000000005</v>
      </c>
      <c r="M2403">
        <v>48.2</v>
      </c>
      <c r="O2403">
        <v>14660000</v>
      </c>
      <c r="P2403">
        <v>4.9268256340000001</v>
      </c>
      <c r="Q2403">
        <v>1811.6368030000001</v>
      </c>
      <c r="R2403">
        <v>4.53</v>
      </c>
      <c r="S2403">
        <v>130370</v>
      </c>
      <c r="T2403">
        <v>12.865416</v>
      </c>
      <c r="U2403">
        <v>-85.207228999999998</v>
      </c>
    </row>
    <row r="2404" spans="1:21">
      <c r="A2404" t="s">
        <v>136</v>
      </c>
      <c r="B2404">
        <v>2014</v>
      </c>
      <c r="C2404">
        <v>4173.7992999999997</v>
      </c>
      <c r="D2404">
        <v>4760.0002290000002</v>
      </c>
      <c r="E2404">
        <v>2.0699999999999998</v>
      </c>
      <c r="F2404">
        <v>0</v>
      </c>
      <c r="G2404">
        <v>2.2799999999999998</v>
      </c>
      <c r="H2404">
        <v>52.413795</v>
      </c>
      <c r="I2404">
        <v>97.01</v>
      </c>
      <c r="J2404">
        <v>53.02</v>
      </c>
      <c r="K2404">
        <v>55</v>
      </c>
      <c r="L2404">
        <v>81.853070000000002</v>
      </c>
      <c r="M2404">
        <v>49.3</v>
      </c>
      <c r="O2404">
        <v>51690000</v>
      </c>
      <c r="P2404">
        <v>4.785847059</v>
      </c>
      <c r="Q2404">
        <v>1934.0629220000001</v>
      </c>
      <c r="R2404">
        <v>4.46</v>
      </c>
      <c r="S2404">
        <v>130370</v>
      </c>
      <c r="T2404">
        <v>12.865416</v>
      </c>
      <c r="U2404">
        <v>-85.207228999999998</v>
      </c>
    </row>
    <row r="2405" spans="1:21">
      <c r="A2405" t="s">
        <v>136</v>
      </c>
      <c r="B2405">
        <v>2015</v>
      </c>
      <c r="C2405">
        <v>4501.8909999999996</v>
      </c>
      <c r="D2405">
        <v>5269.9999809999999</v>
      </c>
      <c r="E2405">
        <v>2.2000000000000002</v>
      </c>
      <c r="F2405">
        <v>0</v>
      </c>
      <c r="G2405">
        <v>2.2400000000000002</v>
      </c>
      <c r="H2405">
        <v>50.450449999999996</v>
      </c>
      <c r="I2405">
        <v>98.56</v>
      </c>
      <c r="J2405">
        <v>50</v>
      </c>
      <c r="K2405">
        <v>55</v>
      </c>
      <c r="L2405">
        <v>83.24933</v>
      </c>
      <c r="M2405">
        <v>50.5</v>
      </c>
      <c r="O2405">
        <v>67430000</v>
      </c>
      <c r="P2405">
        <v>4.7920862819999996</v>
      </c>
      <c r="Q2405">
        <v>2049.851666</v>
      </c>
      <c r="R2405">
        <v>4.5</v>
      </c>
      <c r="S2405">
        <v>130370</v>
      </c>
      <c r="T2405">
        <v>12.865416</v>
      </c>
      <c r="U2405">
        <v>-85.207228999999998</v>
      </c>
    </row>
    <row r="2406" spans="1:21">
      <c r="A2406" t="s">
        <v>136</v>
      </c>
      <c r="B2406">
        <v>2016</v>
      </c>
      <c r="C2406">
        <v>4451.6530000000002</v>
      </c>
      <c r="D2406">
        <v>5380.0001140000004</v>
      </c>
      <c r="E2406">
        <v>2.09</v>
      </c>
      <c r="F2406">
        <v>0</v>
      </c>
      <c r="G2406">
        <v>2.38</v>
      </c>
      <c r="H2406">
        <v>53.243855000000003</v>
      </c>
      <c r="I2406">
        <v>104.88</v>
      </c>
      <c r="J2406">
        <v>49.54</v>
      </c>
      <c r="K2406">
        <v>55</v>
      </c>
      <c r="L2406">
        <v>84.640113999999997</v>
      </c>
      <c r="M2406">
        <v>51.7</v>
      </c>
      <c r="O2406">
        <v>178280000</v>
      </c>
      <c r="P2406">
        <v>4.5629544290000004</v>
      </c>
      <c r="Q2406">
        <v>2107.5740599999999</v>
      </c>
      <c r="R2406">
        <v>4.46</v>
      </c>
      <c r="S2406">
        <v>130370</v>
      </c>
      <c r="T2406">
        <v>12.865416</v>
      </c>
      <c r="U2406">
        <v>-85.207228999999998</v>
      </c>
    </row>
    <row r="2407" spans="1:21">
      <c r="A2407" t="s">
        <v>136</v>
      </c>
      <c r="B2407">
        <v>2017</v>
      </c>
      <c r="C2407">
        <v>4376.1777000000002</v>
      </c>
      <c r="D2407">
        <v>5480.0000190000001</v>
      </c>
      <c r="E2407">
        <v>2.08</v>
      </c>
      <c r="F2407">
        <v>0</v>
      </c>
      <c r="G2407">
        <v>2.2999999999999998</v>
      </c>
      <c r="H2407">
        <v>52.511414000000002</v>
      </c>
      <c r="I2407">
        <v>105.52</v>
      </c>
      <c r="J2407">
        <v>48.91</v>
      </c>
      <c r="K2407">
        <v>55</v>
      </c>
      <c r="L2407">
        <v>85.989840000000001</v>
      </c>
      <c r="M2407">
        <v>52.85</v>
      </c>
      <c r="O2407">
        <v>65850000</v>
      </c>
      <c r="P2407">
        <v>4.6325339809999999</v>
      </c>
      <c r="Q2407">
        <v>2159.1567140000002</v>
      </c>
      <c r="R2407">
        <v>4.3600000000000003</v>
      </c>
      <c r="S2407">
        <v>130370</v>
      </c>
      <c r="T2407">
        <v>12.865416</v>
      </c>
      <c r="U2407">
        <v>-85.207228999999998</v>
      </c>
    </row>
    <row r="2408" spans="1:21">
      <c r="A2408" t="s">
        <v>136</v>
      </c>
      <c r="B2408">
        <v>2018</v>
      </c>
      <c r="C2408">
        <v>4282.3869999999997</v>
      </c>
      <c r="D2408">
        <v>5110.0001339999999</v>
      </c>
      <c r="E2408">
        <v>2.0499999999999998</v>
      </c>
      <c r="F2408">
        <v>0</v>
      </c>
      <c r="G2408">
        <v>2.48</v>
      </c>
      <c r="H2408">
        <v>54.746136</v>
      </c>
      <c r="I2408">
        <v>104.2</v>
      </c>
      <c r="J2408">
        <v>51.44</v>
      </c>
      <c r="K2408">
        <v>55</v>
      </c>
      <c r="L2408">
        <v>87.116680000000002</v>
      </c>
      <c r="M2408">
        <v>53.8</v>
      </c>
      <c r="O2408">
        <v>19750000</v>
      </c>
      <c r="P2408">
        <v>-3.3636876459999998</v>
      </c>
      <c r="Q2408">
        <v>2014.5751889999999</v>
      </c>
      <c r="R2408">
        <v>4.46</v>
      </c>
      <c r="S2408">
        <v>130370</v>
      </c>
      <c r="T2408">
        <v>12.865416</v>
      </c>
      <c r="U2408">
        <v>-85.207228999999998</v>
      </c>
    </row>
    <row r="2409" spans="1:21">
      <c r="A2409" t="s">
        <v>136</v>
      </c>
      <c r="B2409">
        <v>2019</v>
      </c>
      <c r="C2409">
        <v>4225.4364999999998</v>
      </c>
      <c r="D2409">
        <v>5239.9997709999998</v>
      </c>
      <c r="E2409">
        <v>2.17</v>
      </c>
      <c r="F2409">
        <v>0</v>
      </c>
      <c r="G2409">
        <v>2.31</v>
      </c>
      <c r="H2409">
        <v>51.5625</v>
      </c>
      <c r="I2409">
        <v>111.74</v>
      </c>
      <c r="J2409">
        <v>50.71</v>
      </c>
      <c r="K2409">
        <v>55</v>
      </c>
      <c r="L2409">
        <v>88.058329999999998</v>
      </c>
      <c r="M2409">
        <v>55.1</v>
      </c>
      <c r="O2409">
        <v>7660000</v>
      </c>
      <c r="P2409">
        <v>-3.6747945780000002</v>
      </c>
      <c r="Q2409">
        <v>1926.6996939999999</v>
      </c>
      <c r="R2409">
        <v>4.68</v>
      </c>
      <c r="S2409">
        <v>130370</v>
      </c>
      <c r="T2409">
        <v>12.865416</v>
      </c>
      <c r="U2409">
        <v>-85.207228999999998</v>
      </c>
    </row>
    <row r="2410" spans="1:21">
      <c r="A2410" t="s">
        <v>136</v>
      </c>
      <c r="B2410">
        <v>2020</v>
      </c>
      <c r="C2410">
        <v>4237.6769999999997</v>
      </c>
      <c r="E2410">
        <v>2</v>
      </c>
      <c r="F2410">
        <v>0</v>
      </c>
      <c r="G2410">
        <v>2.42</v>
      </c>
      <c r="H2410">
        <v>54.751130000000003</v>
      </c>
      <c r="I2410">
        <v>110.41</v>
      </c>
      <c r="K2410">
        <v>55</v>
      </c>
      <c r="L2410">
        <v>88.907380000000003</v>
      </c>
      <c r="M2410">
        <v>56.2</v>
      </c>
      <c r="P2410">
        <v>-1.977329393</v>
      </c>
      <c r="Q2410">
        <v>1905.261152</v>
      </c>
      <c r="S2410">
        <v>130370</v>
      </c>
      <c r="T2410">
        <v>12.865416</v>
      </c>
      <c r="U2410">
        <v>-85.207228999999998</v>
      </c>
    </row>
    <row r="2411" spans="1:21">
      <c r="A2411" t="s">
        <v>137</v>
      </c>
      <c r="B2411">
        <v>2000</v>
      </c>
      <c r="C2411">
        <v>285.42957000000001</v>
      </c>
      <c r="D2411">
        <v>670</v>
      </c>
      <c r="E2411">
        <v>0.18</v>
      </c>
      <c r="F2411">
        <v>0</v>
      </c>
      <c r="G2411">
        <v>0</v>
      </c>
      <c r="H2411">
        <v>0</v>
      </c>
      <c r="I2411">
        <v>0.04</v>
      </c>
      <c r="J2411">
        <v>87.62</v>
      </c>
      <c r="K2411">
        <v>19</v>
      </c>
      <c r="L2411">
        <v>6.4814816000000004</v>
      </c>
      <c r="M2411">
        <v>0.9</v>
      </c>
      <c r="O2411">
        <v>190000</v>
      </c>
      <c r="P2411">
        <v>-1.208477743</v>
      </c>
      <c r="Q2411">
        <v>197.83268340000001</v>
      </c>
      <c r="R2411">
        <v>5.83</v>
      </c>
      <c r="S2411">
        <v>1267000</v>
      </c>
      <c r="T2411">
        <v>17.607789</v>
      </c>
      <c r="U2411">
        <v>8.0816660000000002</v>
      </c>
    </row>
    <row r="2412" spans="1:21">
      <c r="A2412" t="s">
        <v>137</v>
      </c>
      <c r="B2412">
        <v>2001</v>
      </c>
      <c r="C2412">
        <v>270.00186000000002</v>
      </c>
      <c r="D2412">
        <v>670</v>
      </c>
      <c r="E2412">
        <v>0.16</v>
      </c>
      <c r="F2412">
        <v>0</v>
      </c>
      <c r="G2412">
        <v>0</v>
      </c>
      <c r="H2412">
        <v>0</v>
      </c>
      <c r="I2412">
        <v>0.05</v>
      </c>
      <c r="J2412">
        <v>87.7</v>
      </c>
      <c r="K2412">
        <v>19</v>
      </c>
      <c r="L2412">
        <v>8.3619409999999998</v>
      </c>
      <c r="M2412">
        <v>1</v>
      </c>
      <c r="O2412">
        <v>3500000</v>
      </c>
      <c r="P2412">
        <v>7.268134903</v>
      </c>
      <c r="Q2412">
        <v>208.37705990000001</v>
      </c>
      <c r="R2412">
        <v>5.59</v>
      </c>
      <c r="S2412">
        <v>1267000</v>
      </c>
      <c r="T2412">
        <v>17.607789</v>
      </c>
      <c r="U2412">
        <v>8.0816660000000002</v>
      </c>
    </row>
    <row r="2413" spans="1:21">
      <c r="A2413" t="s">
        <v>137</v>
      </c>
      <c r="B2413">
        <v>2002</v>
      </c>
      <c r="C2413">
        <v>277.3297</v>
      </c>
      <c r="D2413">
        <v>699.9999881</v>
      </c>
      <c r="E2413">
        <v>0.17</v>
      </c>
      <c r="F2413">
        <v>0</v>
      </c>
      <c r="G2413">
        <v>0</v>
      </c>
      <c r="H2413">
        <v>0</v>
      </c>
      <c r="I2413">
        <v>0.05</v>
      </c>
      <c r="J2413">
        <v>87.74</v>
      </c>
      <c r="K2413">
        <v>19</v>
      </c>
      <c r="L2413">
        <v>8.8589479999999998</v>
      </c>
      <c r="M2413">
        <v>1</v>
      </c>
      <c r="O2413">
        <v>1410000</v>
      </c>
      <c r="P2413">
        <v>4.918470578</v>
      </c>
      <c r="Q2413">
        <v>228.23590859999999</v>
      </c>
      <c r="R2413">
        <v>5.53</v>
      </c>
      <c r="S2413">
        <v>1267000</v>
      </c>
      <c r="T2413">
        <v>17.607789</v>
      </c>
      <c r="U2413">
        <v>8.0816660000000002</v>
      </c>
    </row>
    <row r="2414" spans="1:21">
      <c r="A2414" t="s">
        <v>137</v>
      </c>
      <c r="B2414">
        <v>2003</v>
      </c>
      <c r="C2414">
        <v>294.45269999999999</v>
      </c>
      <c r="D2414">
        <v>759.99999049999997</v>
      </c>
      <c r="E2414">
        <v>0.18</v>
      </c>
      <c r="F2414">
        <v>0</v>
      </c>
      <c r="G2414">
        <v>0</v>
      </c>
      <c r="H2414">
        <v>0</v>
      </c>
      <c r="I2414">
        <v>0.05</v>
      </c>
      <c r="J2414">
        <v>86.97</v>
      </c>
      <c r="K2414">
        <v>19</v>
      </c>
      <c r="L2414">
        <v>9.3507189999999998</v>
      </c>
      <c r="M2414">
        <v>1</v>
      </c>
      <c r="P2414">
        <v>2.1706103809999999</v>
      </c>
      <c r="Q2414">
        <v>268.34989300000001</v>
      </c>
      <c r="R2414">
        <v>5.65</v>
      </c>
      <c r="S2414">
        <v>1267000</v>
      </c>
      <c r="T2414">
        <v>17.607789</v>
      </c>
      <c r="U2414">
        <v>8.0816660000000002</v>
      </c>
    </row>
    <row r="2415" spans="1:21">
      <c r="A2415" t="s">
        <v>137</v>
      </c>
      <c r="B2415">
        <v>2004</v>
      </c>
      <c r="C2415">
        <v>311.80306999999999</v>
      </c>
      <c r="D2415">
        <v>790.0000215</v>
      </c>
      <c r="E2415">
        <v>0.19</v>
      </c>
      <c r="F2415">
        <v>0</v>
      </c>
      <c r="G2415">
        <v>0</v>
      </c>
      <c r="H2415">
        <v>0</v>
      </c>
      <c r="I2415">
        <v>0.06</v>
      </c>
      <c r="J2415">
        <v>86.99</v>
      </c>
      <c r="K2415">
        <v>19</v>
      </c>
      <c r="L2415">
        <v>9.8396050000000006</v>
      </c>
      <c r="M2415">
        <v>1</v>
      </c>
      <c r="P2415">
        <v>0.36380158000000001</v>
      </c>
      <c r="Q2415">
        <v>286.49006580000002</v>
      </c>
      <c r="R2415">
        <v>5.88</v>
      </c>
      <c r="S2415">
        <v>1267000</v>
      </c>
      <c r="T2415">
        <v>17.607789</v>
      </c>
      <c r="U2415">
        <v>8.0816660000000002</v>
      </c>
    </row>
    <row r="2416" spans="1:21">
      <c r="A2416" t="s">
        <v>137</v>
      </c>
      <c r="B2416">
        <v>2005</v>
      </c>
      <c r="C2416">
        <v>283.51256999999998</v>
      </c>
      <c r="D2416">
        <v>759.99999049999997</v>
      </c>
      <c r="E2416">
        <v>0.22</v>
      </c>
      <c r="F2416">
        <v>0</v>
      </c>
      <c r="G2416">
        <v>0</v>
      </c>
      <c r="H2416">
        <v>0</v>
      </c>
      <c r="I2416">
        <v>7.0000000000000007E-2</v>
      </c>
      <c r="J2416">
        <v>87.54</v>
      </c>
      <c r="K2416">
        <v>19</v>
      </c>
      <c r="L2416">
        <v>7.1</v>
      </c>
      <c r="M2416">
        <v>1</v>
      </c>
      <c r="O2416">
        <v>40000</v>
      </c>
      <c r="P2416">
        <v>7.3318688410000004</v>
      </c>
      <c r="Q2416">
        <v>321.72366119999998</v>
      </c>
      <c r="R2416">
        <v>5.54</v>
      </c>
      <c r="S2416">
        <v>1267000</v>
      </c>
      <c r="T2416">
        <v>17.607789</v>
      </c>
      <c r="U2416">
        <v>8.0816660000000002</v>
      </c>
    </row>
    <row r="2417" spans="1:21">
      <c r="A2417" t="s">
        <v>137</v>
      </c>
      <c r="B2417">
        <v>2006</v>
      </c>
      <c r="C2417">
        <v>275.11369999999999</v>
      </c>
      <c r="D2417">
        <v>750</v>
      </c>
      <c r="E2417">
        <v>0.21</v>
      </c>
      <c r="F2417">
        <v>0</v>
      </c>
      <c r="G2417">
        <v>0</v>
      </c>
      <c r="H2417">
        <v>0</v>
      </c>
      <c r="I2417">
        <v>0.08</v>
      </c>
      <c r="J2417">
        <v>87.43</v>
      </c>
      <c r="K2417">
        <v>19</v>
      </c>
      <c r="L2417">
        <v>9.3000000000000007</v>
      </c>
      <c r="M2417">
        <v>1</v>
      </c>
      <c r="O2417">
        <v>100000</v>
      </c>
      <c r="P2417">
        <v>5.9310499739999996</v>
      </c>
      <c r="Q2417">
        <v>336.28195030000001</v>
      </c>
      <c r="R2417">
        <v>5.38</v>
      </c>
      <c r="S2417">
        <v>1267000</v>
      </c>
      <c r="T2417">
        <v>17.607789</v>
      </c>
      <c r="U2417">
        <v>8.0816660000000002</v>
      </c>
    </row>
    <row r="2418" spans="1:21">
      <c r="A2418" t="s">
        <v>137</v>
      </c>
      <c r="B2418">
        <v>2007</v>
      </c>
      <c r="C2418">
        <v>285.46627999999998</v>
      </c>
      <c r="D2418">
        <v>819.99999279999997</v>
      </c>
      <c r="E2418">
        <v>0.21</v>
      </c>
      <c r="F2418">
        <v>0</v>
      </c>
      <c r="G2418">
        <v>0</v>
      </c>
      <c r="H2418">
        <v>0</v>
      </c>
      <c r="I2418">
        <v>0.08</v>
      </c>
      <c r="J2418">
        <v>86.17</v>
      </c>
      <c r="K2418">
        <v>19</v>
      </c>
      <c r="L2418">
        <v>11.312919000000001</v>
      </c>
      <c r="M2418">
        <v>1.1000000000000001</v>
      </c>
      <c r="P2418">
        <v>3.1427240840000001</v>
      </c>
      <c r="Q2418">
        <v>390.28448020000002</v>
      </c>
      <c r="R2418">
        <v>5.45</v>
      </c>
      <c r="S2418">
        <v>1267000</v>
      </c>
      <c r="T2418">
        <v>17.607789</v>
      </c>
      <c r="U2418">
        <v>8.0816660000000002</v>
      </c>
    </row>
    <row r="2419" spans="1:21">
      <c r="A2419" t="s">
        <v>137</v>
      </c>
      <c r="B2419">
        <v>2008</v>
      </c>
      <c r="C2419">
        <v>305.83825999999999</v>
      </c>
      <c r="D2419">
        <v>860.00001429999998</v>
      </c>
      <c r="E2419">
        <v>0.21</v>
      </c>
      <c r="F2419">
        <v>0</v>
      </c>
      <c r="G2419">
        <v>0</v>
      </c>
      <c r="H2419">
        <v>0</v>
      </c>
      <c r="I2419">
        <v>0.08</v>
      </c>
      <c r="J2419">
        <v>86.06</v>
      </c>
      <c r="K2419">
        <v>19</v>
      </c>
      <c r="L2419">
        <v>11.814892</v>
      </c>
      <c r="M2419">
        <v>1.1000000000000001</v>
      </c>
      <c r="O2419">
        <v>10000</v>
      </c>
      <c r="P2419">
        <v>7.7314142290000003</v>
      </c>
      <c r="Q2419">
        <v>478.50255900000002</v>
      </c>
      <c r="R2419">
        <v>5.3</v>
      </c>
      <c r="S2419">
        <v>1267000</v>
      </c>
      <c r="T2419">
        <v>17.607789</v>
      </c>
      <c r="U2419">
        <v>8.0816660000000002</v>
      </c>
    </row>
    <row r="2420" spans="1:21">
      <c r="A2420" t="s">
        <v>137</v>
      </c>
      <c r="B2420">
        <v>2009</v>
      </c>
      <c r="C2420">
        <v>346.99502999999999</v>
      </c>
      <c r="D2420">
        <v>1080.000043</v>
      </c>
      <c r="E2420">
        <v>0.24</v>
      </c>
      <c r="F2420">
        <v>0</v>
      </c>
      <c r="G2420">
        <v>0</v>
      </c>
      <c r="H2420">
        <v>0</v>
      </c>
      <c r="I2420">
        <v>0.08</v>
      </c>
      <c r="J2420">
        <v>83.25</v>
      </c>
      <c r="K2420">
        <v>19</v>
      </c>
      <c r="L2420">
        <v>12.326805999999999</v>
      </c>
      <c r="M2420">
        <v>1.1000000000000001</v>
      </c>
      <c r="P2420">
        <v>1.962600905</v>
      </c>
      <c r="Q2420">
        <v>464.057999</v>
      </c>
      <c r="R2420">
        <v>5.51</v>
      </c>
      <c r="S2420">
        <v>1267000</v>
      </c>
      <c r="T2420">
        <v>17.607789</v>
      </c>
      <c r="U2420">
        <v>8.0816660000000002</v>
      </c>
    </row>
    <row r="2421" spans="1:21">
      <c r="A2421" t="s">
        <v>137</v>
      </c>
      <c r="B2421">
        <v>2010</v>
      </c>
      <c r="C2421">
        <v>413.75497000000001</v>
      </c>
      <c r="D2421">
        <v>1370.0000050000001</v>
      </c>
      <c r="E2421">
        <v>0.27</v>
      </c>
      <c r="F2421">
        <v>0</v>
      </c>
      <c r="G2421">
        <v>0</v>
      </c>
      <c r="H2421">
        <v>0</v>
      </c>
      <c r="I2421">
        <v>0.13</v>
      </c>
      <c r="J2421">
        <v>80.67</v>
      </c>
      <c r="K2421">
        <v>19</v>
      </c>
      <c r="L2421">
        <v>13.277493</v>
      </c>
      <c r="M2421">
        <v>1.3</v>
      </c>
      <c r="P2421">
        <v>8.5781667430000006</v>
      </c>
      <c r="Q2421">
        <v>476.86953219999998</v>
      </c>
      <c r="R2421">
        <v>5.47</v>
      </c>
      <c r="S2421">
        <v>1267000</v>
      </c>
      <c r="T2421">
        <v>17.607789</v>
      </c>
      <c r="U2421">
        <v>8.0816660000000002</v>
      </c>
    </row>
    <row r="2422" spans="1:21">
      <c r="A2422" t="s">
        <v>137</v>
      </c>
      <c r="B2422">
        <v>2011</v>
      </c>
      <c r="C2422">
        <v>400.05173000000002</v>
      </c>
      <c r="D2422">
        <v>1409.999967</v>
      </c>
      <c r="E2422">
        <v>0.32</v>
      </c>
      <c r="F2422">
        <v>0</v>
      </c>
      <c r="G2422">
        <v>0</v>
      </c>
      <c r="H2422">
        <v>0</v>
      </c>
      <c r="I2422">
        <v>0.17</v>
      </c>
      <c r="J2422">
        <v>77.23</v>
      </c>
      <c r="K2422">
        <v>19</v>
      </c>
      <c r="L2422">
        <v>14.3</v>
      </c>
      <c r="M2422">
        <v>1.3</v>
      </c>
      <c r="P2422">
        <v>2.3577569359999999</v>
      </c>
      <c r="Q2422">
        <v>512.59533499999998</v>
      </c>
      <c r="R2422">
        <v>4.6500000000000004</v>
      </c>
      <c r="S2422">
        <v>1267000</v>
      </c>
      <c r="T2422">
        <v>17.607789</v>
      </c>
      <c r="U2422">
        <v>8.0816660000000002</v>
      </c>
    </row>
    <row r="2423" spans="1:21">
      <c r="A2423" t="s">
        <v>137</v>
      </c>
      <c r="B2423">
        <v>2012</v>
      </c>
      <c r="C2423">
        <v>512.04660000000001</v>
      </c>
      <c r="D2423">
        <v>1889.999986</v>
      </c>
      <c r="E2423">
        <v>0.38</v>
      </c>
      <c r="F2423">
        <v>0</v>
      </c>
      <c r="G2423">
        <v>0.01</v>
      </c>
      <c r="H2423">
        <v>2.5641026</v>
      </c>
      <c r="I2423">
        <v>0.22</v>
      </c>
      <c r="J2423">
        <v>72.709999999999994</v>
      </c>
      <c r="K2423">
        <v>19</v>
      </c>
      <c r="L2423">
        <v>14.4</v>
      </c>
      <c r="M2423">
        <v>1.4</v>
      </c>
      <c r="O2423">
        <v>132260000</v>
      </c>
      <c r="P2423">
        <v>10.548944580000001</v>
      </c>
      <c r="Q2423">
        <v>529.74445809999997</v>
      </c>
      <c r="R2423">
        <v>4.96</v>
      </c>
      <c r="S2423">
        <v>1267000</v>
      </c>
      <c r="T2423">
        <v>17.607789</v>
      </c>
      <c r="U2423">
        <v>8.0816660000000002</v>
      </c>
    </row>
    <row r="2424" spans="1:21">
      <c r="A2424" t="s">
        <v>137</v>
      </c>
      <c r="B2424">
        <v>2013</v>
      </c>
      <c r="C2424">
        <v>554.46079999999995</v>
      </c>
      <c r="D2424">
        <v>1970.000029</v>
      </c>
      <c r="E2424">
        <v>0.41</v>
      </c>
      <c r="F2424">
        <v>0</v>
      </c>
      <c r="G2424">
        <v>0.01</v>
      </c>
      <c r="H2424">
        <v>2.3809524</v>
      </c>
      <c r="I2424">
        <v>0.27</v>
      </c>
      <c r="J2424">
        <v>78.7</v>
      </c>
      <c r="K2424">
        <v>19</v>
      </c>
      <c r="L2424">
        <v>15.170006000000001</v>
      </c>
      <c r="M2424">
        <v>1.5</v>
      </c>
      <c r="P2424">
        <v>5.3151306360000001</v>
      </c>
      <c r="Q2424">
        <v>552.56913899999995</v>
      </c>
      <c r="R2424">
        <v>5.9</v>
      </c>
      <c r="S2424">
        <v>1267000</v>
      </c>
      <c r="T2424">
        <v>17.607789</v>
      </c>
      <c r="U2424">
        <v>8.0816660000000002</v>
      </c>
    </row>
    <row r="2425" spans="1:21">
      <c r="A2425" t="s">
        <v>137</v>
      </c>
      <c r="B2425">
        <v>2014</v>
      </c>
      <c r="C2425">
        <v>506.64434999999997</v>
      </c>
      <c r="D2425">
        <v>2150.0000949999999</v>
      </c>
      <c r="E2425">
        <v>0.41</v>
      </c>
      <c r="F2425">
        <v>0</v>
      </c>
      <c r="G2425">
        <v>0.01</v>
      </c>
      <c r="H2425">
        <v>2.3809524</v>
      </c>
      <c r="I2425">
        <v>0.31</v>
      </c>
      <c r="J2425">
        <v>78.08</v>
      </c>
      <c r="K2425">
        <v>19</v>
      </c>
      <c r="L2425">
        <v>15.770542000000001</v>
      </c>
      <c r="M2425">
        <v>1.6</v>
      </c>
      <c r="O2425">
        <v>40990000</v>
      </c>
      <c r="P2425">
        <v>6.6421366539999998</v>
      </c>
      <c r="Q2425">
        <v>564.5967488</v>
      </c>
      <c r="R2425">
        <v>5.63</v>
      </c>
      <c r="S2425">
        <v>1267000</v>
      </c>
      <c r="T2425">
        <v>17.607789</v>
      </c>
      <c r="U2425">
        <v>8.0816660000000002</v>
      </c>
    </row>
    <row r="2426" spans="1:21">
      <c r="A2426" t="s">
        <v>137</v>
      </c>
      <c r="B2426">
        <v>2015</v>
      </c>
      <c r="C2426">
        <v>514.94916000000001</v>
      </c>
      <c r="D2426">
        <v>2109.9998949999999</v>
      </c>
      <c r="E2426">
        <v>0.5</v>
      </c>
      <c r="F2426">
        <v>0</v>
      </c>
      <c r="G2426">
        <v>0.01</v>
      </c>
      <c r="H2426">
        <v>1.9607843</v>
      </c>
      <c r="I2426">
        <v>0.35</v>
      </c>
      <c r="J2426">
        <v>78.88</v>
      </c>
      <c r="K2426">
        <v>19</v>
      </c>
      <c r="L2426">
        <v>16.600000000000001</v>
      </c>
      <c r="M2426">
        <v>1.7</v>
      </c>
      <c r="P2426">
        <v>4.3926488319999999</v>
      </c>
      <c r="Q2426">
        <v>484.15313739999999</v>
      </c>
      <c r="R2426">
        <v>5.48</v>
      </c>
      <c r="S2426">
        <v>1267000</v>
      </c>
      <c r="T2426">
        <v>17.607789</v>
      </c>
      <c r="U2426">
        <v>8.0816660000000002</v>
      </c>
    </row>
    <row r="2427" spans="1:21">
      <c r="A2427" t="s">
        <v>137</v>
      </c>
      <c r="B2427">
        <v>2016</v>
      </c>
      <c r="C2427">
        <v>462.7355</v>
      </c>
      <c r="D2427">
        <v>2109.9998949999999</v>
      </c>
      <c r="E2427">
        <v>0.49</v>
      </c>
      <c r="F2427">
        <v>0</v>
      </c>
      <c r="G2427">
        <v>0.01</v>
      </c>
      <c r="H2427">
        <v>2</v>
      </c>
      <c r="I2427">
        <v>0.38</v>
      </c>
      <c r="J2427">
        <v>80.25</v>
      </c>
      <c r="K2427">
        <v>19</v>
      </c>
      <c r="L2427">
        <v>17.271519999999999</v>
      </c>
      <c r="M2427">
        <v>1.8</v>
      </c>
      <c r="O2427">
        <v>1180000</v>
      </c>
      <c r="P2427">
        <v>5.7408931509999999</v>
      </c>
      <c r="Q2427">
        <v>500.21491129999998</v>
      </c>
      <c r="R2427">
        <v>5.33</v>
      </c>
      <c r="S2427">
        <v>1267000</v>
      </c>
      <c r="T2427">
        <v>17.607789</v>
      </c>
      <c r="U2427">
        <v>8.0816660000000002</v>
      </c>
    </row>
    <row r="2428" spans="1:21">
      <c r="A2428" t="s">
        <v>137</v>
      </c>
      <c r="B2428">
        <v>2017</v>
      </c>
      <c r="C2428">
        <v>433.12198000000001</v>
      </c>
      <c r="D2428">
        <v>1909.999967</v>
      </c>
      <c r="E2428">
        <v>0.52</v>
      </c>
      <c r="F2428">
        <v>0</v>
      </c>
      <c r="G2428">
        <v>0.01</v>
      </c>
      <c r="H2428">
        <v>1.8867925000000001</v>
      </c>
      <c r="I2428">
        <v>0.42</v>
      </c>
      <c r="J2428">
        <v>82.01</v>
      </c>
      <c r="K2428">
        <v>19</v>
      </c>
      <c r="L2428">
        <v>18.049526</v>
      </c>
      <c r="M2428">
        <v>1.9</v>
      </c>
      <c r="O2428">
        <v>82980000</v>
      </c>
      <c r="P2428">
        <v>5.0013599449999999</v>
      </c>
      <c r="Q2428">
        <v>517.7715723</v>
      </c>
      <c r="R2428">
        <v>5.13</v>
      </c>
      <c r="S2428">
        <v>1267000</v>
      </c>
      <c r="T2428">
        <v>17.607789</v>
      </c>
      <c r="U2428">
        <v>8.0816660000000002</v>
      </c>
    </row>
    <row r="2429" spans="1:21">
      <c r="A2429" t="s">
        <v>137</v>
      </c>
      <c r="B2429">
        <v>2018</v>
      </c>
      <c r="C2429">
        <v>460.16845999999998</v>
      </c>
      <c r="D2429">
        <v>1950.0000480000001</v>
      </c>
      <c r="E2429">
        <v>0.49</v>
      </c>
      <c r="F2429">
        <v>0</v>
      </c>
      <c r="G2429">
        <v>0.05</v>
      </c>
      <c r="H2429">
        <v>9.2592590000000001</v>
      </c>
      <c r="I2429">
        <v>1.21</v>
      </c>
      <c r="J2429">
        <v>82</v>
      </c>
      <c r="K2429">
        <v>19</v>
      </c>
      <c r="L2429">
        <v>17.600000000000001</v>
      </c>
      <c r="M2429">
        <v>2.1</v>
      </c>
      <c r="O2429">
        <v>46190000</v>
      </c>
      <c r="P2429">
        <v>7.2108030080000001</v>
      </c>
      <c r="Q2429">
        <v>570.72392200000002</v>
      </c>
      <c r="R2429">
        <v>5.03</v>
      </c>
      <c r="S2429">
        <v>1267000</v>
      </c>
      <c r="T2429">
        <v>17.607789</v>
      </c>
      <c r="U2429">
        <v>8.0816660000000002</v>
      </c>
    </row>
    <row r="2430" spans="1:21">
      <c r="A2430" t="s">
        <v>137</v>
      </c>
      <c r="B2430">
        <v>2019</v>
      </c>
      <c r="C2430">
        <v>468.48480000000001</v>
      </c>
      <c r="D2430">
        <v>2150.0000949999999</v>
      </c>
      <c r="E2430">
        <v>0.56000000000000005</v>
      </c>
      <c r="F2430">
        <v>0</v>
      </c>
      <c r="G2430">
        <v>0.05</v>
      </c>
      <c r="H2430">
        <v>8.1967210000000001</v>
      </c>
      <c r="I2430">
        <v>1.1599999999999999</v>
      </c>
      <c r="J2430">
        <v>80.83</v>
      </c>
      <c r="K2430">
        <v>19</v>
      </c>
      <c r="L2430">
        <v>18.974571000000001</v>
      </c>
      <c r="M2430">
        <v>2.2999999999999998</v>
      </c>
      <c r="O2430">
        <v>108900000</v>
      </c>
      <c r="P2430">
        <v>5.9413968629999996</v>
      </c>
      <c r="Q2430">
        <v>554.09938929999998</v>
      </c>
      <c r="R2430">
        <v>4.99</v>
      </c>
      <c r="S2430">
        <v>1267000</v>
      </c>
      <c r="T2430">
        <v>17.607789</v>
      </c>
      <c r="U2430">
        <v>8.0816660000000002</v>
      </c>
    </row>
    <row r="2431" spans="1:21">
      <c r="A2431" t="s">
        <v>137</v>
      </c>
      <c r="B2431">
        <v>2020</v>
      </c>
      <c r="C2431">
        <v>442.41899999999998</v>
      </c>
      <c r="E2431">
        <v>0.38</v>
      </c>
      <c r="F2431">
        <v>0</v>
      </c>
      <c r="G2431">
        <v>0.05</v>
      </c>
      <c r="H2431">
        <v>11.627907</v>
      </c>
      <c r="I2431">
        <v>1.1200000000000001</v>
      </c>
      <c r="K2431">
        <v>19</v>
      </c>
      <c r="L2431">
        <v>19.251909999999999</v>
      </c>
      <c r="M2431">
        <v>2.4</v>
      </c>
      <c r="P2431">
        <v>3.5800064030000001</v>
      </c>
      <c r="Q2431">
        <v>567.66989230000001</v>
      </c>
      <c r="S2431">
        <v>1267000</v>
      </c>
      <c r="T2431">
        <v>17.607789</v>
      </c>
      <c r="U2431">
        <v>8.0816660000000002</v>
      </c>
    </row>
    <row r="2432" spans="1:21">
      <c r="A2432" t="s">
        <v>138</v>
      </c>
      <c r="B2432">
        <v>2000</v>
      </c>
      <c r="C2432">
        <v>1827.2556</v>
      </c>
      <c r="D2432">
        <v>97220</v>
      </c>
      <c r="E2432">
        <v>8.4499999999999993</v>
      </c>
      <c r="F2432">
        <v>0</v>
      </c>
      <c r="G2432">
        <v>5.7</v>
      </c>
      <c r="H2432">
        <v>40.282690000000002</v>
      </c>
      <c r="I2432">
        <v>17.05</v>
      </c>
      <c r="J2432">
        <v>86.21</v>
      </c>
      <c r="K2432">
        <v>226</v>
      </c>
      <c r="L2432">
        <v>43.121459999999999</v>
      </c>
      <c r="M2432">
        <v>1</v>
      </c>
      <c r="P2432">
        <v>5.0159347570000001</v>
      </c>
      <c r="Q2432">
        <v>567.93072210000003</v>
      </c>
      <c r="R2432">
        <v>10.01</v>
      </c>
      <c r="S2432">
        <v>923768</v>
      </c>
      <c r="T2432">
        <v>9.0819989999999997</v>
      </c>
      <c r="U2432">
        <v>8.6752769999999995</v>
      </c>
    </row>
    <row r="2433" spans="1:21">
      <c r="A2433" t="s">
        <v>138</v>
      </c>
      <c r="B2433">
        <v>2001</v>
      </c>
      <c r="C2433">
        <v>2013.8262999999999</v>
      </c>
      <c r="D2433">
        <v>101950</v>
      </c>
      <c r="E2433">
        <v>8.98</v>
      </c>
      <c r="F2433">
        <v>0</v>
      </c>
      <c r="G2433">
        <v>5.86</v>
      </c>
      <c r="H2433">
        <v>39.487870000000001</v>
      </c>
      <c r="I2433">
        <v>16.63</v>
      </c>
      <c r="J2433">
        <v>84.67</v>
      </c>
      <c r="K2433">
        <v>226</v>
      </c>
      <c r="L2433">
        <v>43.880671999999997</v>
      </c>
      <c r="M2433">
        <v>1</v>
      </c>
      <c r="P2433">
        <v>5.9176846520000002</v>
      </c>
      <c r="Q2433">
        <v>590.38181499999996</v>
      </c>
      <c r="R2433">
        <v>9.86</v>
      </c>
      <c r="S2433">
        <v>923768</v>
      </c>
      <c r="T2433">
        <v>9.0819989999999997</v>
      </c>
      <c r="U2433">
        <v>8.6752769999999995</v>
      </c>
    </row>
    <row r="2434" spans="1:21">
      <c r="A2434" t="s">
        <v>138</v>
      </c>
      <c r="B2434">
        <v>2002</v>
      </c>
      <c r="C2434">
        <v>2047.175</v>
      </c>
      <c r="D2434">
        <v>92239.997860000003</v>
      </c>
      <c r="E2434">
        <v>12.51</v>
      </c>
      <c r="F2434">
        <v>0</v>
      </c>
      <c r="G2434">
        <v>8.16</v>
      </c>
      <c r="H2434">
        <v>39.477505000000001</v>
      </c>
      <c r="I2434">
        <v>16.22</v>
      </c>
      <c r="J2434">
        <v>84.6</v>
      </c>
      <c r="K2434">
        <v>226</v>
      </c>
      <c r="L2434">
        <v>44.632300000000001</v>
      </c>
      <c r="M2434">
        <v>0.9</v>
      </c>
      <c r="O2434">
        <v>0</v>
      </c>
      <c r="P2434">
        <v>15.329155739999999</v>
      </c>
      <c r="Q2434">
        <v>741.74749389999999</v>
      </c>
      <c r="R2434">
        <v>8.81</v>
      </c>
      <c r="S2434">
        <v>923768</v>
      </c>
      <c r="T2434">
        <v>9.0819989999999997</v>
      </c>
      <c r="U2434">
        <v>8.6752769999999995</v>
      </c>
    </row>
    <row r="2435" spans="1:21">
      <c r="A2435" t="s">
        <v>138</v>
      </c>
      <c r="B2435">
        <v>2003</v>
      </c>
      <c r="C2435">
        <v>2100.6572000000001</v>
      </c>
      <c r="D2435">
        <v>101000</v>
      </c>
      <c r="E2435">
        <v>11.97</v>
      </c>
      <c r="F2435">
        <v>0</v>
      </c>
      <c r="G2435">
        <v>7.38</v>
      </c>
      <c r="H2435">
        <v>38.139533999999998</v>
      </c>
      <c r="I2435">
        <v>15.81</v>
      </c>
      <c r="J2435">
        <v>82.95</v>
      </c>
      <c r="K2435">
        <v>226</v>
      </c>
      <c r="L2435">
        <v>52.2</v>
      </c>
      <c r="M2435">
        <v>1</v>
      </c>
      <c r="P2435">
        <v>7.3471949700000003</v>
      </c>
      <c r="Q2435">
        <v>795.38622869999995</v>
      </c>
      <c r="R2435">
        <v>8.6</v>
      </c>
      <c r="S2435">
        <v>923768</v>
      </c>
      <c r="T2435">
        <v>9.0819989999999997</v>
      </c>
      <c r="U2435">
        <v>8.6752769999999995</v>
      </c>
    </row>
    <row r="2436" spans="1:21">
      <c r="A2436" t="s">
        <v>138</v>
      </c>
      <c r="B2436">
        <v>2004</v>
      </c>
      <c r="C2436">
        <v>2122.0963999999999</v>
      </c>
      <c r="D2436">
        <v>98730.003360000002</v>
      </c>
      <c r="E2436">
        <v>15.2</v>
      </c>
      <c r="F2436">
        <v>0</v>
      </c>
      <c r="G2436">
        <v>8.0500000000000007</v>
      </c>
      <c r="H2436">
        <v>34.623657000000001</v>
      </c>
      <c r="I2436">
        <v>15.41</v>
      </c>
      <c r="J2436">
        <v>84.05</v>
      </c>
      <c r="K2436">
        <v>226</v>
      </c>
      <c r="L2436">
        <v>46.122199999999999</v>
      </c>
      <c r="M2436">
        <v>1</v>
      </c>
      <c r="O2436">
        <v>180000</v>
      </c>
      <c r="P2436">
        <v>9.2505582279999992</v>
      </c>
      <c r="Q2436">
        <v>1007.874342</v>
      </c>
      <c r="R2436">
        <v>7.99</v>
      </c>
      <c r="S2436">
        <v>923768</v>
      </c>
      <c r="T2436">
        <v>9.0819989999999997</v>
      </c>
      <c r="U2436">
        <v>8.6752769999999995</v>
      </c>
    </row>
    <row r="2437" spans="1:21">
      <c r="A2437" t="s">
        <v>138</v>
      </c>
      <c r="B2437">
        <v>2005</v>
      </c>
      <c r="C2437">
        <v>2259.4753000000001</v>
      </c>
      <c r="D2437">
        <v>98720.001220000006</v>
      </c>
      <c r="E2437">
        <v>14.83</v>
      </c>
      <c r="F2437">
        <v>0</v>
      </c>
      <c r="G2437">
        <v>7.7</v>
      </c>
      <c r="H2437">
        <v>34.176650000000002</v>
      </c>
      <c r="I2437">
        <v>15.02</v>
      </c>
      <c r="J2437">
        <v>84.01</v>
      </c>
      <c r="K2437">
        <v>226</v>
      </c>
      <c r="L2437">
        <v>46.865169999999999</v>
      </c>
      <c r="M2437">
        <v>1</v>
      </c>
      <c r="O2437">
        <v>18500000</v>
      </c>
      <c r="P2437">
        <v>6.4385165249999998</v>
      </c>
      <c r="Q2437">
        <v>1268.383462</v>
      </c>
      <c r="R2437">
        <v>7.94</v>
      </c>
      <c r="S2437">
        <v>923768</v>
      </c>
      <c r="T2437">
        <v>9.0819989999999997</v>
      </c>
      <c r="U2437">
        <v>8.6752769999999995</v>
      </c>
    </row>
    <row r="2438" spans="1:21">
      <c r="A2438" t="s">
        <v>138</v>
      </c>
      <c r="B2438">
        <v>2006</v>
      </c>
      <c r="C2438">
        <v>1960.8762999999999</v>
      </c>
      <c r="D2438">
        <v>88769.996639999998</v>
      </c>
      <c r="E2438">
        <v>15.83</v>
      </c>
      <c r="F2438">
        <v>0</v>
      </c>
      <c r="G2438">
        <v>6.21</v>
      </c>
      <c r="H2438">
        <v>28.176043</v>
      </c>
      <c r="I2438">
        <v>14.63</v>
      </c>
      <c r="J2438">
        <v>85.93</v>
      </c>
      <c r="K2438">
        <v>226</v>
      </c>
      <c r="L2438">
        <v>47.610016000000002</v>
      </c>
      <c r="M2438">
        <v>1.1000000000000001</v>
      </c>
      <c r="O2438">
        <v>1230000</v>
      </c>
      <c r="P2438">
        <v>6.0594280310000004</v>
      </c>
      <c r="Q2438">
        <v>1656.424794</v>
      </c>
      <c r="R2438">
        <v>7.53</v>
      </c>
      <c r="S2438">
        <v>923768</v>
      </c>
      <c r="T2438">
        <v>9.0819989999999997</v>
      </c>
      <c r="U2438">
        <v>8.6752769999999995</v>
      </c>
    </row>
    <row r="2439" spans="1:21">
      <c r="A2439" t="s">
        <v>138</v>
      </c>
      <c r="B2439">
        <v>2007</v>
      </c>
      <c r="C2439">
        <v>1749.5142000000001</v>
      </c>
      <c r="D2439">
        <v>81120.00275</v>
      </c>
      <c r="E2439">
        <v>15.74</v>
      </c>
      <c r="F2439">
        <v>0</v>
      </c>
      <c r="G2439">
        <v>6.17</v>
      </c>
      <c r="H2439">
        <v>28.160658000000002</v>
      </c>
      <c r="I2439">
        <v>14.25</v>
      </c>
      <c r="J2439">
        <v>87.28</v>
      </c>
      <c r="K2439">
        <v>226</v>
      </c>
      <c r="L2439">
        <v>50.130920000000003</v>
      </c>
      <c r="M2439">
        <v>1.3</v>
      </c>
      <c r="O2439">
        <v>550000</v>
      </c>
      <c r="P2439">
        <v>6.5911303610000003</v>
      </c>
      <c r="Q2439">
        <v>1883.4613879999999</v>
      </c>
      <c r="R2439">
        <v>7.33</v>
      </c>
      <c r="S2439">
        <v>923768</v>
      </c>
      <c r="T2439">
        <v>9.0819989999999997</v>
      </c>
      <c r="U2439">
        <v>8.6752769999999995</v>
      </c>
    </row>
    <row r="2440" spans="1:21">
      <c r="A2440" t="s">
        <v>138</v>
      </c>
      <c r="B2440">
        <v>2008</v>
      </c>
      <c r="C2440">
        <v>2047.7775999999999</v>
      </c>
      <c r="D2440">
        <v>86930.000310000003</v>
      </c>
      <c r="E2440">
        <v>14.47</v>
      </c>
      <c r="F2440">
        <v>0</v>
      </c>
      <c r="G2440">
        <v>5.67</v>
      </c>
      <c r="H2440">
        <v>28.152930999999999</v>
      </c>
      <c r="I2440">
        <v>13.88</v>
      </c>
      <c r="J2440">
        <v>86.25</v>
      </c>
      <c r="K2440">
        <v>226</v>
      </c>
      <c r="L2440">
        <v>50.3</v>
      </c>
      <c r="M2440">
        <v>1.4</v>
      </c>
      <c r="P2440">
        <v>6.764472778</v>
      </c>
      <c r="Q2440">
        <v>2259.114059</v>
      </c>
      <c r="R2440">
        <v>7.07</v>
      </c>
      <c r="S2440">
        <v>923768</v>
      </c>
      <c r="T2440">
        <v>9.0819989999999997</v>
      </c>
      <c r="U2440">
        <v>8.6752769999999995</v>
      </c>
    </row>
    <row r="2441" spans="1:21">
      <c r="A2441" t="s">
        <v>138</v>
      </c>
      <c r="B2441">
        <v>2009</v>
      </c>
      <c r="C2441">
        <v>1250.4223999999999</v>
      </c>
      <c r="D2441">
        <v>76949.996950000001</v>
      </c>
      <c r="E2441">
        <v>14.33</v>
      </c>
      <c r="F2441">
        <v>0</v>
      </c>
      <c r="G2441">
        <v>4.49</v>
      </c>
      <c r="H2441">
        <v>23.857596999999998</v>
      </c>
      <c r="I2441">
        <v>13.51</v>
      </c>
      <c r="J2441">
        <v>88.68</v>
      </c>
      <c r="K2441">
        <v>226</v>
      </c>
      <c r="L2441">
        <v>49.882506999999997</v>
      </c>
      <c r="M2441">
        <v>1.6</v>
      </c>
      <c r="P2441">
        <v>8.0369251019999997</v>
      </c>
      <c r="Q2441">
        <v>1911.6078660000001</v>
      </c>
      <c r="R2441">
        <v>6.43</v>
      </c>
      <c r="S2441">
        <v>923768</v>
      </c>
      <c r="T2441">
        <v>9.0819989999999997</v>
      </c>
      <c r="U2441">
        <v>8.6752769999999995</v>
      </c>
    </row>
    <row r="2442" spans="1:21">
      <c r="A2442" t="s">
        <v>138</v>
      </c>
      <c r="B2442">
        <v>2010</v>
      </c>
      <c r="C2442">
        <v>1514.1042</v>
      </c>
      <c r="D2442">
        <v>90059.997560000003</v>
      </c>
      <c r="E2442">
        <v>18.559999999999999</v>
      </c>
      <c r="F2442">
        <v>0</v>
      </c>
      <c r="G2442">
        <v>6.33</v>
      </c>
      <c r="H2442">
        <v>25.431902000000001</v>
      </c>
      <c r="I2442">
        <v>13.16</v>
      </c>
      <c r="J2442">
        <v>86.46</v>
      </c>
      <c r="K2442">
        <v>226</v>
      </c>
      <c r="L2442">
        <v>48</v>
      </c>
      <c r="M2442">
        <v>1.9</v>
      </c>
      <c r="O2442">
        <v>580000</v>
      </c>
      <c r="P2442">
        <v>8.0056559150000002</v>
      </c>
      <c r="Q2442">
        <v>2280.4373369999998</v>
      </c>
      <c r="R2442">
        <v>6.82</v>
      </c>
      <c r="S2442">
        <v>923768</v>
      </c>
      <c r="T2442">
        <v>9.0819989999999997</v>
      </c>
      <c r="U2442">
        <v>8.6752769999999995</v>
      </c>
    </row>
    <row r="2443" spans="1:21">
      <c r="A2443" t="s">
        <v>138</v>
      </c>
      <c r="B2443">
        <v>2011</v>
      </c>
      <c r="C2443">
        <v>2095.6080000000002</v>
      </c>
      <c r="D2443">
        <v>95000</v>
      </c>
      <c r="E2443">
        <v>19.88</v>
      </c>
      <c r="F2443">
        <v>0</v>
      </c>
      <c r="G2443">
        <v>5.84</v>
      </c>
      <c r="H2443">
        <v>22.706066</v>
      </c>
      <c r="I2443">
        <v>13</v>
      </c>
      <c r="J2443">
        <v>84.63</v>
      </c>
      <c r="K2443">
        <v>226</v>
      </c>
      <c r="L2443">
        <v>55.9</v>
      </c>
      <c r="M2443">
        <v>2.2000000000000002</v>
      </c>
      <c r="O2443">
        <v>18980000</v>
      </c>
      <c r="P2443">
        <v>5.3079242039999999</v>
      </c>
      <c r="Q2443">
        <v>2487.5980169999998</v>
      </c>
      <c r="R2443">
        <v>7.06</v>
      </c>
      <c r="S2443">
        <v>923768</v>
      </c>
      <c r="T2443">
        <v>9.0819989999999997</v>
      </c>
      <c r="U2443">
        <v>8.6752769999999995</v>
      </c>
    </row>
    <row r="2444" spans="1:21">
      <c r="A2444" t="s">
        <v>138</v>
      </c>
      <c r="B2444">
        <v>2012</v>
      </c>
      <c r="C2444">
        <v>2033.5441000000001</v>
      </c>
      <c r="D2444">
        <v>95339.996339999998</v>
      </c>
      <c r="E2444">
        <v>21.66</v>
      </c>
      <c r="F2444">
        <v>0</v>
      </c>
      <c r="G2444">
        <v>5.64</v>
      </c>
      <c r="H2444">
        <v>20.659341999999999</v>
      </c>
      <c r="I2444">
        <v>12.75</v>
      </c>
      <c r="J2444">
        <v>84.57</v>
      </c>
      <c r="K2444">
        <v>226</v>
      </c>
      <c r="L2444">
        <v>53.231242999999999</v>
      </c>
      <c r="M2444">
        <v>2.7</v>
      </c>
      <c r="O2444">
        <v>20950000</v>
      </c>
      <c r="P2444">
        <v>4.2300611750000003</v>
      </c>
      <c r="Q2444">
        <v>2723.8221910000002</v>
      </c>
      <c r="R2444">
        <v>6.84</v>
      </c>
      <c r="S2444">
        <v>923768</v>
      </c>
      <c r="T2444">
        <v>9.0819989999999997</v>
      </c>
      <c r="U2444">
        <v>8.6752769999999995</v>
      </c>
    </row>
    <row r="2445" spans="1:21">
      <c r="A2445" t="s">
        <v>138</v>
      </c>
      <c r="B2445">
        <v>2013</v>
      </c>
      <c r="C2445">
        <v>2546.1361999999999</v>
      </c>
      <c r="D2445">
        <v>108129.9973</v>
      </c>
      <c r="E2445">
        <v>22.14</v>
      </c>
      <c r="F2445">
        <v>0</v>
      </c>
      <c r="G2445">
        <v>5.31</v>
      </c>
      <c r="H2445">
        <v>19.344260999999999</v>
      </c>
      <c r="I2445">
        <v>12.42</v>
      </c>
      <c r="J2445">
        <v>82.19</v>
      </c>
      <c r="K2445">
        <v>226</v>
      </c>
      <c r="L2445">
        <v>55.6</v>
      </c>
      <c r="M2445">
        <v>3.4</v>
      </c>
      <c r="O2445">
        <v>974050000</v>
      </c>
      <c r="P2445">
        <v>6.6713353929999997</v>
      </c>
      <c r="Q2445">
        <v>2961.549422</v>
      </c>
      <c r="R2445">
        <v>6.54</v>
      </c>
      <c r="S2445">
        <v>923768</v>
      </c>
      <c r="T2445">
        <v>9.0819989999999997</v>
      </c>
      <c r="U2445">
        <v>8.6752769999999995</v>
      </c>
    </row>
    <row r="2446" spans="1:21">
      <c r="A2446" t="s">
        <v>138</v>
      </c>
      <c r="B2446">
        <v>2014</v>
      </c>
      <c r="C2446">
        <v>2707.8645000000001</v>
      </c>
      <c r="D2446">
        <v>114830.0018</v>
      </c>
      <c r="E2446">
        <v>25.26</v>
      </c>
      <c r="F2446">
        <v>0</v>
      </c>
      <c r="G2446">
        <v>5.34</v>
      </c>
      <c r="H2446">
        <v>17.450980000000001</v>
      </c>
      <c r="I2446">
        <v>12.1</v>
      </c>
      <c r="J2446">
        <v>80.64</v>
      </c>
      <c r="K2446">
        <v>226</v>
      </c>
      <c r="L2446">
        <v>54.048229999999997</v>
      </c>
      <c r="M2446">
        <v>4.2</v>
      </c>
      <c r="O2446">
        <v>24780000</v>
      </c>
      <c r="P2446">
        <v>6.3097186560000003</v>
      </c>
      <c r="Q2446">
        <v>3098.9857910000001</v>
      </c>
      <c r="R2446">
        <v>6.3</v>
      </c>
      <c r="S2446">
        <v>923768</v>
      </c>
      <c r="T2446">
        <v>9.0819989999999997</v>
      </c>
      <c r="U2446">
        <v>8.6752769999999995</v>
      </c>
    </row>
    <row r="2447" spans="1:21">
      <c r="A2447" t="s">
        <v>138</v>
      </c>
      <c r="B2447">
        <v>2015</v>
      </c>
      <c r="C2447">
        <v>2495.8332999999998</v>
      </c>
      <c r="D2447">
        <v>107760.0021</v>
      </c>
      <c r="E2447">
        <v>25.1</v>
      </c>
      <c r="F2447">
        <v>0</v>
      </c>
      <c r="G2447">
        <v>5.71</v>
      </c>
      <c r="H2447">
        <v>18.532944000000001</v>
      </c>
      <c r="I2447">
        <v>11.8</v>
      </c>
      <c r="J2447">
        <v>82.15</v>
      </c>
      <c r="K2447">
        <v>226</v>
      </c>
      <c r="L2447">
        <v>52.5</v>
      </c>
      <c r="M2447">
        <v>5.4</v>
      </c>
      <c r="O2447">
        <v>46500000</v>
      </c>
      <c r="P2447">
        <v>2.6526932950000002</v>
      </c>
      <c r="Q2447">
        <v>2687.4800559999999</v>
      </c>
      <c r="R2447">
        <v>6.03</v>
      </c>
      <c r="S2447">
        <v>923768</v>
      </c>
      <c r="T2447">
        <v>9.0819989999999997</v>
      </c>
      <c r="U2447">
        <v>8.6752769999999995</v>
      </c>
    </row>
    <row r="2448" spans="1:21">
      <c r="A2448" t="s">
        <v>138</v>
      </c>
      <c r="B2448">
        <v>2016</v>
      </c>
      <c r="C2448">
        <v>2488.9058</v>
      </c>
      <c r="D2448">
        <v>110830.0018</v>
      </c>
      <c r="E2448">
        <v>23.89</v>
      </c>
      <c r="F2448">
        <v>0</v>
      </c>
      <c r="G2448">
        <v>8.1199999999999992</v>
      </c>
      <c r="H2448">
        <v>25.367075</v>
      </c>
      <c r="I2448">
        <v>11.51</v>
      </c>
      <c r="J2448">
        <v>82.02</v>
      </c>
      <c r="K2448">
        <v>226</v>
      </c>
      <c r="L2448">
        <v>59.3</v>
      </c>
      <c r="M2448">
        <v>6.85</v>
      </c>
      <c r="O2448">
        <v>61810000</v>
      </c>
      <c r="P2448">
        <v>-1.61686895</v>
      </c>
      <c r="Q2448">
        <v>2176.0027719999998</v>
      </c>
      <c r="R2448">
        <v>6.36</v>
      </c>
      <c r="S2448">
        <v>923768</v>
      </c>
      <c r="T2448">
        <v>9.0819989999999997</v>
      </c>
      <c r="U2448">
        <v>8.6752769999999995</v>
      </c>
    </row>
    <row r="2449" spans="1:21">
      <c r="A2449" t="s">
        <v>138</v>
      </c>
      <c r="B2449">
        <v>2017</v>
      </c>
      <c r="C2449">
        <v>2358.808</v>
      </c>
      <c r="D2449">
        <v>108500</v>
      </c>
      <c r="E2449">
        <v>25.06</v>
      </c>
      <c r="F2449">
        <v>0</v>
      </c>
      <c r="G2449">
        <v>7.72</v>
      </c>
      <c r="H2449">
        <v>23.550947000000001</v>
      </c>
      <c r="I2449">
        <v>11.21</v>
      </c>
      <c r="J2449">
        <v>82.32</v>
      </c>
      <c r="K2449">
        <v>226</v>
      </c>
      <c r="L2449">
        <v>54.4</v>
      </c>
      <c r="M2449">
        <v>8.6999999999999993</v>
      </c>
      <c r="O2449">
        <v>5202310000</v>
      </c>
      <c r="P2449">
        <v>0.80588662</v>
      </c>
      <c r="Q2449">
        <v>1968.565398</v>
      </c>
      <c r="R2449">
        <v>6.31</v>
      </c>
      <c r="S2449">
        <v>923768</v>
      </c>
      <c r="T2449">
        <v>9.0819989999999997</v>
      </c>
      <c r="U2449">
        <v>8.6752769999999995</v>
      </c>
    </row>
    <row r="2450" spans="1:21">
      <c r="A2450" t="s">
        <v>138</v>
      </c>
      <c r="B2450">
        <v>2018</v>
      </c>
      <c r="C2450">
        <v>2461.8206</v>
      </c>
      <c r="D2450">
        <v>109889.9994</v>
      </c>
      <c r="E2450">
        <v>24.11</v>
      </c>
      <c r="F2450">
        <v>0</v>
      </c>
      <c r="G2450">
        <v>7.74</v>
      </c>
      <c r="H2450">
        <v>24.301413</v>
      </c>
      <c r="I2450">
        <v>10.93</v>
      </c>
      <c r="J2450">
        <v>82.28</v>
      </c>
      <c r="K2450">
        <v>226</v>
      </c>
      <c r="L2450">
        <v>56.5</v>
      </c>
      <c r="M2450">
        <v>10.7</v>
      </c>
      <c r="O2450">
        <v>94760000</v>
      </c>
      <c r="P2450">
        <v>1.9227573419999999</v>
      </c>
      <c r="Q2450">
        <v>2027.7785490000001</v>
      </c>
      <c r="R2450">
        <v>6.16</v>
      </c>
      <c r="S2450">
        <v>923768</v>
      </c>
      <c r="T2450">
        <v>9.0819989999999997</v>
      </c>
      <c r="U2450">
        <v>8.6752769999999995</v>
      </c>
    </row>
    <row r="2451" spans="1:21">
      <c r="A2451" t="s">
        <v>138</v>
      </c>
      <c r="B2451">
        <v>2019</v>
      </c>
      <c r="C2451">
        <v>2482.8317999999999</v>
      </c>
      <c r="D2451">
        <v>115279.9988</v>
      </c>
      <c r="E2451">
        <v>23.16</v>
      </c>
      <c r="F2451">
        <v>0</v>
      </c>
      <c r="G2451">
        <v>8.49</v>
      </c>
      <c r="H2451">
        <v>26.824643999999999</v>
      </c>
      <c r="I2451">
        <v>10.69</v>
      </c>
      <c r="J2451">
        <v>81.400000000000006</v>
      </c>
      <c r="K2451">
        <v>226</v>
      </c>
      <c r="L2451">
        <v>55.4</v>
      </c>
      <c r="M2451">
        <v>12.9</v>
      </c>
      <c r="O2451">
        <v>1172580000</v>
      </c>
      <c r="P2451">
        <v>2.208429277</v>
      </c>
      <c r="Q2451">
        <v>2229.8586519999999</v>
      </c>
      <c r="R2451">
        <v>6.39</v>
      </c>
      <c r="S2451">
        <v>923768</v>
      </c>
      <c r="T2451">
        <v>9.0819989999999997</v>
      </c>
      <c r="U2451">
        <v>8.6752769999999995</v>
      </c>
    </row>
    <row r="2452" spans="1:21">
      <c r="A2452" t="s">
        <v>138</v>
      </c>
      <c r="B2452">
        <v>2020</v>
      </c>
      <c r="C2452">
        <v>2445.0652</v>
      </c>
      <c r="E2452">
        <v>21.98</v>
      </c>
      <c r="F2452">
        <v>0</v>
      </c>
      <c r="G2452">
        <v>7.75</v>
      </c>
      <c r="H2452">
        <v>26.067945000000002</v>
      </c>
      <c r="I2452">
        <v>10.44</v>
      </c>
      <c r="K2452">
        <v>226</v>
      </c>
      <c r="L2452">
        <v>55.4</v>
      </c>
      <c r="M2452">
        <v>15</v>
      </c>
      <c r="P2452">
        <v>-1.794253082</v>
      </c>
      <c r="Q2452">
        <v>2097.0924730000002</v>
      </c>
      <c r="S2452">
        <v>923768</v>
      </c>
      <c r="T2452">
        <v>9.0819989999999997</v>
      </c>
      <c r="U2452">
        <v>8.6752769999999995</v>
      </c>
    </row>
    <row r="2453" spans="1:21">
      <c r="A2453" t="s">
        <v>139</v>
      </c>
      <c r="B2453">
        <v>2000</v>
      </c>
      <c r="C2453">
        <v>15136.714</v>
      </c>
      <c r="D2453">
        <v>8760</v>
      </c>
      <c r="E2453">
        <v>5.64</v>
      </c>
      <c r="F2453">
        <v>0</v>
      </c>
      <c r="G2453">
        <v>1.17</v>
      </c>
      <c r="H2453">
        <v>17.180616000000001</v>
      </c>
      <c r="J2453">
        <v>19.38</v>
      </c>
      <c r="K2453">
        <v>83</v>
      </c>
      <c r="L2453">
        <v>100</v>
      </c>
      <c r="M2453">
        <v>57.55</v>
      </c>
      <c r="N2453">
        <v>11.215344</v>
      </c>
      <c r="P2453">
        <v>4.5491357829999997</v>
      </c>
      <c r="Q2453">
        <v>1861.8980650000001</v>
      </c>
      <c r="R2453">
        <v>5.39</v>
      </c>
      <c r="S2453">
        <v>25713</v>
      </c>
      <c r="T2453">
        <v>41.608635</v>
      </c>
      <c r="U2453">
        <v>21.745274999999999</v>
      </c>
    </row>
    <row r="2454" spans="1:21">
      <c r="A2454" t="s">
        <v>139</v>
      </c>
      <c r="B2454">
        <v>2001</v>
      </c>
      <c r="C2454">
        <v>14134.944</v>
      </c>
      <c r="D2454">
        <v>8920</v>
      </c>
      <c r="E2454">
        <v>5.74</v>
      </c>
      <c r="F2454">
        <v>0</v>
      </c>
      <c r="G2454">
        <v>0.63</v>
      </c>
      <c r="H2454">
        <v>9.89011</v>
      </c>
      <c r="J2454">
        <v>15.17</v>
      </c>
      <c r="K2454">
        <v>83</v>
      </c>
      <c r="L2454">
        <v>100</v>
      </c>
      <c r="M2454">
        <v>58.4</v>
      </c>
      <c r="N2454">
        <v>6.3362026</v>
      </c>
      <c r="P2454">
        <v>-3.0672566250000002</v>
      </c>
      <c r="Q2454">
        <v>1823.023561</v>
      </c>
      <c r="R2454">
        <v>5.37</v>
      </c>
      <c r="S2454">
        <v>25713</v>
      </c>
      <c r="T2454">
        <v>41.608635</v>
      </c>
      <c r="U2454">
        <v>21.745274999999999</v>
      </c>
    </row>
    <row r="2455" spans="1:21">
      <c r="A2455" t="s">
        <v>139</v>
      </c>
      <c r="B2455">
        <v>2002</v>
      </c>
      <c r="C2455">
        <v>13736.116</v>
      </c>
      <c r="D2455">
        <v>8369.9998859999996</v>
      </c>
      <c r="E2455">
        <v>5.33</v>
      </c>
      <c r="F2455">
        <v>0</v>
      </c>
      <c r="G2455">
        <v>0.76</v>
      </c>
      <c r="H2455">
        <v>12.479474</v>
      </c>
      <c r="J2455">
        <v>14.63</v>
      </c>
      <c r="K2455">
        <v>83</v>
      </c>
      <c r="L2455">
        <v>100</v>
      </c>
      <c r="M2455">
        <v>59.1</v>
      </c>
      <c r="N2455">
        <v>7.7906956999999997</v>
      </c>
      <c r="P2455">
        <v>1.493665472</v>
      </c>
      <c r="Q2455">
        <v>1989.135125</v>
      </c>
      <c r="R2455">
        <v>5.19</v>
      </c>
      <c r="S2455">
        <v>25713</v>
      </c>
      <c r="T2455">
        <v>41.608635</v>
      </c>
      <c r="U2455">
        <v>21.745274999999999</v>
      </c>
    </row>
    <row r="2456" spans="1:21">
      <c r="A2456" t="s">
        <v>139</v>
      </c>
      <c r="B2456">
        <v>2003</v>
      </c>
      <c r="C2456">
        <v>15438.575999999999</v>
      </c>
      <c r="D2456">
        <v>9140.0003429999997</v>
      </c>
      <c r="E2456">
        <v>5.36</v>
      </c>
      <c r="F2456">
        <v>0</v>
      </c>
      <c r="G2456">
        <v>1.37</v>
      </c>
      <c r="H2456">
        <v>20.356611000000001</v>
      </c>
      <c r="J2456">
        <v>17.29</v>
      </c>
      <c r="K2456">
        <v>83</v>
      </c>
      <c r="L2456">
        <v>100</v>
      </c>
      <c r="M2456">
        <v>60.55</v>
      </c>
      <c r="N2456">
        <v>12.461907999999999</v>
      </c>
      <c r="P2456">
        <v>2.2226016569999998</v>
      </c>
      <c r="Q2456">
        <v>2440.4769430000001</v>
      </c>
      <c r="R2456">
        <v>5.61</v>
      </c>
      <c r="S2456">
        <v>25713</v>
      </c>
      <c r="T2456">
        <v>41.608635</v>
      </c>
      <c r="U2456">
        <v>21.745274999999999</v>
      </c>
    </row>
    <row r="2457" spans="1:21">
      <c r="A2457" t="s">
        <v>139</v>
      </c>
      <c r="B2457">
        <v>2004</v>
      </c>
      <c r="C2457">
        <v>15211.423000000001</v>
      </c>
      <c r="D2457">
        <v>8840.0001530000009</v>
      </c>
      <c r="E2457">
        <v>5.18</v>
      </c>
      <c r="F2457">
        <v>0</v>
      </c>
      <c r="G2457">
        <v>1.48</v>
      </c>
      <c r="H2457">
        <v>22.222223</v>
      </c>
      <c r="J2457">
        <v>18.2</v>
      </c>
      <c r="K2457">
        <v>83</v>
      </c>
      <c r="L2457">
        <v>99.42</v>
      </c>
      <c r="M2457">
        <v>61.3</v>
      </c>
      <c r="N2457">
        <v>13.524393999999999</v>
      </c>
      <c r="P2457">
        <v>4.6740895800000004</v>
      </c>
      <c r="Q2457">
        <v>2795.899261</v>
      </c>
      <c r="R2457">
        <v>5.27</v>
      </c>
      <c r="S2457">
        <v>25713</v>
      </c>
      <c r="T2457">
        <v>41.608635</v>
      </c>
      <c r="U2457">
        <v>21.745274999999999</v>
      </c>
    </row>
    <row r="2458" spans="1:21">
      <c r="A2458" t="s">
        <v>139</v>
      </c>
      <c r="B2458">
        <v>2005</v>
      </c>
      <c r="C2458">
        <v>15711.266</v>
      </c>
      <c r="D2458">
        <v>9229.9995419999996</v>
      </c>
      <c r="E2458">
        <v>5.45</v>
      </c>
      <c r="F2458">
        <v>0</v>
      </c>
      <c r="G2458">
        <v>1.49</v>
      </c>
      <c r="H2458">
        <v>21.469740000000002</v>
      </c>
      <c r="J2458">
        <v>19.03</v>
      </c>
      <c r="K2458">
        <v>83</v>
      </c>
      <c r="L2458">
        <v>100</v>
      </c>
      <c r="M2458">
        <v>62.4</v>
      </c>
      <c r="N2458">
        <v>13.126352000000001</v>
      </c>
      <c r="P2458">
        <v>4.7240886419999999</v>
      </c>
      <c r="Q2458">
        <v>3072.6785730000001</v>
      </c>
      <c r="R2458">
        <v>5.34</v>
      </c>
      <c r="S2458">
        <v>25713</v>
      </c>
      <c r="T2458">
        <v>41.608635</v>
      </c>
      <c r="U2458">
        <v>21.745274999999999</v>
      </c>
    </row>
    <row r="2459" spans="1:21">
      <c r="A2459" t="s">
        <v>139</v>
      </c>
      <c r="B2459">
        <v>2006</v>
      </c>
      <c r="C2459">
        <v>15953.717000000001</v>
      </c>
      <c r="D2459">
        <v>9220.0002669999994</v>
      </c>
      <c r="E2459">
        <v>5.36</v>
      </c>
      <c r="F2459">
        <v>0</v>
      </c>
      <c r="G2459">
        <v>1.65</v>
      </c>
      <c r="H2459">
        <v>23.537801999999999</v>
      </c>
      <c r="J2459">
        <v>19.8</v>
      </c>
      <c r="K2459">
        <v>83</v>
      </c>
      <c r="L2459">
        <v>99</v>
      </c>
      <c r="M2459">
        <v>63.1</v>
      </c>
      <c r="N2459">
        <v>14.188615</v>
      </c>
      <c r="P2459">
        <v>5.1370251619999996</v>
      </c>
      <c r="Q2459">
        <v>3362.9684189999998</v>
      </c>
      <c r="R2459">
        <v>5.17</v>
      </c>
      <c r="S2459">
        <v>25713</v>
      </c>
      <c r="T2459">
        <v>41.608635</v>
      </c>
      <c r="U2459">
        <v>21.745274999999999</v>
      </c>
    </row>
    <row r="2460" spans="1:21">
      <c r="A2460" t="s">
        <v>139</v>
      </c>
      <c r="B2460">
        <v>2007</v>
      </c>
      <c r="C2460">
        <v>15826.587</v>
      </c>
      <c r="D2460">
        <v>9699.9998090000008</v>
      </c>
      <c r="E2460">
        <v>5.49</v>
      </c>
      <c r="F2460">
        <v>0</v>
      </c>
      <c r="G2460">
        <v>1.01</v>
      </c>
      <c r="H2460">
        <v>15.538462000000001</v>
      </c>
      <c r="J2460">
        <v>15.71</v>
      </c>
      <c r="K2460">
        <v>83</v>
      </c>
      <c r="L2460">
        <v>100</v>
      </c>
      <c r="M2460">
        <v>64.7</v>
      </c>
      <c r="N2460">
        <v>8.6962340000000005</v>
      </c>
      <c r="P2460">
        <v>6.4734868580000002</v>
      </c>
      <c r="Q2460">
        <v>4079.3919540000002</v>
      </c>
      <c r="R2460">
        <v>5.03</v>
      </c>
      <c r="S2460">
        <v>25713</v>
      </c>
      <c r="T2460">
        <v>41.608635</v>
      </c>
      <c r="U2460">
        <v>21.745274999999999</v>
      </c>
    </row>
    <row r="2461" spans="1:21">
      <c r="A2461" t="s">
        <v>139</v>
      </c>
      <c r="B2461">
        <v>2008</v>
      </c>
      <c r="C2461">
        <v>15306.128000000001</v>
      </c>
      <c r="D2461">
        <v>9479.9995419999996</v>
      </c>
      <c r="E2461">
        <v>5.47</v>
      </c>
      <c r="F2461">
        <v>0</v>
      </c>
      <c r="G2461">
        <v>0.84</v>
      </c>
      <c r="H2461">
        <v>13.312203</v>
      </c>
      <c r="J2461">
        <v>15.61</v>
      </c>
      <c r="K2461">
        <v>83</v>
      </c>
      <c r="L2461">
        <v>99.2</v>
      </c>
      <c r="M2461">
        <v>65.8</v>
      </c>
      <c r="N2461">
        <v>7.4389099999999999</v>
      </c>
      <c r="P2461">
        <v>5.47200139</v>
      </c>
      <c r="Q2461">
        <v>4841.2516939999996</v>
      </c>
      <c r="R2461">
        <v>4.72</v>
      </c>
      <c r="S2461">
        <v>25713</v>
      </c>
      <c r="T2461">
        <v>41.608635</v>
      </c>
      <c r="U2461">
        <v>21.745274999999999</v>
      </c>
    </row>
    <row r="2462" spans="1:21">
      <c r="A2462" t="s">
        <v>139</v>
      </c>
      <c r="B2462">
        <v>2009</v>
      </c>
      <c r="C2462">
        <v>15049.308999999999</v>
      </c>
      <c r="D2462">
        <v>8869.9998859999996</v>
      </c>
      <c r="E2462">
        <v>5.55</v>
      </c>
      <c r="F2462">
        <v>0</v>
      </c>
      <c r="G2462">
        <v>1.27</v>
      </c>
      <c r="H2462">
        <v>18.621700000000001</v>
      </c>
      <c r="J2462">
        <v>18.43</v>
      </c>
      <c r="K2462">
        <v>83</v>
      </c>
      <c r="L2462">
        <v>99.2</v>
      </c>
      <c r="M2462">
        <v>66.7</v>
      </c>
      <c r="N2462">
        <v>11.3459015</v>
      </c>
      <c r="P2462">
        <v>-0.35861485700000001</v>
      </c>
      <c r="Q2462">
        <v>4584.7098319999996</v>
      </c>
      <c r="R2462">
        <v>4.3899999999999997</v>
      </c>
      <c r="S2462">
        <v>25713</v>
      </c>
      <c r="T2462">
        <v>41.608635</v>
      </c>
      <c r="U2462">
        <v>21.745274999999999</v>
      </c>
    </row>
    <row r="2463" spans="1:21">
      <c r="A2463" t="s">
        <v>139</v>
      </c>
      <c r="B2463">
        <v>2010</v>
      </c>
      <c r="C2463">
        <v>16308.638999999999</v>
      </c>
      <c r="D2463">
        <v>8640.0003429999997</v>
      </c>
      <c r="E2463">
        <v>4.83</v>
      </c>
      <c r="F2463">
        <v>0</v>
      </c>
      <c r="G2463">
        <v>2.4300000000000002</v>
      </c>
      <c r="H2463">
        <v>33.471072999999997</v>
      </c>
      <c r="J2463">
        <v>22.3</v>
      </c>
      <c r="K2463">
        <v>83</v>
      </c>
      <c r="L2463">
        <v>100</v>
      </c>
      <c r="M2463">
        <v>68.099999999999994</v>
      </c>
      <c r="N2463">
        <v>19.909607000000001</v>
      </c>
      <c r="P2463">
        <v>3.3587508580000001</v>
      </c>
      <c r="Q2463">
        <v>4577.6887550000001</v>
      </c>
      <c r="R2463">
        <v>4.33</v>
      </c>
      <c r="S2463">
        <v>25713</v>
      </c>
      <c r="T2463">
        <v>41.608635</v>
      </c>
      <c r="U2463">
        <v>21.745274999999999</v>
      </c>
    </row>
    <row r="2464" spans="1:21">
      <c r="A2464" t="s">
        <v>139</v>
      </c>
      <c r="B2464">
        <v>2011</v>
      </c>
      <c r="C2464">
        <v>16243.486000000001</v>
      </c>
      <c r="D2464">
        <v>9520.0004580000004</v>
      </c>
      <c r="E2464">
        <v>5.33</v>
      </c>
      <c r="F2464">
        <v>0</v>
      </c>
      <c r="G2464">
        <v>1.43</v>
      </c>
      <c r="H2464">
        <v>21.153845</v>
      </c>
      <c r="J2464">
        <v>18.62</v>
      </c>
      <c r="K2464">
        <v>83</v>
      </c>
      <c r="L2464">
        <v>99.726166000000006</v>
      </c>
      <c r="M2464">
        <v>68.900000000000006</v>
      </c>
      <c r="N2464">
        <v>11.702621000000001</v>
      </c>
      <c r="P2464">
        <v>2.3398860450000001</v>
      </c>
      <c r="Q2464">
        <v>5098.0975829999998</v>
      </c>
      <c r="R2464">
        <v>4.62</v>
      </c>
      <c r="S2464">
        <v>25713</v>
      </c>
      <c r="T2464">
        <v>41.608635</v>
      </c>
      <c r="U2464">
        <v>21.745274999999999</v>
      </c>
    </row>
    <row r="2465" spans="1:21">
      <c r="A2465" t="s">
        <v>139</v>
      </c>
      <c r="B2465">
        <v>2012</v>
      </c>
      <c r="C2465">
        <v>15064.223</v>
      </c>
      <c r="D2465">
        <v>9050.0001909999992</v>
      </c>
      <c r="E2465">
        <v>5.22</v>
      </c>
      <c r="F2465">
        <v>0</v>
      </c>
      <c r="G2465">
        <v>1.04</v>
      </c>
      <c r="H2465">
        <v>16.613419</v>
      </c>
      <c r="J2465">
        <v>18.27</v>
      </c>
      <c r="K2465">
        <v>83</v>
      </c>
      <c r="L2465">
        <v>100</v>
      </c>
      <c r="M2465">
        <v>69.8</v>
      </c>
      <c r="N2465">
        <v>9.1236920000000001</v>
      </c>
      <c r="P2465">
        <v>-0.456183224</v>
      </c>
      <c r="Q2465">
        <v>4728.3081419999999</v>
      </c>
      <c r="R2465">
        <v>4.42</v>
      </c>
      <c r="S2465">
        <v>25713</v>
      </c>
      <c r="T2465">
        <v>41.608635</v>
      </c>
      <c r="U2465">
        <v>21.745274999999999</v>
      </c>
    </row>
    <row r="2466" spans="1:21">
      <c r="A2466" t="s">
        <v>139</v>
      </c>
      <c r="B2466">
        <v>2013</v>
      </c>
      <c r="C2466">
        <v>14376.996999999999</v>
      </c>
      <c r="D2466">
        <v>8140.0003429999997</v>
      </c>
      <c r="E2466">
        <v>4.5</v>
      </c>
      <c r="F2466">
        <v>0</v>
      </c>
      <c r="G2466">
        <v>1.59</v>
      </c>
      <c r="H2466">
        <v>26.108374000000001</v>
      </c>
      <c r="J2466">
        <v>21.16</v>
      </c>
      <c r="K2466">
        <v>83</v>
      </c>
      <c r="L2466">
        <v>100</v>
      </c>
      <c r="M2466">
        <v>71</v>
      </c>
      <c r="N2466">
        <v>14.412972</v>
      </c>
      <c r="P2466">
        <v>2.9252576650000002</v>
      </c>
      <c r="Q2466">
        <v>5241.0583450000004</v>
      </c>
      <c r="R2466">
        <v>3.99</v>
      </c>
      <c r="S2466">
        <v>25713</v>
      </c>
      <c r="T2466">
        <v>41.608635</v>
      </c>
      <c r="U2466">
        <v>21.745274999999999</v>
      </c>
    </row>
    <row r="2467" spans="1:21">
      <c r="A2467" t="s">
        <v>139</v>
      </c>
      <c r="B2467">
        <v>2014</v>
      </c>
      <c r="C2467">
        <v>13282.878000000001</v>
      </c>
      <c r="D2467">
        <v>7699.9998089999999</v>
      </c>
      <c r="E2467">
        <v>4.09</v>
      </c>
      <c r="F2467">
        <v>0</v>
      </c>
      <c r="G2467">
        <v>1.29</v>
      </c>
      <c r="H2467">
        <v>23.977695000000001</v>
      </c>
      <c r="J2467">
        <v>21.19</v>
      </c>
      <c r="K2467">
        <v>83</v>
      </c>
      <c r="L2467">
        <v>100</v>
      </c>
      <c r="M2467">
        <v>72.3</v>
      </c>
      <c r="N2467">
        <v>12.513251</v>
      </c>
      <c r="P2467">
        <v>3.6291235130000001</v>
      </c>
      <c r="Q2467">
        <v>5495.7350489999999</v>
      </c>
      <c r="R2467">
        <v>3.74</v>
      </c>
      <c r="S2467">
        <v>25713</v>
      </c>
      <c r="T2467">
        <v>41.608635</v>
      </c>
      <c r="U2467">
        <v>21.745274999999999</v>
      </c>
    </row>
    <row r="2468" spans="1:21">
      <c r="A2468" t="s">
        <v>139</v>
      </c>
      <c r="B2468">
        <v>2015</v>
      </c>
      <c r="C2468">
        <v>13986.548000000001</v>
      </c>
      <c r="D2468">
        <v>7409.999847</v>
      </c>
      <c r="E2468">
        <v>3.62</v>
      </c>
      <c r="F2468">
        <v>0</v>
      </c>
      <c r="G2468">
        <v>2.0299999999999998</v>
      </c>
      <c r="H2468">
        <v>35.929203000000001</v>
      </c>
      <c r="J2468">
        <v>23.91</v>
      </c>
      <c r="K2468">
        <v>83</v>
      </c>
      <c r="L2468">
        <v>100</v>
      </c>
      <c r="M2468">
        <v>73.099999999999994</v>
      </c>
      <c r="N2468">
        <v>18.564972000000001</v>
      </c>
      <c r="P2468">
        <v>3.8558651400000001</v>
      </c>
      <c r="Q2468">
        <v>4861.5539710000003</v>
      </c>
      <c r="R2468">
        <v>3.55</v>
      </c>
      <c r="S2468">
        <v>25713</v>
      </c>
      <c r="T2468">
        <v>41.608635</v>
      </c>
      <c r="U2468">
        <v>21.745274999999999</v>
      </c>
    </row>
    <row r="2469" spans="1:21">
      <c r="A2469" t="s">
        <v>139</v>
      </c>
      <c r="B2469">
        <v>2016</v>
      </c>
      <c r="C2469">
        <v>14496.338</v>
      </c>
      <c r="D2469">
        <v>7300.0001910000001</v>
      </c>
      <c r="E2469">
        <v>3.56</v>
      </c>
      <c r="F2469">
        <v>0</v>
      </c>
      <c r="G2469">
        <v>2.0699999999999998</v>
      </c>
      <c r="H2469">
        <v>36.767319999999998</v>
      </c>
      <c r="J2469">
        <v>21.37</v>
      </c>
      <c r="K2469">
        <v>83</v>
      </c>
      <c r="L2469">
        <v>100</v>
      </c>
      <c r="M2469">
        <v>74.2</v>
      </c>
      <c r="N2469">
        <v>18.146007999999998</v>
      </c>
      <c r="P2469">
        <v>2.8482051940000002</v>
      </c>
      <c r="Q2469">
        <v>5149.5890740000004</v>
      </c>
      <c r="R2469">
        <v>3.49</v>
      </c>
      <c r="S2469">
        <v>25713</v>
      </c>
      <c r="T2469">
        <v>41.608635</v>
      </c>
      <c r="U2469">
        <v>21.745274999999999</v>
      </c>
    </row>
    <row r="2470" spans="1:21">
      <c r="A2470" t="s">
        <v>139</v>
      </c>
      <c r="B2470">
        <v>2017</v>
      </c>
      <c r="C2470">
        <v>13935.601000000001</v>
      </c>
      <c r="D2470">
        <v>7789.9999619999999</v>
      </c>
      <c r="E2470">
        <v>4.3099999999999996</v>
      </c>
      <c r="F2470">
        <v>0</v>
      </c>
      <c r="G2470">
        <v>1.29</v>
      </c>
      <c r="H2470">
        <v>23.035715</v>
      </c>
      <c r="J2470">
        <v>19</v>
      </c>
      <c r="K2470">
        <v>83</v>
      </c>
      <c r="L2470">
        <v>100</v>
      </c>
      <c r="M2470">
        <v>75.45</v>
      </c>
      <c r="N2470">
        <v>11.811469000000001</v>
      </c>
      <c r="P2470">
        <v>1.081772738</v>
      </c>
      <c r="Q2470">
        <v>5450.4928810000001</v>
      </c>
      <c r="R2470">
        <v>3.51</v>
      </c>
      <c r="S2470">
        <v>25713</v>
      </c>
      <c r="T2470">
        <v>41.608635</v>
      </c>
      <c r="U2470">
        <v>21.745274999999999</v>
      </c>
    </row>
    <row r="2471" spans="1:21">
      <c r="A2471" t="s">
        <v>139</v>
      </c>
      <c r="B2471">
        <v>2018</v>
      </c>
      <c r="C2471">
        <v>13911.034</v>
      </c>
      <c r="D2471">
        <v>7300.0001910000001</v>
      </c>
      <c r="E2471">
        <v>3.65</v>
      </c>
      <c r="F2471">
        <v>0</v>
      </c>
      <c r="G2471">
        <v>1.96</v>
      </c>
      <c r="H2471">
        <v>34.937609999999999</v>
      </c>
      <c r="J2471">
        <v>20.87</v>
      </c>
      <c r="K2471">
        <v>83</v>
      </c>
      <c r="L2471">
        <v>99.8</v>
      </c>
      <c r="M2471">
        <v>76.8</v>
      </c>
      <c r="N2471">
        <v>17.787132</v>
      </c>
      <c r="P2471">
        <v>2.8805967099999998</v>
      </c>
      <c r="Q2471">
        <v>6108.740108</v>
      </c>
      <c r="R2471">
        <v>3.23</v>
      </c>
      <c r="S2471">
        <v>25713</v>
      </c>
      <c r="T2471">
        <v>41.608635</v>
      </c>
      <c r="U2471">
        <v>21.745274999999999</v>
      </c>
    </row>
    <row r="2472" spans="1:21">
      <c r="A2472" t="s">
        <v>139</v>
      </c>
      <c r="B2472">
        <v>2019</v>
      </c>
      <c r="C2472">
        <v>14689.626</v>
      </c>
      <c r="D2472">
        <v>8300.0001909999992</v>
      </c>
      <c r="E2472">
        <v>4.53</v>
      </c>
      <c r="F2472">
        <v>0</v>
      </c>
      <c r="G2472">
        <v>1.34</v>
      </c>
      <c r="H2472">
        <v>22.827940000000002</v>
      </c>
      <c r="J2472">
        <v>16.32</v>
      </c>
      <c r="K2472">
        <v>83</v>
      </c>
      <c r="L2472">
        <v>100</v>
      </c>
      <c r="M2472">
        <v>77.3</v>
      </c>
      <c r="N2472">
        <v>11.504865000000001</v>
      </c>
      <c r="P2472">
        <v>3.9104195380000002</v>
      </c>
      <c r="Q2472">
        <v>6070.388054</v>
      </c>
      <c r="R2472">
        <v>3.39</v>
      </c>
      <c r="S2472">
        <v>25713</v>
      </c>
      <c r="T2472">
        <v>41.608635</v>
      </c>
      <c r="U2472">
        <v>21.745274999999999</v>
      </c>
    </row>
    <row r="2473" spans="1:21">
      <c r="A2473" t="s">
        <v>139</v>
      </c>
      <c r="B2473">
        <v>2020</v>
      </c>
      <c r="C2473">
        <v>12822.86</v>
      </c>
      <c r="E2473">
        <v>3.86</v>
      </c>
      <c r="F2473">
        <v>0</v>
      </c>
      <c r="G2473">
        <v>1.48</v>
      </c>
      <c r="H2473">
        <v>27.715354999999999</v>
      </c>
      <c r="K2473">
        <v>83</v>
      </c>
      <c r="L2473">
        <v>100</v>
      </c>
      <c r="M2473">
        <v>78.099999999999994</v>
      </c>
      <c r="N2473">
        <v>14.441304000000001</v>
      </c>
      <c r="P2473">
        <v>-5.2084440570000003</v>
      </c>
      <c r="Q2473">
        <v>5917.2625749999997</v>
      </c>
      <c r="S2473">
        <v>25713</v>
      </c>
      <c r="T2473">
        <v>41.608635</v>
      </c>
      <c r="U2473">
        <v>21.745274999999999</v>
      </c>
    </row>
    <row r="2474" spans="1:21">
      <c r="A2474" t="s">
        <v>140</v>
      </c>
      <c r="B2474">
        <v>2000</v>
      </c>
      <c r="C2474">
        <v>129255.24</v>
      </c>
      <c r="D2474">
        <v>34290</v>
      </c>
      <c r="E2474">
        <v>0.32</v>
      </c>
      <c r="F2474">
        <v>0</v>
      </c>
      <c r="G2474">
        <v>142.11000000000001</v>
      </c>
      <c r="H2474">
        <v>99.775329999999997</v>
      </c>
      <c r="J2474">
        <v>60.18</v>
      </c>
      <c r="K2474">
        <v>15</v>
      </c>
      <c r="L2474">
        <v>100</v>
      </c>
      <c r="M2474">
        <v>100</v>
      </c>
      <c r="N2474">
        <v>72.397890000000004</v>
      </c>
      <c r="P2474">
        <v>3.204979222</v>
      </c>
      <c r="Q2474">
        <v>38131.460610000002</v>
      </c>
      <c r="R2474">
        <v>4.2699999999999996</v>
      </c>
      <c r="S2474">
        <v>323802</v>
      </c>
      <c r="T2474">
        <v>60.472023999999998</v>
      </c>
      <c r="U2474">
        <v>8.4689460000000008</v>
      </c>
    </row>
    <row r="2475" spans="1:21">
      <c r="A2475" t="s">
        <v>140</v>
      </c>
      <c r="B2475">
        <v>2001</v>
      </c>
      <c r="C2475">
        <v>116303.484</v>
      </c>
      <c r="D2475">
        <v>34720</v>
      </c>
      <c r="E2475">
        <v>0.42</v>
      </c>
      <c r="F2475">
        <v>0</v>
      </c>
      <c r="G2475">
        <v>120.74</v>
      </c>
      <c r="H2475">
        <v>99.653350000000003</v>
      </c>
      <c r="J2475">
        <v>59.59</v>
      </c>
      <c r="K2475">
        <v>15</v>
      </c>
      <c r="L2475">
        <v>100</v>
      </c>
      <c r="M2475">
        <v>100</v>
      </c>
      <c r="N2475">
        <v>67.582459999999998</v>
      </c>
      <c r="P2475">
        <v>2.0747903939999999</v>
      </c>
      <c r="Q2475">
        <v>38542.715100000001</v>
      </c>
      <c r="R2475">
        <v>4.3</v>
      </c>
      <c r="S2475">
        <v>323802</v>
      </c>
      <c r="T2475">
        <v>60.472023999999998</v>
      </c>
      <c r="U2475">
        <v>8.4689460000000008</v>
      </c>
    </row>
    <row r="2476" spans="1:21">
      <c r="A2476" t="s">
        <v>140</v>
      </c>
      <c r="B2476">
        <v>2002</v>
      </c>
      <c r="C2476">
        <v>120364.25</v>
      </c>
      <c r="D2476">
        <v>34369.998930000002</v>
      </c>
      <c r="E2476">
        <v>0.42</v>
      </c>
      <c r="F2476">
        <v>0</v>
      </c>
      <c r="G2476">
        <v>129.69999999999999</v>
      </c>
      <c r="H2476">
        <v>99.677220000000005</v>
      </c>
      <c r="J2476">
        <v>59.47</v>
      </c>
      <c r="K2476">
        <v>15</v>
      </c>
      <c r="L2476">
        <v>100</v>
      </c>
      <c r="M2476">
        <v>100</v>
      </c>
      <c r="N2476">
        <v>69.309820000000002</v>
      </c>
      <c r="P2476">
        <v>1.44625414</v>
      </c>
      <c r="Q2476">
        <v>43084.472470000001</v>
      </c>
      <c r="R2476">
        <v>3.94</v>
      </c>
      <c r="S2476">
        <v>323802</v>
      </c>
      <c r="T2476">
        <v>60.472023999999998</v>
      </c>
      <c r="U2476">
        <v>8.4689460000000008</v>
      </c>
    </row>
    <row r="2477" spans="1:21">
      <c r="A2477" t="s">
        <v>140</v>
      </c>
      <c r="B2477">
        <v>2003</v>
      </c>
      <c r="C2477">
        <v>105588.05499999999</v>
      </c>
      <c r="D2477">
        <v>37169.998169999999</v>
      </c>
      <c r="E2477">
        <v>0.56000000000000005</v>
      </c>
      <c r="F2477">
        <v>0</v>
      </c>
      <c r="G2477">
        <v>106.03</v>
      </c>
      <c r="H2477">
        <v>99.474625000000003</v>
      </c>
      <c r="J2477">
        <v>56.23</v>
      </c>
      <c r="K2477">
        <v>15</v>
      </c>
      <c r="L2477">
        <v>100</v>
      </c>
      <c r="M2477">
        <v>100</v>
      </c>
      <c r="N2477">
        <v>63.816035999999997</v>
      </c>
      <c r="P2477">
        <v>0.91010566400000004</v>
      </c>
      <c r="Q2477">
        <v>50134.890769999998</v>
      </c>
      <c r="R2477">
        <v>4.2300000000000004</v>
      </c>
      <c r="S2477">
        <v>323802</v>
      </c>
      <c r="T2477">
        <v>60.472023999999998</v>
      </c>
      <c r="U2477">
        <v>8.4689460000000008</v>
      </c>
    </row>
    <row r="2478" spans="1:21">
      <c r="A2478" t="s">
        <v>140</v>
      </c>
      <c r="B2478">
        <v>2004</v>
      </c>
      <c r="C2478">
        <v>106903.02</v>
      </c>
      <c r="D2478">
        <v>37340.00015</v>
      </c>
      <c r="E2478">
        <v>0.59</v>
      </c>
      <c r="F2478">
        <v>0</v>
      </c>
      <c r="G2478">
        <v>109.39</v>
      </c>
      <c r="H2478">
        <v>99.463539999999995</v>
      </c>
      <c r="J2478">
        <v>56.85</v>
      </c>
      <c r="K2478">
        <v>15</v>
      </c>
      <c r="L2478">
        <v>100</v>
      </c>
      <c r="M2478">
        <v>100</v>
      </c>
      <c r="N2478">
        <v>64.238759999999999</v>
      </c>
      <c r="P2478">
        <v>3.9694145600000001</v>
      </c>
      <c r="Q2478">
        <v>57603.836020000002</v>
      </c>
      <c r="R2478">
        <v>4.3</v>
      </c>
      <c r="S2478">
        <v>323802</v>
      </c>
      <c r="T2478">
        <v>60.472023999999998</v>
      </c>
      <c r="U2478">
        <v>8.4689460000000008</v>
      </c>
    </row>
    <row r="2479" spans="1:21">
      <c r="A2479" t="s">
        <v>140</v>
      </c>
      <c r="B2479">
        <v>2005</v>
      </c>
      <c r="C2479">
        <v>121278.375</v>
      </c>
      <c r="D2479">
        <v>36349.998469999999</v>
      </c>
      <c r="E2479">
        <v>0.57999999999999996</v>
      </c>
      <c r="F2479">
        <v>0</v>
      </c>
      <c r="G2479">
        <v>136.52000000000001</v>
      </c>
      <c r="H2479">
        <v>99.576949999999997</v>
      </c>
      <c r="J2479">
        <v>58.56</v>
      </c>
      <c r="K2479">
        <v>15</v>
      </c>
      <c r="L2479">
        <v>100</v>
      </c>
      <c r="M2479">
        <v>100</v>
      </c>
      <c r="N2479">
        <v>69.73603</v>
      </c>
      <c r="P2479">
        <v>2.6254199379999998</v>
      </c>
      <c r="Q2479">
        <v>66810.478520000004</v>
      </c>
      <c r="R2479">
        <v>4.28</v>
      </c>
      <c r="S2479">
        <v>323802</v>
      </c>
      <c r="T2479">
        <v>60.472023999999998</v>
      </c>
      <c r="U2479">
        <v>8.4689460000000008</v>
      </c>
    </row>
    <row r="2480" spans="1:21">
      <c r="A2480" t="s">
        <v>140</v>
      </c>
      <c r="B2480">
        <v>2006</v>
      </c>
      <c r="C2480">
        <v>110179.18</v>
      </c>
      <c r="D2480">
        <v>37200.000760000003</v>
      </c>
      <c r="E2480">
        <v>0.69</v>
      </c>
      <c r="F2480">
        <v>0</v>
      </c>
      <c r="G2480">
        <v>120.4</v>
      </c>
      <c r="H2480">
        <v>99.430176000000003</v>
      </c>
      <c r="J2480">
        <v>57.02</v>
      </c>
      <c r="K2480">
        <v>15</v>
      </c>
      <c r="L2480">
        <v>100</v>
      </c>
      <c r="M2480">
        <v>100</v>
      </c>
      <c r="N2480">
        <v>66.735249999999994</v>
      </c>
      <c r="P2480">
        <v>2.399828426</v>
      </c>
      <c r="Q2480">
        <v>74148.320080000005</v>
      </c>
      <c r="R2480">
        <v>4.21</v>
      </c>
      <c r="S2480">
        <v>323802</v>
      </c>
      <c r="T2480">
        <v>60.472023999999998</v>
      </c>
      <c r="U2480">
        <v>8.4689460000000008</v>
      </c>
    </row>
    <row r="2481" spans="1:21">
      <c r="A2481" t="s">
        <v>140</v>
      </c>
      <c r="B2481">
        <v>2007</v>
      </c>
      <c r="C2481">
        <v>117053.125</v>
      </c>
      <c r="D2481">
        <v>37750</v>
      </c>
      <c r="E2481">
        <v>1</v>
      </c>
      <c r="F2481">
        <v>0</v>
      </c>
      <c r="G2481">
        <v>134.94</v>
      </c>
      <c r="H2481">
        <v>99.264380000000003</v>
      </c>
      <c r="J2481">
        <v>57.36</v>
      </c>
      <c r="K2481">
        <v>15</v>
      </c>
      <c r="L2481">
        <v>100</v>
      </c>
      <c r="M2481">
        <v>100</v>
      </c>
      <c r="N2481">
        <v>69.240499999999997</v>
      </c>
      <c r="P2481">
        <v>2.9942877139999999</v>
      </c>
      <c r="Q2481">
        <v>85139.960449999999</v>
      </c>
      <c r="R2481">
        <v>3.83</v>
      </c>
      <c r="S2481">
        <v>323802</v>
      </c>
      <c r="T2481">
        <v>60.472023999999998</v>
      </c>
      <c r="U2481">
        <v>8.4689460000000008</v>
      </c>
    </row>
    <row r="2482" spans="1:21">
      <c r="A2482" t="s">
        <v>140</v>
      </c>
      <c r="B2482">
        <v>2008</v>
      </c>
      <c r="C2482">
        <v>118381.93</v>
      </c>
      <c r="D2482">
        <v>36869.998930000002</v>
      </c>
      <c r="E2482">
        <v>0.67</v>
      </c>
      <c r="F2482">
        <v>0</v>
      </c>
      <c r="G2482">
        <v>140.35</v>
      </c>
      <c r="H2482">
        <v>99.524895000000001</v>
      </c>
      <c r="J2482">
        <v>58.45</v>
      </c>
      <c r="K2482">
        <v>15</v>
      </c>
      <c r="L2482">
        <v>100</v>
      </c>
      <c r="M2482">
        <v>100</v>
      </c>
      <c r="N2482">
        <v>69.895430000000005</v>
      </c>
      <c r="P2482">
        <v>0.47634501299999998</v>
      </c>
      <c r="Q2482">
        <v>96944.095610000004</v>
      </c>
      <c r="R2482">
        <v>4.4400000000000004</v>
      </c>
      <c r="S2482">
        <v>323802</v>
      </c>
      <c r="T2482">
        <v>60.472023999999998</v>
      </c>
      <c r="U2482">
        <v>8.4689460000000008</v>
      </c>
    </row>
    <row r="2483" spans="1:21">
      <c r="A2483" t="s">
        <v>140</v>
      </c>
      <c r="B2483">
        <v>2009</v>
      </c>
      <c r="C2483">
        <v>107938.016</v>
      </c>
      <c r="D2483">
        <v>37430.000310000003</v>
      </c>
      <c r="E2483">
        <v>4.41</v>
      </c>
      <c r="F2483">
        <v>0</v>
      </c>
      <c r="G2483">
        <v>126.49</v>
      </c>
      <c r="H2483">
        <v>96.631020000000007</v>
      </c>
      <c r="J2483">
        <v>56.72</v>
      </c>
      <c r="K2483">
        <v>15</v>
      </c>
      <c r="L2483">
        <v>100</v>
      </c>
      <c r="M2483">
        <v>100</v>
      </c>
      <c r="N2483">
        <v>67.789230000000003</v>
      </c>
      <c r="P2483">
        <v>-1.727020309</v>
      </c>
      <c r="Q2483">
        <v>79977.697079999998</v>
      </c>
      <c r="R2483">
        <v>4.4400000000000004</v>
      </c>
      <c r="S2483">
        <v>323802</v>
      </c>
      <c r="T2483">
        <v>60.472023999999998</v>
      </c>
      <c r="U2483">
        <v>8.4689460000000008</v>
      </c>
    </row>
    <row r="2484" spans="1:21">
      <c r="A2484" t="s">
        <v>140</v>
      </c>
      <c r="B2484">
        <v>2010</v>
      </c>
      <c r="C2484">
        <v>102332.45</v>
      </c>
      <c r="D2484">
        <v>41409.99985</v>
      </c>
      <c r="E2484">
        <v>5.12</v>
      </c>
      <c r="F2484">
        <v>0</v>
      </c>
      <c r="G2484">
        <v>117.97</v>
      </c>
      <c r="H2484">
        <v>95.840450000000004</v>
      </c>
      <c r="J2484">
        <v>56.37</v>
      </c>
      <c r="K2484">
        <v>15</v>
      </c>
      <c r="L2484">
        <v>100</v>
      </c>
      <c r="M2484">
        <v>100</v>
      </c>
      <c r="N2484">
        <v>65.470190000000002</v>
      </c>
      <c r="P2484">
        <v>0.70183382400000005</v>
      </c>
      <c r="Q2484">
        <v>87693.790070000003</v>
      </c>
      <c r="R2484">
        <v>4.57</v>
      </c>
      <c r="S2484">
        <v>323802</v>
      </c>
      <c r="T2484">
        <v>60.472023999999998</v>
      </c>
      <c r="U2484">
        <v>8.4689460000000008</v>
      </c>
    </row>
    <row r="2485" spans="1:21">
      <c r="A2485" t="s">
        <v>140</v>
      </c>
      <c r="B2485">
        <v>2011</v>
      </c>
      <c r="C2485">
        <v>102448.8</v>
      </c>
      <c r="D2485">
        <v>39599.998469999999</v>
      </c>
      <c r="E2485">
        <v>4.3099999999999996</v>
      </c>
      <c r="F2485">
        <v>0</v>
      </c>
      <c r="G2485">
        <v>121.9</v>
      </c>
      <c r="H2485">
        <v>96.585059999999999</v>
      </c>
      <c r="J2485">
        <v>56.71</v>
      </c>
      <c r="K2485">
        <v>15</v>
      </c>
      <c r="L2485">
        <v>100</v>
      </c>
      <c r="M2485">
        <v>100</v>
      </c>
      <c r="N2485">
        <v>66.300120000000007</v>
      </c>
      <c r="P2485">
        <v>0.98143447900000003</v>
      </c>
      <c r="Q2485">
        <v>100600.5624</v>
      </c>
      <c r="R2485">
        <v>3.89</v>
      </c>
      <c r="S2485">
        <v>323802</v>
      </c>
      <c r="T2485">
        <v>60.472023999999998</v>
      </c>
      <c r="U2485">
        <v>8.4689460000000008</v>
      </c>
    </row>
    <row r="2486" spans="1:21">
      <c r="A2486" t="s">
        <v>140</v>
      </c>
      <c r="B2486">
        <v>2012</v>
      </c>
      <c r="C2486">
        <v>111982.734</v>
      </c>
      <c r="D2486">
        <v>38490.001680000001</v>
      </c>
      <c r="E2486">
        <v>2.95</v>
      </c>
      <c r="F2486">
        <v>0</v>
      </c>
      <c r="G2486">
        <v>143.6</v>
      </c>
      <c r="H2486">
        <v>97.987039999999993</v>
      </c>
      <c r="J2486">
        <v>58</v>
      </c>
      <c r="K2486">
        <v>15</v>
      </c>
      <c r="L2486">
        <v>100</v>
      </c>
      <c r="M2486">
        <v>100</v>
      </c>
      <c r="N2486">
        <v>70.095116000000004</v>
      </c>
      <c r="P2486">
        <v>2.7031094709999999</v>
      </c>
      <c r="Q2486">
        <v>101524.1419</v>
      </c>
      <c r="R2486">
        <v>4.1399999999999997</v>
      </c>
      <c r="S2486">
        <v>323802</v>
      </c>
      <c r="T2486">
        <v>60.472023999999998</v>
      </c>
      <c r="U2486">
        <v>8.4689460000000008</v>
      </c>
    </row>
    <row r="2487" spans="1:21">
      <c r="A2487" t="s">
        <v>140</v>
      </c>
      <c r="B2487">
        <v>2013</v>
      </c>
      <c r="C2487">
        <v>103711.92</v>
      </c>
      <c r="D2487">
        <v>39500</v>
      </c>
      <c r="E2487">
        <v>2.85</v>
      </c>
      <c r="F2487">
        <v>0</v>
      </c>
      <c r="G2487">
        <v>130.41999999999999</v>
      </c>
      <c r="H2487">
        <v>97.86148</v>
      </c>
      <c r="J2487">
        <v>57.42</v>
      </c>
      <c r="K2487">
        <v>15</v>
      </c>
      <c r="L2487">
        <v>100</v>
      </c>
      <c r="M2487">
        <v>100</v>
      </c>
      <c r="N2487">
        <v>67.50864</v>
      </c>
      <c r="P2487">
        <v>1.034072914</v>
      </c>
      <c r="Q2487">
        <v>102913.45080000001</v>
      </c>
      <c r="R2487">
        <v>4.37</v>
      </c>
      <c r="S2487">
        <v>323802</v>
      </c>
      <c r="T2487">
        <v>60.472023999999998</v>
      </c>
      <c r="U2487">
        <v>8.4689460000000008</v>
      </c>
    </row>
    <row r="2488" spans="1:21">
      <c r="A2488" t="s">
        <v>140</v>
      </c>
      <c r="B2488">
        <v>2014</v>
      </c>
      <c r="C2488">
        <v>105633.75</v>
      </c>
      <c r="D2488">
        <v>39110.000610000003</v>
      </c>
      <c r="E2488">
        <v>3</v>
      </c>
      <c r="F2488">
        <v>0</v>
      </c>
      <c r="G2488">
        <v>137.94</v>
      </c>
      <c r="H2488">
        <v>97.871430000000004</v>
      </c>
      <c r="J2488">
        <v>56.9</v>
      </c>
      <c r="K2488">
        <v>15</v>
      </c>
      <c r="L2488">
        <v>100</v>
      </c>
      <c r="M2488">
        <v>100</v>
      </c>
      <c r="N2488">
        <v>68.887280000000004</v>
      </c>
      <c r="P2488">
        <v>1.969544301</v>
      </c>
      <c r="Q2488">
        <v>97019.182750000007</v>
      </c>
      <c r="R2488">
        <v>3.77</v>
      </c>
      <c r="S2488">
        <v>323802</v>
      </c>
      <c r="T2488">
        <v>60.472023999999998</v>
      </c>
      <c r="U2488">
        <v>8.4689460000000008</v>
      </c>
    </row>
    <row r="2489" spans="1:21">
      <c r="A2489" t="s">
        <v>140</v>
      </c>
      <c r="B2489">
        <v>2015</v>
      </c>
      <c r="C2489">
        <v>105580.38</v>
      </c>
      <c r="D2489">
        <v>39490.001680000001</v>
      </c>
      <c r="E2489">
        <v>2.99</v>
      </c>
      <c r="F2489">
        <v>0</v>
      </c>
      <c r="G2489">
        <v>140.07</v>
      </c>
      <c r="H2489">
        <v>97.909970000000001</v>
      </c>
      <c r="J2489">
        <v>58.12</v>
      </c>
      <c r="K2489">
        <v>15</v>
      </c>
      <c r="L2489">
        <v>100</v>
      </c>
      <c r="M2489">
        <v>100</v>
      </c>
      <c r="N2489">
        <v>68.875190000000003</v>
      </c>
      <c r="P2489">
        <v>1.967128438</v>
      </c>
      <c r="Q2489">
        <v>74355.51586</v>
      </c>
      <c r="R2489">
        <v>3.77</v>
      </c>
      <c r="S2489">
        <v>323802</v>
      </c>
      <c r="T2489">
        <v>60.472023999999998</v>
      </c>
      <c r="U2489">
        <v>8.4689460000000008</v>
      </c>
    </row>
    <row r="2490" spans="1:21">
      <c r="A2490" t="s">
        <v>140</v>
      </c>
      <c r="B2490">
        <v>2016</v>
      </c>
      <c r="C2490">
        <v>106194.95</v>
      </c>
      <c r="D2490">
        <v>38759.998319999999</v>
      </c>
      <c r="E2490">
        <v>2.97</v>
      </c>
      <c r="F2490">
        <v>0</v>
      </c>
      <c r="G2490">
        <v>145.16</v>
      </c>
      <c r="H2490">
        <v>97.995000000000005</v>
      </c>
      <c r="J2490">
        <v>59.39</v>
      </c>
      <c r="K2490">
        <v>15</v>
      </c>
      <c r="L2490">
        <v>100</v>
      </c>
      <c r="M2490">
        <v>100</v>
      </c>
      <c r="N2490">
        <v>69.866290000000006</v>
      </c>
      <c r="P2490">
        <v>1.071558977</v>
      </c>
      <c r="Q2490">
        <v>70460.560530000002</v>
      </c>
      <c r="R2490">
        <v>3.57</v>
      </c>
      <c r="S2490">
        <v>323802</v>
      </c>
      <c r="T2490">
        <v>60.472023999999998</v>
      </c>
      <c r="U2490">
        <v>8.4689460000000008</v>
      </c>
    </row>
    <row r="2491" spans="1:21">
      <c r="A2491" t="s">
        <v>140</v>
      </c>
      <c r="B2491">
        <v>2017</v>
      </c>
      <c r="C2491">
        <v>105901.33</v>
      </c>
      <c r="D2491">
        <v>37720.001219999998</v>
      </c>
      <c r="E2491">
        <v>2.93</v>
      </c>
      <c r="F2491">
        <v>0</v>
      </c>
      <c r="G2491">
        <v>145.47999999999999</v>
      </c>
      <c r="H2491">
        <v>98.025734</v>
      </c>
      <c r="J2491">
        <v>61.09</v>
      </c>
      <c r="K2491">
        <v>15</v>
      </c>
      <c r="L2491">
        <v>100</v>
      </c>
      <c r="M2491">
        <v>100</v>
      </c>
      <c r="N2491">
        <v>69.260993999999997</v>
      </c>
      <c r="P2491">
        <v>2.323290208</v>
      </c>
      <c r="Q2491">
        <v>75496.754060000007</v>
      </c>
      <c r="R2491">
        <v>3.68</v>
      </c>
      <c r="S2491">
        <v>323802</v>
      </c>
      <c r="T2491">
        <v>60.472023999999998</v>
      </c>
      <c r="U2491">
        <v>8.4689460000000008</v>
      </c>
    </row>
    <row r="2492" spans="1:21">
      <c r="A2492" t="s">
        <v>140</v>
      </c>
      <c r="B2492">
        <v>2018</v>
      </c>
      <c r="C2492">
        <v>103558.19</v>
      </c>
      <c r="D2492">
        <v>37590.00015</v>
      </c>
      <c r="E2492">
        <v>2.96</v>
      </c>
      <c r="F2492">
        <v>0</v>
      </c>
      <c r="G2492">
        <v>143.06</v>
      </c>
      <c r="H2492">
        <v>97.972880000000004</v>
      </c>
      <c r="J2492">
        <v>60.75</v>
      </c>
      <c r="K2492">
        <v>15</v>
      </c>
      <c r="L2492">
        <v>100</v>
      </c>
      <c r="M2492">
        <v>100</v>
      </c>
      <c r="N2492">
        <v>68.858050000000006</v>
      </c>
      <c r="P2492">
        <v>1.118828479</v>
      </c>
      <c r="Q2492">
        <v>82267.80932</v>
      </c>
      <c r="R2492">
        <v>3.66</v>
      </c>
      <c r="S2492">
        <v>323802</v>
      </c>
      <c r="T2492">
        <v>60.472023999999998</v>
      </c>
      <c r="U2492">
        <v>8.4689460000000008</v>
      </c>
    </row>
    <row r="2493" spans="1:21">
      <c r="A2493" t="s">
        <v>140</v>
      </c>
      <c r="B2493">
        <v>2019</v>
      </c>
      <c r="C2493">
        <v>96392.5</v>
      </c>
      <c r="D2493">
        <v>35950.000760000003</v>
      </c>
      <c r="E2493">
        <v>2.76</v>
      </c>
      <c r="F2493">
        <v>0</v>
      </c>
      <c r="G2493">
        <v>131.07</v>
      </c>
      <c r="H2493">
        <v>97.937690000000003</v>
      </c>
      <c r="J2493">
        <v>62.37</v>
      </c>
      <c r="K2493">
        <v>15</v>
      </c>
      <c r="L2493">
        <v>100</v>
      </c>
      <c r="M2493">
        <v>100</v>
      </c>
      <c r="N2493">
        <v>67.085089999999994</v>
      </c>
      <c r="P2493">
        <v>0.74579821899999998</v>
      </c>
      <c r="Q2493">
        <v>75719.752900000007</v>
      </c>
      <c r="R2493">
        <v>3.33</v>
      </c>
      <c r="S2493">
        <v>323802</v>
      </c>
      <c r="T2493">
        <v>60.472023999999998</v>
      </c>
      <c r="U2493">
        <v>8.4689460000000008</v>
      </c>
    </row>
    <row r="2494" spans="1:21">
      <c r="A2494" t="s">
        <v>140</v>
      </c>
      <c r="B2494">
        <v>2020</v>
      </c>
      <c r="C2494">
        <v>103888.89</v>
      </c>
      <c r="E2494">
        <v>2.2000000000000002</v>
      </c>
      <c r="F2494">
        <v>0</v>
      </c>
      <c r="G2494">
        <v>152.09</v>
      </c>
      <c r="H2494">
        <v>98.574119999999994</v>
      </c>
      <c r="K2494">
        <v>15</v>
      </c>
      <c r="L2494">
        <v>100</v>
      </c>
      <c r="M2494">
        <v>100</v>
      </c>
      <c r="N2494">
        <v>70.963059999999999</v>
      </c>
      <c r="P2494">
        <v>-0.71718266900000005</v>
      </c>
      <c r="Q2494">
        <v>67329.677790000002</v>
      </c>
      <c r="S2494">
        <v>323802</v>
      </c>
      <c r="T2494">
        <v>60.472023999999998</v>
      </c>
      <c r="U2494">
        <v>8.4689460000000008</v>
      </c>
    </row>
    <row r="2495" spans="1:21">
      <c r="A2495" t="s">
        <v>141</v>
      </c>
      <c r="B2495">
        <v>2000</v>
      </c>
      <c r="C2495">
        <v>47317.116999999998</v>
      </c>
      <c r="D2495">
        <v>25110</v>
      </c>
      <c r="E2495">
        <v>8.56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16</v>
      </c>
      <c r="L2495">
        <v>100</v>
      </c>
      <c r="M2495">
        <v>100</v>
      </c>
      <c r="N2495">
        <v>0</v>
      </c>
      <c r="P2495">
        <v>6.5510666500000001</v>
      </c>
      <c r="Q2495">
        <v>8601.2719440000001</v>
      </c>
      <c r="R2495">
        <v>4.09</v>
      </c>
      <c r="S2495">
        <v>309500</v>
      </c>
      <c r="T2495">
        <v>21.473532899999999</v>
      </c>
      <c r="U2495">
        <v>55.975413000000003</v>
      </c>
    </row>
    <row r="2496" spans="1:21">
      <c r="A2496" t="s">
        <v>141</v>
      </c>
      <c r="B2496">
        <v>2001</v>
      </c>
      <c r="C2496">
        <v>51864.105000000003</v>
      </c>
      <c r="D2496">
        <v>28030</v>
      </c>
      <c r="E2496">
        <v>9.15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16</v>
      </c>
      <c r="L2496">
        <v>100</v>
      </c>
      <c r="M2496">
        <v>100</v>
      </c>
      <c r="N2496">
        <v>0</v>
      </c>
      <c r="P2496">
        <v>4.4828023049999999</v>
      </c>
      <c r="Q2496">
        <v>8475.9686430000002</v>
      </c>
      <c r="R2496">
        <v>3.98</v>
      </c>
      <c r="S2496">
        <v>309500</v>
      </c>
      <c r="T2496">
        <v>21.473532899999999</v>
      </c>
      <c r="U2496">
        <v>55.975413000000003</v>
      </c>
    </row>
    <row r="2497" spans="1:21">
      <c r="A2497" t="s">
        <v>141</v>
      </c>
      <c r="B2497">
        <v>2002</v>
      </c>
      <c r="C2497">
        <v>55331.733999999997</v>
      </c>
      <c r="D2497">
        <v>29969.999309999999</v>
      </c>
      <c r="E2497">
        <v>9.7100000000000009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16</v>
      </c>
      <c r="L2497">
        <v>100</v>
      </c>
      <c r="M2497">
        <v>100</v>
      </c>
      <c r="N2497">
        <v>0</v>
      </c>
      <c r="P2497">
        <v>-1.100904852</v>
      </c>
      <c r="Q2497">
        <v>8626.9652339999993</v>
      </c>
      <c r="R2497">
        <v>4.28</v>
      </c>
      <c r="S2497">
        <v>309500</v>
      </c>
      <c r="T2497">
        <v>21.473532899999999</v>
      </c>
      <c r="U2497">
        <v>55.975413000000003</v>
      </c>
    </row>
    <row r="2498" spans="1:21">
      <c r="A2498" t="s">
        <v>141</v>
      </c>
      <c r="B2498">
        <v>2003</v>
      </c>
      <c r="C2498">
        <v>56736.633000000002</v>
      </c>
      <c r="D2498">
        <v>31700.000759999999</v>
      </c>
      <c r="E2498">
        <v>10.07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16</v>
      </c>
      <c r="L2498">
        <v>100</v>
      </c>
      <c r="M2498">
        <v>100</v>
      </c>
      <c r="N2498">
        <v>0</v>
      </c>
      <c r="P2498">
        <v>-2.6685913920000002</v>
      </c>
      <c r="Q2498">
        <v>9066.312371</v>
      </c>
      <c r="R2498">
        <v>4.57</v>
      </c>
      <c r="S2498">
        <v>309500</v>
      </c>
      <c r="T2498">
        <v>21.473532899999999</v>
      </c>
      <c r="U2498">
        <v>55.975413000000003</v>
      </c>
    </row>
    <row r="2499" spans="1:21">
      <c r="A2499" t="s">
        <v>141</v>
      </c>
      <c r="B2499">
        <v>2004</v>
      </c>
      <c r="C2499">
        <v>51916.52</v>
      </c>
      <c r="D2499">
        <v>31260.000230000001</v>
      </c>
      <c r="E2499">
        <v>10.81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16</v>
      </c>
      <c r="L2499">
        <v>100</v>
      </c>
      <c r="M2499">
        <v>100</v>
      </c>
      <c r="N2499">
        <v>0</v>
      </c>
      <c r="P2499">
        <v>1.2922055109999999</v>
      </c>
      <c r="Q2499">
        <v>10126.13774</v>
      </c>
      <c r="R2499">
        <v>4.71</v>
      </c>
      <c r="S2499">
        <v>309500</v>
      </c>
      <c r="T2499">
        <v>21.473532899999999</v>
      </c>
      <c r="U2499">
        <v>55.975413000000003</v>
      </c>
    </row>
    <row r="2500" spans="1:21">
      <c r="A2500" t="s">
        <v>141</v>
      </c>
      <c r="B2500">
        <v>2005</v>
      </c>
      <c r="C2500">
        <v>61629.491999999998</v>
      </c>
      <c r="D2500">
        <v>31010.000230000001</v>
      </c>
      <c r="E2500">
        <v>11.89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16</v>
      </c>
      <c r="L2500">
        <v>100</v>
      </c>
      <c r="M2500">
        <v>100</v>
      </c>
      <c r="N2500">
        <v>0</v>
      </c>
      <c r="P2500">
        <v>2.4902212850000001</v>
      </c>
      <c r="Q2500">
        <v>12377.08001</v>
      </c>
      <c r="R2500">
        <v>5.18</v>
      </c>
      <c r="S2500">
        <v>309500</v>
      </c>
      <c r="T2500">
        <v>21.473532899999999</v>
      </c>
      <c r="U2500">
        <v>55.975413000000003</v>
      </c>
    </row>
    <row r="2501" spans="1:21">
      <c r="A2501" t="s">
        <v>141</v>
      </c>
      <c r="B2501">
        <v>2006</v>
      </c>
      <c r="C2501">
        <v>66495.539999999994</v>
      </c>
      <c r="D2501">
        <v>39189.998630000002</v>
      </c>
      <c r="E2501">
        <v>13.26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16</v>
      </c>
      <c r="L2501">
        <v>100</v>
      </c>
      <c r="M2501">
        <v>100</v>
      </c>
      <c r="N2501">
        <v>0</v>
      </c>
      <c r="P2501">
        <v>5.3718889550000002</v>
      </c>
      <c r="Q2501">
        <v>14420.51204</v>
      </c>
      <c r="R2501">
        <v>7.66</v>
      </c>
      <c r="S2501">
        <v>309500</v>
      </c>
      <c r="T2501">
        <v>21.473532899999999</v>
      </c>
      <c r="U2501">
        <v>55.975413000000003</v>
      </c>
    </row>
    <row r="2502" spans="1:21">
      <c r="A2502" t="s">
        <v>141</v>
      </c>
      <c r="B2502">
        <v>2007</v>
      </c>
      <c r="C2502">
        <v>66225.37</v>
      </c>
      <c r="D2502">
        <v>42259.998319999999</v>
      </c>
      <c r="E2502">
        <v>13.32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16</v>
      </c>
      <c r="L2502">
        <v>100</v>
      </c>
      <c r="M2502">
        <v>100</v>
      </c>
      <c r="N2502">
        <v>0</v>
      </c>
      <c r="P2502">
        <v>4.4526837410000004</v>
      </c>
      <c r="Q2502">
        <v>15838.46956</v>
      </c>
      <c r="R2502">
        <v>8.4</v>
      </c>
      <c r="S2502">
        <v>309500</v>
      </c>
      <c r="T2502">
        <v>21.473532899999999</v>
      </c>
      <c r="U2502">
        <v>55.975413000000003</v>
      </c>
    </row>
    <row r="2503" spans="1:21">
      <c r="A2503" t="s">
        <v>141</v>
      </c>
      <c r="B2503">
        <v>2008</v>
      </c>
      <c r="C2503">
        <v>75738.22</v>
      </c>
      <c r="D2503">
        <v>41310.001369999998</v>
      </c>
      <c r="E2503">
        <v>14.88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16</v>
      </c>
      <c r="L2503">
        <v>100</v>
      </c>
      <c r="M2503">
        <v>100</v>
      </c>
      <c r="N2503">
        <v>0</v>
      </c>
      <c r="P2503">
        <v>8.2000781840000005</v>
      </c>
      <c r="Q2503">
        <v>22139.740709999998</v>
      </c>
      <c r="R2503">
        <v>6.83</v>
      </c>
      <c r="S2503">
        <v>309500</v>
      </c>
      <c r="T2503">
        <v>21.473532899999999</v>
      </c>
      <c r="U2503">
        <v>55.975413000000003</v>
      </c>
    </row>
    <row r="2504" spans="1:21">
      <c r="A2504" t="s">
        <v>141</v>
      </c>
      <c r="B2504">
        <v>2009</v>
      </c>
      <c r="C2504">
        <v>73844.125</v>
      </c>
      <c r="D2504">
        <v>43590.00015</v>
      </c>
      <c r="E2504">
        <v>16.75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16</v>
      </c>
      <c r="L2504">
        <v>100</v>
      </c>
      <c r="M2504">
        <v>100</v>
      </c>
      <c r="N2504">
        <v>0</v>
      </c>
      <c r="P2504">
        <v>6.1123954659999997</v>
      </c>
      <c r="Q2504">
        <v>16823.794979999999</v>
      </c>
      <c r="R2504">
        <v>6.56</v>
      </c>
      <c r="S2504">
        <v>309500</v>
      </c>
      <c r="T2504">
        <v>21.473532899999999</v>
      </c>
      <c r="U2504">
        <v>55.975413000000003</v>
      </c>
    </row>
    <row r="2505" spans="1:21">
      <c r="A2505" t="s">
        <v>141</v>
      </c>
      <c r="B2505">
        <v>2010</v>
      </c>
      <c r="C2505">
        <v>82213.054999999993</v>
      </c>
      <c r="D2505">
        <v>47080.001830000001</v>
      </c>
      <c r="E2505">
        <v>18.63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16</v>
      </c>
      <c r="L2505">
        <v>100</v>
      </c>
      <c r="M2505">
        <v>100</v>
      </c>
      <c r="N2505">
        <v>0</v>
      </c>
      <c r="P2505">
        <v>1.7139852630000001</v>
      </c>
      <c r="Q2505">
        <v>21369.35297</v>
      </c>
      <c r="R2505">
        <v>7.55</v>
      </c>
      <c r="S2505">
        <v>309500</v>
      </c>
      <c r="T2505">
        <v>21.473532899999999</v>
      </c>
      <c r="U2505">
        <v>55.975413000000003</v>
      </c>
    </row>
    <row r="2506" spans="1:21">
      <c r="A2506" t="s">
        <v>141</v>
      </c>
      <c r="B2506">
        <v>2011</v>
      </c>
      <c r="C2506">
        <v>80976.87</v>
      </c>
      <c r="D2506">
        <v>53619.998930000002</v>
      </c>
      <c r="E2506">
        <v>20.56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16</v>
      </c>
      <c r="L2506">
        <v>100</v>
      </c>
      <c r="M2506">
        <v>100</v>
      </c>
      <c r="N2506">
        <v>0</v>
      </c>
      <c r="P2506">
        <v>2.894609735</v>
      </c>
      <c r="Q2506">
        <v>23837.310939999999</v>
      </c>
      <c r="R2506">
        <v>8.7200000000000006</v>
      </c>
      <c r="S2506">
        <v>309500</v>
      </c>
      <c r="T2506">
        <v>21.473532899999999</v>
      </c>
      <c r="U2506">
        <v>55.975413000000003</v>
      </c>
    </row>
    <row r="2507" spans="1:21">
      <c r="A2507" t="s">
        <v>141</v>
      </c>
      <c r="B2507">
        <v>2012</v>
      </c>
      <c r="C2507">
        <v>80129</v>
      </c>
      <c r="D2507">
        <v>60549.999239999997</v>
      </c>
      <c r="E2507">
        <v>23.52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16</v>
      </c>
      <c r="L2507">
        <v>100</v>
      </c>
      <c r="M2507">
        <v>100</v>
      </c>
      <c r="N2507">
        <v>0</v>
      </c>
      <c r="P2507">
        <v>8.8631222560000005</v>
      </c>
      <c r="Q2507">
        <v>24988.012589999998</v>
      </c>
      <c r="R2507">
        <v>8.6300000000000008</v>
      </c>
      <c r="S2507">
        <v>309500</v>
      </c>
      <c r="T2507">
        <v>21.473532899999999</v>
      </c>
      <c r="U2507">
        <v>55.975413000000003</v>
      </c>
    </row>
    <row r="2508" spans="1:21">
      <c r="A2508" t="s">
        <v>141</v>
      </c>
      <c r="B2508">
        <v>2013</v>
      </c>
      <c r="C2508">
        <v>83183.34</v>
      </c>
      <c r="D2508">
        <v>63009.998319999999</v>
      </c>
      <c r="E2508">
        <v>24.67</v>
      </c>
      <c r="F2508">
        <v>0</v>
      </c>
      <c r="G2508">
        <v>0</v>
      </c>
      <c r="H2508">
        <v>0</v>
      </c>
      <c r="I2508">
        <v>0.19</v>
      </c>
      <c r="J2508">
        <v>0</v>
      </c>
      <c r="K2508">
        <v>16</v>
      </c>
      <c r="L2508">
        <v>100</v>
      </c>
      <c r="M2508">
        <v>100</v>
      </c>
      <c r="N2508">
        <v>1.02797E-3</v>
      </c>
      <c r="P2508">
        <v>5.2277040809999997</v>
      </c>
      <c r="Q2508">
        <v>23888.62658</v>
      </c>
      <c r="R2508">
        <v>8.41</v>
      </c>
      <c r="S2508">
        <v>309500</v>
      </c>
      <c r="T2508">
        <v>21.473532899999999</v>
      </c>
      <c r="U2508">
        <v>55.975413000000003</v>
      </c>
    </row>
    <row r="2509" spans="1:21">
      <c r="A2509" t="s">
        <v>141</v>
      </c>
      <c r="B2509">
        <v>2014</v>
      </c>
      <c r="C2509">
        <v>78766.81</v>
      </c>
      <c r="D2509">
        <v>66389.999389999997</v>
      </c>
      <c r="E2509">
        <v>27.38</v>
      </c>
      <c r="F2509">
        <v>0</v>
      </c>
      <c r="G2509">
        <v>0</v>
      </c>
      <c r="H2509">
        <v>0</v>
      </c>
      <c r="I2509">
        <v>0.17</v>
      </c>
      <c r="J2509">
        <v>0</v>
      </c>
      <c r="K2509">
        <v>16</v>
      </c>
      <c r="L2509">
        <v>100</v>
      </c>
      <c r="M2509">
        <v>100</v>
      </c>
      <c r="N2509">
        <v>1.0236640000000001E-3</v>
      </c>
      <c r="P2509">
        <v>1.2922522940000001</v>
      </c>
      <c r="Q2509">
        <v>23017.933980000002</v>
      </c>
      <c r="R2509">
        <v>8.2799999999999994</v>
      </c>
      <c r="S2509">
        <v>309500</v>
      </c>
      <c r="T2509">
        <v>21.473532899999999</v>
      </c>
      <c r="U2509">
        <v>55.975413000000003</v>
      </c>
    </row>
    <row r="2510" spans="1:21">
      <c r="A2510" t="s">
        <v>141</v>
      </c>
      <c r="B2510">
        <v>2015</v>
      </c>
      <c r="C2510">
        <v>80343.990000000005</v>
      </c>
      <c r="D2510">
        <v>70129.99725</v>
      </c>
      <c r="E2510">
        <v>30.79</v>
      </c>
      <c r="F2510">
        <v>0</v>
      </c>
      <c r="G2510">
        <v>0</v>
      </c>
      <c r="H2510">
        <v>0</v>
      </c>
      <c r="I2510">
        <v>0.52</v>
      </c>
      <c r="J2510">
        <v>0</v>
      </c>
      <c r="K2510">
        <v>16</v>
      </c>
      <c r="L2510">
        <v>100</v>
      </c>
      <c r="M2510">
        <v>100</v>
      </c>
      <c r="N2510">
        <v>2.971764E-3</v>
      </c>
      <c r="P2510">
        <v>5.0170579970000002</v>
      </c>
      <c r="Q2510">
        <v>18444.927</v>
      </c>
      <c r="R2510">
        <v>8.2100000000000009</v>
      </c>
      <c r="S2510">
        <v>309500</v>
      </c>
      <c r="T2510">
        <v>21.473532899999999</v>
      </c>
      <c r="U2510">
        <v>55.975413000000003</v>
      </c>
    </row>
    <row r="2511" spans="1:21">
      <c r="A2511" t="s">
        <v>141</v>
      </c>
      <c r="B2511">
        <v>2016</v>
      </c>
      <c r="C2511">
        <v>76792.23</v>
      </c>
      <c r="D2511">
        <v>72129.99725</v>
      </c>
      <c r="E2511">
        <v>32.17</v>
      </c>
      <c r="F2511">
        <v>0</v>
      </c>
      <c r="G2511">
        <v>0</v>
      </c>
      <c r="H2511">
        <v>0</v>
      </c>
      <c r="I2511">
        <v>0.49</v>
      </c>
      <c r="J2511">
        <v>0</v>
      </c>
      <c r="K2511">
        <v>16</v>
      </c>
      <c r="L2511">
        <v>100</v>
      </c>
      <c r="M2511">
        <v>100</v>
      </c>
      <c r="N2511">
        <v>3.3375409999999999E-3</v>
      </c>
      <c r="P2511">
        <v>5.046423946</v>
      </c>
      <c r="Q2511">
        <v>16772.73921</v>
      </c>
      <c r="R2511">
        <v>7.56</v>
      </c>
      <c r="S2511">
        <v>309500</v>
      </c>
      <c r="T2511">
        <v>21.473532899999999</v>
      </c>
      <c r="U2511">
        <v>55.975413000000003</v>
      </c>
    </row>
    <row r="2512" spans="1:21">
      <c r="A2512" t="s">
        <v>141</v>
      </c>
      <c r="B2512">
        <v>2017</v>
      </c>
      <c r="C2512">
        <v>77804.740000000005</v>
      </c>
      <c r="D2512">
        <v>71930.000310000003</v>
      </c>
      <c r="E2512">
        <v>33.96</v>
      </c>
      <c r="F2512">
        <v>0</v>
      </c>
      <c r="G2512">
        <v>0.02</v>
      </c>
      <c r="H2512">
        <v>5.8858151999999997E-2</v>
      </c>
      <c r="I2512">
        <v>1.76</v>
      </c>
      <c r="J2512">
        <v>0</v>
      </c>
      <c r="K2512">
        <v>16</v>
      </c>
      <c r="L2512">
        <v>100</v>
      </c>
      <c r="M2512">
        <v>100</v>
      </c>
      <c r="N2512">
        <v>1.1463476E-2</v>
      </c>
      <c r="P2512">
        <v>0.304057566</v>
      </c>
      <c r="Q2512">
        <v>17329.185460000001</v>
      </c>
      <c r="R2512">
        <v>8.07</v>
      </c>
      <c r="S2512">
        <v>309500</v>
      </c>
      <c r="T2512">
        <v>21.473532899999999</v>
      </c>
      <c r="U2512">
        <v>55.975413000000003</v>
      </c>
    </row>
    <row r="2513" spans="1:21">
      <c r="A2513" t="s">
        <v>141</v>
      </c>
      <c r="B2513">
        <v>2018</v>
      </c>
      <c r="C2513">
        <v>81662.58</v>
      </c>
      <c r="D2513">
        <v>75599.998470000006</v>
      </c>
      <c r="E2513">
        <v>35.450000000000003</v>
      </c>
      <c r="F2513">
        <v>0</v>
      </c>
      <c r="G2513">
        <v>0.02</v>
      </c>
      <c r="H2513">
        <v>5.6385677000000002E-2</v>
      </c>
      <c r="I2513">
        <v>1.72</v>
      </c>
      <c r="J2513">
        <v>0</v>
      </c>
      <c r="K2513">
        <v>16</v>
      </c>
      <c r="L2513">
        <v>100</v>
      </c>
      <c r="M2513">
        <v>100</v>
      </c>
      <c r="N2513">
        <v>1.0915677E-2</v>
      </c>
      <c r="P2513">
        <v>1.2871039150000001</v>
      </c>
      <c r="Q2513">
        <v>18947.3665</v>
      </c>
      <c r="R2513">
        <v>7.79</v>
      </c>
      <c r="S2513">
        <v>309500</v>
      </c>
      <c r="T2513">
        <v>21.473532899999999</v>
      </c>
      <c r="U2513">
        <v>55.975413000000003</v>
      </c>
    </row>
    <row r="2514" spans="1:21">
      <c r="A2514" t="s">
        <v>141</v>
      </c>
      <c r="B2514">
        <v>2019</v>
      </c>
      <c r="C2514">
        <v>81070.86</v>
      </c>
      <c r="D2514">
        <v>76029.998779999994</v>
      </c>
      <c r="E2514">
        <v>36.03</v>
      </c>
      <c r="F2514">
        <v>0</v>
      </c>
      <c r="G2514">
        <v>0.02</v>
      </c>
      <c r="H2514">
        <v>5.5478501999999999E-2</v>
      </c>
      <c r="I2514">
        <v>11.81</v>
      </c>
      <c r="J2514">
        <v>0</v>
      </c>
      <c r="K2514">
        <v>16</v>
      </c>
      <c r="L2514">
        <v>100</v>
      </c>
      <c r="M2514">
        <v>100</v>
      </c>
      <c r="N2514">
        <v>1.7586905999999999E-2</v>
      </c>
      <c r="P2514">
        <v>-1.129206457</v>
      </c>
      <c r="Q2514">
        <v>17700.70349</v>
      </c>
      <c r="R2514">
        <v>7.23</v>
      </c>
      <c r="S2514">
        <v>309500</v>
      </c>
      <c r="T2514">
        <v>21.473532899999999</v>
      </c>
      <c r="U2514">
        <v>55.975413000000003</v>
      </c>
    </row>
    <row r="2515" spans="1:21">
      <c r="A2515" t="s">
        <v>141</v>
      </c>
      <c r="B2515">
        <v>2020</v>
      </c>
      <c r="C2515">
        <v>79038.304999999993</v>
      </c>
      <c r="E2515">
        <v>34.21</v>
      </c>
      <c r="F2515">
        <v>0</v>
      </c>
      <c r="G2515">
        <v>0.13</v>
      </c>
      <c r="H2515">
        <v>0.37856728000000001</v>
      </c>
      <c r="I2515">
        <v>31.08</v>
      </c>
      <c r="K2515">
        <v>16</v>
      </c>
      <c r="L2515">
        <v>100</v>
      </c>
      <c r="M2515">
        <v>100</v>
      </c>
      <c r="N2515">
        <v>0.2240027</v>
      </c>
      <c r="P2515">
        <v>-3.2009359900000001</v>
      </c>
      <c r="Q2515">
        <v>14485.386119999999</v>
      </c>
      <c r="S2515">
        <v>309500</v>
      </c>
      <c r="T2515">
        <v>21.473532899999999</v>
      </c>
      <c r="U2515">
        <v>55.975413000000003</v>
      </c>
    </row>
    <row r="2516" spans="1:21">
      <c r="A2516" t="s">
        <v>142</v>
      </c>
      <c r="B2516">
        <v>2000</v>
      </c>
      <c r="C2516">
        <v>3133.7341000000001</v>
      </c>
      <c r="D2516">
        <v>98370</v>
      </c>
      <c r="E2516">
        <v>45.23</v>
      </c>
      <c r="F2516">
        <v>0.38</v>
      </c>
      <c r="G2516">
        <v>17.79</v>
      </c>
      <c r="H2516">
        <v>28.659306000000001</v>
      </c>
      <c r="I2516">
        <v>36.36</v>
      </c>
      <c r="J2516">
        <v>51.05</v>
      </c>
      <c r="K2516">
        <v>287</v>
      </c>
      <c r="L2516">
        <v>70.310599999999994</v>
      </c>
      <c r="M2516">
        <v>23.7</v>
      </c>
      <c r="N2516">
        <v>11.344158</v>
      </c>
      <c r="O2516">
        <v>40000</v>
      </c>
      <c r="P2516">
        <v>4.2600880109999997</v>
      </c>
      <c r="Q2516">
        <v>576.19558040000004</v>
      </c>
      <c r="R2516">
        <v>5.77</v>
      </c>
      <c r="S2516">
        <v>796095</v>
      </c>
      <c r="T2516">
        <v>30.375321</v>
      </c>
      <c r="U2516">
        <v>69.345116000000004</v>
      </c>
    </row>
    <row r="2517" spans="1:21">
      <c r="A2517" t="s">
        <v>142</v>
      </c>
      <c r="B2517">
        <v>2001</v>
      </c>
      <c r="C2517">
        <v>3109.8933000000002</v>
      </c>
      <c r="D2517">
        <v>99840</v>
      </c>
      <c r="E2517">
        <v>47.33</v>
      </c>
      <c r="F2517">
        <v>1.98</v>
      </c>
      <c r="G2517">
        <v>19.54</v>
      </c>
      <c r="H2517">
        <v>31.256354999999999</v>
      </c>
      <c r="I2517">
        <v>36.4</v>
      </c>
      <c r="J2517">
        <v>51.54</v>
      </c>
      <c r="K2517">
        <v>287</v>
      </c>
      <c r="L2517">
        <v>70.361534000000006</v>
      </c>
      <c r="M2517">
        <v>24.4</v>
      </c>
      <c r="N2517">
        <v>11.415050000000001</v>
      </c>
      <c r="O2517">
        <v>360220000</v>
      </c>
      <c r="P2517">
        <v>3.5544182160000002</v>
      </c>
      <c r="Q2517">
        <v>544.49425140000005</v>
      </c>
      <c r="R2517">
        <v>5.66</v>
      </c>
      <c r="S2517">
        <v>796095</v>
      </c>
      <c r="T2517">
        <v>30.375321</v>
      </c>
      <c r="U2517">
        <v>69.345116000000004</v>
      </c>
    </row>
    <row r="2518" spans="1:21">
      <c r="A2518" t="s">
        <v>142</v>
      </c>
      <c r="B2518">
        <v>2002</v>
      </c>
      <c r="C2518">
        <v>3148.9677999999999</v>
      </c>
      <c r="D2518">
        <v>102330.0018</v>
      </c>
      <c r="E2518">
        <v>47.69</v>
      </c>
      <c r="F2518">
        <v>1.8</v>
      </c>
      <c r="G2518">
        <v>22.95</v>
      </c>
      <c r="H2518">
        <v>34.166206000000003</v>
      </c>
      <c r="I2518">
        <v>35.57</v>
      </c>
      <c r="J2518">
        <v>51.39</v>
      </c>
      <c r="K2518">
        <v>287</v>
      </c>
      <c r="L2518">
        <v>70.404880000000006</v>
      </c>
      <c r="M2518">
        <v>25.6</v>
      </c>
      <c r="N2518">
        <v>12.188603000000001</v>
      </c>
      <c r="O2518">
        <v>180000</v>
      </c>
      <c r="P2518">
        <v>2.508337724</v>
      </c>
      <c r="Q2518">
        <v>534.30390069999999</v>
      </c>
      <c r="R2518">
        <v>5.61</v>
      </c>
      <c r="S2518">
        <v>796095</v>
      </c>
      <c r="T2518">
        <v>30.375321</v>
      </c>
      <c r="U2518">
        <v>69.345116000000004</v>
      </c>
    </row>
    <row r="2519" spans="1:21">
      <c r="A2519" t="s">
        <v>142</v>
      </c>
      <c r="B2519">
        <v>2003</v>
      </c>
      <c r="C2519">
        <v>3355.3328000000001</v>
      </c>
      <c r="D2519">
        <v>105660.0037</v>
      </c>
      <c r="E2519">
        <v>48.18</v>
      </c>
      <c r="F2519">
        <v>1.81</v>
      </c>
      <c r="G2519">
        <v>27.49</v>
      </c>
      <c r="H2519">
        <v>37.816208000000003</v>
      </c>
      <c r="I2519">
        <v>38.54</v>
      </c>
      <c r="J2519">
        <v>50.09</v>
      </c>
      <c r="K2519">
        <v>287</v>
      </c>
      <c r="L2519">
        <v>70.442989999999995</v>
      </c>
      <c r="M2519">
        <v>26.7</v>
      </c>
      <c r="N2519">
        <v>13.333745</v>
      </c>
      <c r="O2519">
        <v>2780000</v>
      </c>
      <c r="P2519">
        <v>5.7770339919999998</v>
      </c>
      <c r="Q2519">
        <v>599.37633049999999</v>
      </c>
      <c r="R2519">
        <v>5.55</v>
      </c>
      <c r="S2519">
        <v>796095</v>
      </c>
      <c r="T2519">
        <v>30.375321</v>
      </c>
      <c r="U2519">
        <v>69.345116000000004</v>
      </c>
    </row>
    <row r="2520" spans="1:21">
      <c r="A2520" t="s">
        <v>142</v>
      </c>
      <c r="B2520">
        <v>2004</v>
      </c>
      <c r="C2520">
        <v>3651.1396</v>
      </c>
      <c r="D2520">
        <v>118650.0015</v>
      </c>
      <c r="E2520">
        <v>52.87</v>
      </c>
      <c r="F2520">
        <v>1.93</v>
      </c>
      <c r="G2520">
        <v>26.34</v>
      </c>
      <c r="H2520">
        <v>34.841014999999999</v>
      </c>
      <c r="I2520">
        <v>43.25</v>
      </c>
      <c r="J2520">
        <v>47.93</v>
      </c>
      <c r="K2520">
        <v>287</v>
      </c>
      <c r="L2520">
        <v>70.478219999999993</v>
      </c>
      <c r="M2520">
        <v>27.65</v>
      </c>
      <c r="N2520">
        <v>12.676342999999999</v>
      </c>
      <c r="O2520">
        <v>40000</v>
      </c>
      <c r="P2520">
        <v>7.546860015</v>
      </c>
      <c r="Q2520">
        <v>687.83641269999998</v>
      </c>
      <c r="R2520">
        <v>5.53</v>
      </c>
      <c r="S2520">
        <v>796095</v>
      </c>
      <c r="T2520">
        <v>30.375321</v>
      </c>
      <c r="U2520">
        <v>69.345116000000004</v>
      </c>
    </row>
    <row r="2521" spans="1:21">
      <c r="A2521" t="s">
        <v>142</v>
      </c>
      <c r="B2521">
        <v>2005</v>
      </c>
      <c r="C2521">
        <v>3707.498</v>
      </c>
      <c r="D2521">
        <v>121669.9982</v>
      </c>
      <c r="E2521">
        <v>55.7</v>
      </c>
      <c r="F2521">
        <v>2.41</v>
      </c>
      <c r="G2521">
        <v>31.52</v>
      </c>
      <c r="H2521">
        <v>37.855629999999998</v>
      </c>
      <c r="I2521">
        <v>42.28</v>
      </c>
      <c r="J2521">
        <v>47.96</v>
      </c>
      <c r="K2521">
        <v>287</v>
      </c>
      <c r="L2521">
        <v>70.512900000000002</v>
      </c>
      <c r="M2521">
        <v>28.8</v>
      </c>
      <c r="N2521">
        <v>13.59751</v>
      </c>
      <c r="O2521">
        <v>4070000</v>
      </c>
      <c r="P2521">
        <v>6.5187780740000001</v>
      </c>
      <c r="Q2521">
        <v>748.92258930000003</v>
      </c>
      <c r="R2521">
        <v>5.38</v>
      </c>
      <c r="S2521">
        <v>796095</v>
      </c>
      <c r="T2521">
        <v>30.375321</v>
      </c>
      <c r="U2521">
        <v>69.345116000000004</v>
      </c>
    </row>
    <row r="2522" spans="1:21">
      <c r="A2522" t="s">
        <v>142</v>
      </c>
      <c r="B2522">
        <v>2006</v>
      </c>
      <c r="C2522">
        <v>3826.2024000000001</v>
      </c>
      <c r="D2522">
        <v>132479.9957</v>
      </c>
      <c r="E2522">
        <v>59.1</v>
      </c>
      <c r="F2522">
        <v>2.5499999999999998</v>
      </c>
      <c r="G2522">
        <v>32.659999999999997</v>
      </c>
      <c r="H2522">
        <v>37.334324000000002</v>
      </c>
      <c r="I2522">
        <v>41.23</v>
      </c>
      <c r="J2522">
        <v>47.04</v>
      </c>
      <c r="K2522">
        <v>287</v>
      </c>
      <c r="L2522">
        <v>70.549469999999999</v>
      </c>
      <c r="M2522">
        <v>30.2</v>
      </c>
      <c r="N2522">
        <v>12.633492</v>
      </c>
      <c r="O2522">
        <v>6820000</v>
      </c>
      <c r="P2522">
        <v>5.8989844409999996</v>
      </c>
      <c r="Q2522">
        <v>836.86052619999998</v>
      </c>
      <c r="R2522">
        <v>5.3</v>
      </c>
      <c r="S2522">
        <v>796095</v>
      </c>
      <c r="T2522">
        <v>30.375321</v>
      </c>
      <c r="U2522">
        <v>69.345116000000004</v>
      </c>
    </row>
    <row r="2523" spans="1:21">
      <c r="A2523" t="s">
        <v>142</v>
      </c>
      <c r="B2523">
        <v>2007</v>
      </c>
      <c r="C2523">
        <v>3981.9286999999999</v>
      </c>
      <c r="D2523">
        <v>146259.9945</v>
      </c>
      <c r="E2523">
        <v>58.94</v>
      </c>
      <c r="F2523">
        <v>2.31</v>
      </c>
      <c r="G2523">
        <v>29.53</v>
      </c>
      <c r="H2523">
        <v>35.073807000000002</v>
      </c>
      <c r="I2523">
        <v>40.51</v>
      </c>
      <c r="J2523">
        <v>44.85</v>
      </c>
      <c r="K2523">
        <v>287</v>
      </c>
      <c r="L2523">
        <v>70.590546000000003</v>
      </c>
      <c r="M2523">
        <v>31.5</v>
      </c>
      <c r="N2523">
        <v>12.365368</v>
      </c>
      <c r="O2523">
        <v>122690000</v>
      </c>
      <c r="P2523">
        <v>4.8328172770000002</v>
      </c>
      <c r="Q2523">
        <v>908.09508519999997</v>
      </c>
      <c r="R2523">
        <v>5.35</v>
      </c>
      <c r="S2523">
        <v>796095</v>
      </c>
      <c r="T2523">
        <v>30.375321</v>
      </c>
      <c r="U2523">
        <v>69.345116000000004</v>
      </c>
    </row>
    <row r="2524" spans="1:21">
      <c r="A2524" t="s">
        <v>142</v>
      </c>
      <c r="B2524">
        <v>2008</v>
      </c>
      <c r="C2524">
        <v>3915.4009999999998</v>
      </c>
      <c r="D2524">
        <v>142160.0037</v>
      </c>
      <c r="E2524">
        <v>57.32</v>
      </c>
      <c r="F2524">
        <v>1.74</v>
      </c>
      <c r="G2524">
        <v>28.67</v>
      </c>
      <c r="H2524">
        <v>34.663170000000001</v>
      </c>
      <c r="I2524">
        <v>40.33</v>
      </c>
      <c r="J2524">
        <v>46.63</v>
      </c>
      <c r="K2524">
        <v>287</v>
      </c>
      <c r="L2524">
        <v>70.638859999999994</v>
      </c>
      <c r="M2524">
        <v>32.799999999999997</v>
      </c>
      <c r="N2524">
        <v>10.553433999999999</v>
      </c>
      <c r="O2524">
        <v>138060000</v>
      </c>
      <c r="P2524">
        <v>1.7014054649999999</v>
      </c>
      <c r="Q2524">
        <v>990.84661119999998</v>
      </c>
      <c r="R2524">
        <v>5.17</v>
      </c>
      <c r="S2524">
        <v>796095</v>
      </c>
      <c r="T2524">
        <v>30.375321</v>
      </c>
      <c r="U2524">
        <v>69.345116000000004</v>
      </c>
    </row>
    <row r="2525" spans="1:21">
      <c r="A2525" t="s">
        <v>142</v>
      </c>
      <c r="B2525">
        <v>2009</v>
      </c>
      <c r="C2525">
        <v>3879.5596</v>
      </c>
      <c r="D2525">
        <v>145139.9994</v>
      </c>
      <c r="E2525">
        <v>60.55</v>
      </c>
      <c r="F2525">
        <v>2.64</v>
      </c>
      <c r="G2525">
        <v>29.05</v>
      </c>
      <c r="H2525">
        <v>34.356029999999997</v>
      </c>
      <c r="I2525">
        <v>39.479999999999997</v>
      </c>
      <c r="J2525">
        <v>46.43</v>
      </c>
      <c r="K2525">
        <v>287</v>
      </c>
      <c r="L2525">
        <v>70.697109999999995</v>
      </c>
      <c r="M2525">
        <v>33.9</v>
      </c>
      <c r="N2525">
        <v>10.885857</v>
      </c>
      <c r="O2525">
        <v>118640000</v>
      </c>
      <c r="P2525">
        <v>2.8316585189999999</v>
      </c>
      <c r="Q2525">
        <v>957.99567530000002</v>
      </c>
      <c r="R2525">
        <v>5.0999999999999996</v>
      </c>
      <c r="S2525">
        <v>796095</v>
      </c>
      <c r="T2525">
        <v>30.375321</v>
      </c>
      <c r="U2525">
        <v>69.345116000000004</v>
      </c>
    </row>
    <row r="2526" spans="1:21">
      <c r="A2526" t="s">
        <v>142</v>
      </c>
      <c r="B2526">
        <v>2010</v>
      </c>
      <c r="C2526">
        <v>3809.4281999999998</v>
      </c>
      <c r="D2526">
        <v>140619.9951</v>
      </c>
      <c r="E2526">
        <v>59.31</v>
      </c>
      <c r="F2526">
        <v>2.56</v>
      </c>
      <c r="G2526">
        <v>32.6</v>
      </c>
      <c r="H2526">
        <v>37.218162999999997</v>
      </c>
      <c r="I2526">
        <v>39.08</v>
      </c>
      <c r="J2526">
        <v>47.4</v>
      </c>
      <c r="K2526">
        <v>287</v>
      </c>
      <c r="L2526">
        <v>70.768020000000007</v>
      </c>
      <c r="M2526">
        <v>35.700000000000003</v>
      </c>
      <c r="N2526">
        <v>11.174628</v>
      </c>
      <c r="O2526">
        <v>264760000</v>
      </c>
      <c r="P2526">
        <v>1.606688629</v>
      </c>
      <c r="Q2526">
        <v>987.40971200000001</v>
      </c>
      <c r="R2526">
        <v>5.0999999999999996</v>
      </c>
      <c r="S2526">
        <v>796095</v>
      </c>
      <c r="T2526">
        <v>30.375321</v>
      </c>
      <c r="U2526">
        <v>69.345116000000004</v>
      </c>
    </row>
    <row r="2527" spans="1:21">
      <c r="A2527" t="s">
        <v>142</v>
      </c>
      <c r="B2527">
        <v>2011</v>
      </c>
      <c r="C2527">
        <v>3727.3542000000002</v>
      </c>
      <c r="D2527">
        <v>141699.9969</v>
      </c>
      <c r="E2527">
        <v>61.62</v>
      </c>
      <c r="F2527">
        <v>3.84</v>
      </c>
      <c r="G2527">
        <v>29.37</v>
      </c>
      <c r="H2527">
        <v>35.020560000000003</v>
      </c>
      <c r="I2527">
        <v>38.31</v>
      </c>
      <c r="J2527">
        <v>46.76</v>
      </c>
      <c r="K2527">
        <v>287</v>
      </c>
      <c r="L2527">
        <v>70.854280000000003</v>
      </c>
      <c r="M2527">
        <v>36.9</v>
      </c>
      <c r="N2527">
        <v>11.411279</v>
      </c>
      <c r="O2527">
        <v>253790000</v>
      </c>
      <c r="P2527">
        <v>2.7484059169999999</v>
      </c>
      <c r="Q2527">
        <v>1164.9788229999999</v>
      </c>
      <c r="R2527">
        <v>5</v>
      </c>
      <c r="S2527">
        <v>796095</v>
      </c>
      <c r="T2527">
        <v>30.375321</v>
      </c>
      <c r="U2527">
        <v>69.345116000000004</v>
      </c>
    </row>
    <row r="2528" spans="1:21">
      <c r="A2528" t="s">
        <v>142</v>
      </c>
      <c r="B2528">
        <v>2012</v>
      </c>
      <c r="C2528">
        <v>3401.6624000000002</v>
      </c>
      <c r="D2528">
        <v>143809.9976</v>
      </c>
      <c r="E2528">
        <v>62.13</v>
      </c>
      <c r="F2528">
        <v>5.27</v>
      </c>
      <c r="G2528">
        <v>30.7</v>
      </c>
      <c r="H2528">
        <v>36.666668000000001</v>
      </c>
      <c r="I2528">
        <v>38.130000000000003</v>
      </c>
      <c r="J2528">
        <v>47.2</v>
      </c>
      <c r="K2528">
        <v>287</v>
      </c>
      <c r="L2528">
        <v>70.958609999999993</v>
      </c>
      <c r="M2528">
        <v>38.200000000000003</v>
      </c>
      <c r="N2528">
        <v>4.3177875999999999</v>
      </c>
      <c r="O2528">
        <v>1386720000</v>
      </c>
      <c r="P2528">
        <v>3.50703342</v>
      </c>
      <c r="Q2528">
        <v>1198.1176370000001</v>
      </c>
      <c r="R2528">
        <v>4.8899999999999997</v>
      </c>
      <c r="S2528">
        <v>796095</v>
      </c>
      <c r="T2528">
        <v>30.375321</v>
      </c>
      <c r="U2528">
        <v>69.345116000000004</v>
      </c>
    </row>
    <row r="2529" spans="1:21">
      <c r="A2529" t="s">
        <v>142</v>
      </c>
      <c r="B2529">
        <v>2013</v>
      </c>
      <c r="C2529">
        <v>3661.0075999999999</v>
      </c>
      <c r="D2529">
        <v>146059.9976</v>
      </c>
      <c r="E2529">
        <v>67.27</v>
      </c>
      <c r="F2529">
        <v>4.4000000000000004</v>
      </c>
      <c r="G2529">
        <v>33.26</v>
      </c>
      <c r="H2529">
        <v>35.890594</v>
      </c>
      <c r="I2529">
        <v>39.54</v>
      </c>
      <c r="J2529">
        <v>48.13</v>
      </c>
      <c r="K2529">
        <v>287</v>
      </c>
      <c r="L2529">
        <v>71.082769999999996</v>
      </c>
      <c r="M2529">
        <v>39.6</v>
      </c>
      <c r="N2529">
        <v>11.522516</v>
      </c>
      <c r="O2529">
        <v>244730000</v>
      </c>
      <c r="P2529">
        <v>4.3964566329999997</v>
      </c>
      <c r="Q2529">
        <v>1208.9177099999999</v>
      </c>
      <c r="R2529">
        <v>4.8</v>
      </c>
      <c r="S2529">
        <v>796095</v>
      </c>
      <c r="T2529">
        <v>30.375321</v>
      </c>
      <c r="U2529">
        <v>69.345116000000004</v>
      </c>
    </row>
    <row r="2530" spans="1:21">
      <c r="A2530" t="s">
        <v>142</v>
      </c>
      <c r="B2530">
        <v>2014</v>
      </c>
      <c r="C2530">
        <v>3725.9506999999999</v>
      </c>
      <c r="D2530">
        <v>154240.0055</v>
      </c>
      <c r="E2530">
        <v>68.28</v>
      </c>
      <c r="F2530">
        <v>4.58</v>
      </c>
      <c r="G2530">
        <v>34.479999999999997</v>
      </c>
      <c r="H2530">
        <v>36.389049999999997</v>
      </c>
      <c r="I2530">
        <v>40.520000000000003</v>
      </c>
      <c r="J2530">
        <v>47.22</v>
      </c>
      <c r="K2530">
        <v>287</v>
      </c>
      <c r="L2530">
        <v>71.224739999999997</v>
      </c>
      <c r="M2530">
        <v>41</v>
      </c>
      <c r="N2530">
        <v>11.496394</v>
      </c>
      <c r="O2530">
        <v>552100000</v>
      </c>
      <c r="P2530">
        <v>4.6747079810000001</v>
      </c>
      <c r="Q2530">
        <v>1251.1757190000001</v>
      </c>
      <c r="R2530">
        <v>4.79</v>
      </c>
      <c r="S2530">
        <v>796095</v>
      </c>
      <c r="T2530">
        <v>30.375321</v>
      </c>
      <c r="U2530">
        <v>69.345116000000004</v>
      </c>
    </row>
    <row r="2531" spans="1:21">
      <c r="A2531" t="s">
        <v>142</v>
      </c>
      <c r="B2531">
        <v>2015</v>
      </c>
      <c r="C2531">
        <v>3867.1925999999999</v>
      </c>
      <c r="D2531">
        <v>164130.0049</v>
      </c>
      <c r="E2531">
        <v>71.17</v>
      </c>
      <c r="F2531">
        <v>4.33</v>
      </c>
      <c r="G2531">
        <v>36.82</v>
      </c>
      <c r="H2531">
        <v>36.636395</v>
      </c>
      <c r="I2531">
        <v>40.74</v>
      </c>
      <c r="J2531">
        <v>45.88</v>
      </c>
      <c r="K2531">
        <v>287</v>
      </c>
      <c r="L2531">
        <v>71.381546</v>
      </c>
      <c r="M2531">
        <v>42.1</v>
      </c>
      <c r="N2531">
        <v>11.174579</v>
      </c>
      <c r="O2531">
        <v>1232650000</v>
      </c>
      <c r="P2531">
        <v>4.7311474750000002</v>
      </c>
      <c r="Q2531">
        <v>1356.667831</v>
      </c>
      <c r="R2531">
        <v>4.71</v>
      </c>
      <c r="S2531">
        <v>796095</v>
      </c>
      <c r="T2531">
        <v>30.375321</v>
      </c>
      <c r="U2531">
        <v>69.345116000000004</v>
      </c>
    </row>
    <row r="2532" spans="1:21">
      <c r="A2532" t="s">
        <v>142</v>
      </c>
      <c r="B2532">
        <v>2016</v>
      </c>
      <c r="C2532">
        <v>4163.3915999999999</v>
      </c>
      <c r="D2532">
        <v>181110.0006</v>
      </c>
      <c r="E2532">
        <v>82.57</v>
      </c>
      <c r="F2532">
        <v>5.44</v>
      </c>
      <c r="G2532">
        <v>35.64</v>
      </c>
      <c r="H2532">
        <v>33.222805000000001</v>
      </c>
      <c r="I2532">
        <v>43.22</v>
      </c>
      <c r="J2532">
        <v>43.69</v>
      </c>
      <c r="K2532">
        <v>287</v>
      </c>
      <c r="L2532">
        <v>71.550224</v>
      </c>
      <c r="M2532">
        <v>43.3</v>
      </c>
      <c r="N2532">
        <v>11.086973</v>
      </c>
      <c r="O2532">
        <v>903830000</v>
      </c>
      <c r="P2532">
        <v>5.5267358450000001</v>
      </c>
      <c r="Q2532">
        <v>1368.4269609999999</v>
      </c>
      <c r="R2532">
        <v>4.68</v>
      </c>
      <c r="S2532">
        <v>796095</v>
      </c>
      <c r="T2532">
        <v>30.375321</v>
      </c>
      <c r="U2532">
        <v>69.345116000000004</v>
      </c>
    </row>
    <row r="2533" spans="1:21">
      <c r="A2533" t="s">
        <v>142</v>
      </c>
      <c r="B2533">
        <v>2017</v>
      </c>
      <c r="C2533">
        <v>4348.8296</v>
      </c>
      <c r="D2533">
        <v>198830.0018</v>
      </c>
      <c r="E2533">
        <v>91.08</v>
      </c>
      <c r="F2533">
        <v>8.11</v>
      </c>
      <c r="G2533">
        <v>32.39</v>
      </c>
      <c r="H2533">
        <v>30.779752999999999</v>
      </c>
      <c r="I2533">
        <v>44.33</v>
      </c>
      <c r="J2533">
        <v>42.09</v>
      </c>
      <c r="K2533">
        <v>287</v>
      </c>
      <c r="L2533">
        <v>70.790000000000006</v>
      </c>
      <c r="M2533">
        <v>44.8</v>
      </c>
      <c r="N2533">
        <v>9.6749500000000008</v>
      </c>
      <c r="O2533">
        <v>3386850000</v>
      </c>
      <c r="P2533">
        <v>5.5542774369999997</v>
      </c>
      <c r="Q2533">
        <v>1464.926195</v>
      </c>
      <c r="R2533">
        <v>4.6500000000000004</v>
      </c>
      <c r="S2533">
        <v>796095</v>
      </c>
      <c r="T2533">
        <v>30.375321</v>
      </c>
      <c r="U2533">
        <v>69.345116000000004</v>
      </c>
    </row>
    <row r="2534" spans="1:21">
      <c r="A2534" t="s">
        <v>142</v>
      </c>
      <c r="B2534">
        <v>2018</v>
      </c>
      <c r="C2534">
        <v>4419.1684999999998</v>
      </c>
      <c r="D2534">
        <v>187309.9976</v>
      </c>
      <c r="E2534">
        <v>87.95</v>
      </c>
      <c r="F2534">
        <v>9.2899999999999991</v>
      </c>
      <c r="G2534">
        <v>42.66</v>
      </c>
      <c r="H2534">
        <v>37.133667000000003</v>
      </c>
      <c r="I2534">
        <v>57.47</v>
      </c>
      <c r="J2534">
        <v>43.3</v>
      </c>
      <c r="K2534">
        <v>287</v>
      </c>
      <c r="L2534">
        <v>72.783103999999994</v>
      </c>
      <c r="M2534">
        <v>46.3</v>
      </c>
      <c r="N2534">
        <v>9.4163809999999994</v>
      </c>
      <c r="O2534">
        <v>99120000</v>
      </c>
      <c r="P2534">
        <v>5.8364174980000003</v>
      </c>
      <c r="Q2534">
        <v>1482.2130669999999</v>
      </c>
      <c r="R2534">
        <v>4.4800000000000004</v>
      </c>
      <c r="S2534">
        <v>796095</v>
      </c>
      <c r="T2534">
        <v>30.375321</v>
      </c>
      <c r="U2534">
        <v>69.345116000000004</v>
      </c>
    </row>
    <row r="2535" spans="1:21">
      <c r="A2535" t="s">
        <v>142</v>
      </c>
      <c r="B2535">
        <v>2019</v>
      </c>
      <c r="C2535">
        <v>4400.1157000000003</v>
      </c>
      <c r="D2535">
        <v>190570.0073</v>
      </c>
      <c r="E2535">
        <v>86.44</v>
      </c>
      <c r="F2535">
        <v>9.07</v>
      </c>
      <c r="G2535">
        <v>40.520000000000003</v>
      </c>
      <c r="H2535">
        <v>36.455193000000001</v>
      </c>
      <c r="I2535">
        <v>56.71</v>
      </c>
      <c r="J2535">
        <v>43.36</v>
      </c>
      <c r="K2535">
        <v>287</v>
      </c>
      <c r="L2535">
        <v>74.127690000000001</v>
      </c>
      <c r="M2535">
        <v>47.8</v>
      </c>
      <c r="N2535">
        <v>11.015738000000001</v>
      </c>
      <c r="O2535">
        <v>302840000</v>
      </c>
      <c r="P2535">
        <v>1.1447496049999999</v>
      </c>
      <c r="Q2535">
        <v>1288.556325</v>
      </c>
      <c r="R2535">
        <v>4.59</v>
      </c>
      <c r="S2535">
        <v>796095</v>
      </c>
      <c r="T2535">
        <v>30.375321</v>
      </c>
      <c r="U2535">
        <v>69.345116000000004</v>
      </c>
    </row>
    <row r="2536" spans="1:21">
      <c r="A2536" t="s">
        <v>142</v>
      </c>
      <c r="B2536">
        <v>2020</v>
      </c>
      <c r="C2536">
        <v>4301.192</v>
      </c>
      <c r="E2536">
        <v>84.55</v>
      </c>
      <c r="F2536">
        <v>9.64</v>
      </c>
      <c r="G2536">
        <v>42.69</v>
      </c>
      <c r="H2536">
        <v>38.230564000000001</v>
      </c>
      <c r="I2536">
        <v>56.17</v>
      </c>
      <c r="K2536">
        <v>287</v>
      </c>
      <c r="L2536">
        <v>75.379689999999997</v>
      </c>
      <c r="M2536">
        <v>49.3</v>
      </c>
      <c r="N2536">
        <v>12.021025</v>
      </c>
      <c r="P2536">
        <v>-0.93538953300000005</v>
      </c>
      <c r="Q2536">
        <v>1188.8597569999999</v>
      </c>
      <c r="S2536">
        <v>796095</v>
      </c>
      <c r="T2536">
        <v>30.375321</v>
      </c>
      <c r="U2536">
        <v>69.345116000000004</v>
      </c>
    </row>
    <row r="2537" spans="1:21">
      <c r="A2537" t="s">
        <v>143</v>
      </c>
      <c r="B2537">
        <v>2000</v>
      </c>
      <c r="C2537">
        <v>22342.99</v>
      </c>
      <c r="D2537">
        <v>5280</v>
      </c>
      <c r="E2537">
        <v>1.36</v>
      </c>
      <c r="F2537">
        <v>0</v>
      </c>
      <c r="G2537">
        <v>3.4</v>
      </c>
      <c r="H2537">
        <v>71.428566000000004</v>
      </c>
      <c r="I2537">
        <v>206.02</v>
      </c>
      <c r="J2537">
        <v>27.67</v>
      </c>
      <c r="K2537">
        <v>58</v>
      </c>
      <c r="L2537">
        <v>81.401409999999998</v>
      </c>
      <c r="M2537">
        <v>80</v>
      </c>
      <c r="P2537">
        <v>2.7153741550000001</v>
      </c>
      <c r="Q2537">
        <v>4060.3177930000002</v>
      </c>
      <c r="R2537">
        <v>2.27</v>
      </c>
      <c r="S2537">
        <v>75420</v>
      </c>
      <c r="T2537">
        <v>8.5379810000000003</v>
      </c>
      <c r="U2537">
        <v>-80.782127000000003</v>
      </c>
    </row>
    <row r="2538" spans="1:21">
      <c r="A2538" t="s">
        <v>143</v>
      </c>
      <c r="B2538">
        <v>2001</v>
      </c>
      <c r="C2538">
        <v>22268.62</v>
      </c>
      <c r="D2538">
        <v>6220</v>
      </c>
      <c r="E2538">
        <v>2.4300000000000002</v>
      </c>
      <c r="F2538">
        <v>0</v>
      </c>
      <c r="G2538">
        <v>2.5099999999999998</v>
      </c>
      <c r="H2538">
        <v>50.809714999999997</v>
      </c>
      <c r="I2538">
        <v>202.12</v>
      </c>
      <c r="J2538">
        <v>24.04</v>
      </c>
      <c r="K2538">
        <v>58</v>
      </c>
      <c r="L2538">
        <v>81.456249999999997</v>
      </c>
      <c r="M2538">
        <v>80.900000000000006</v>
      </c>
      <c r="O2538">
        <v>230000</v>
      </c>
      <c r="P2538">
        <v>0.57427279099999995</v>
      </c>
      <c r="Q2538">
        <v>4046.4291480000002</v>
      </c>
      <c r="R2538">
        <v>2.58</v>
      </c>
      <c r="S2538">
        <v>75420</v>
      </c>
      <c r="T2538">
        <v>8.5379810000000003</v>
      </c>
      <c r="U2538">
        <v>-80.782127000000003</v>
      </c>
    </row>
    <row r="2539" spans="1:21">
      <c r="A2539" t="s">
        <v>143</v>
      </c>
      <c r="B2539">
        <v>2002</v>
      </c>
      <c r="C2539">
        <v>21577.675999999999</v>
      </c>
      <c r="D2539">
        <v>5409.999847</v>
      </c>
      <c r="E2539">
        <v>1.75</v>
      </c>
      <c r="F2539">
        <v>0</v>
      </c>
      <c r="G2539">
        <v>3.4</v>
      </c>
      <c r="H2539">
        <v>66.019419999999997</v>
      </c>
      <c r="I2539">
        <v>226.25</v>
      </c>
      <c r="J2539">
        <v>28.71</v>
      </c>
      <c r="K2539">
        <v>58</v>
      </c>
      <c r="L2539">
        <v>82.200919999999996</v>
      </c>
      <c r="M2539">
        <v>81.599999999999994</v>
      </c>
      <c r="P2539">
        <v>2.2291494169999999</v>
      </c>
      <c r="Q2539">
        <v>4126.2323859999997</v>
      </c>
      <c r="R2539">
        <v>2.29</v>
      </c>
      <c r="S2539">
        <v>75420</v>
      </c>
      <c r="T2539">
        <v>8.5379810000000003</v>
      </c>
      <c r="U2539">
        <v>-80.782127000000003</v>
      </c>
    </row>
    <row r="2540" spans="1:21">
      <c r="A2540" t="s">
        <v>143</v>
      </c>
      <c r="B2540">
        <v>2003</v>
      </c>
      <c r="C2540">
        <v>21345.66</v>
      </c>
      <c r="D2540">
        <v>5530.0002100000002</v>
      </c>
      <c r="E2540">
        <v>2.5499999999999998</v>
      </c>
      <c r="F2540">
        <v>0</v>
      </c>
      <c r="G2540">
        <v>2.84</v>
      </c>
      <c r="H2540">
        <v>52.690165999999998</v>
      </c>
      <c r="I2540">
        <v>263.2</v>
      </c>
      <c r="J2540">
        <v>27.45</v>
      </c>
      <c r="K2540">
        <v>58</v>
      </c>
      <c r="L2540">
        <v>87.8</v>
      </c>
      <c r="M2540">
        <v>82.5</v>
      </c>
      <c r="P2540">
        <v>4.205495945</v>
      </c>
      <c r="Q2540">
        <v>4267.2926870000001</v>
      </c>
      <c r="R2540">
        <v>2.2000000000000002</v>
      </c>
      <c r="S2540">
        <v>75420</v>
      </c>
      <c r="T2540">
        <v>8.5379810000000003</v>
      </c>
      <c r="U2540">
        <v>-80.782127000000003</v>
      </c>
    </row>
    <row r="2541" spans="1:21">
      <c r="A2541" t="s">
        <v>143</v>
      </c>
      <c r="B2541">
        <v>2004</v>
      </c>
      <c r="C2541">
        <v>21352.857</v>
      </c>
      <c r="D2541">
        <v>5610.0001339999999</v>
      </c>
      <c r="E2541">
        <v>1.83</v>
      </c>
      <c r="F2541">
        <v>0</v>
      </c>
      <c r="G2541">
        <v>3.77</v>
      </c>
      <c r="H2541">
        <v>67.321430000000007</v>
      </c>
      <c r="I2541">
        <v>262.32</v>
      </c>
      <c r="J2541">
        <v>28.21</v>
      </c>
      <c r="K2541">
        <v>58</v>
      </c>
      <c r="L2541">
        <v>83.676900000000003</v>
      </c>
      <c r="M2541">
        <v>83</v>
      </c>
      <c r="P2541">
        <v>7.522079658</v>
      </c>
      <c r="Q2541">
        <v>4592.1526139999996</v>
      </c>
      <c r="R2541">
        <v>2.0299999999999998</v>
      </c>
      <c r="S2541">
        <v>75420</v>
      </c>
      <c r="T2541">
        <v>8.5379810000000003</v>
      </c>
      <c r="U2541">
        <v>-80.782127000000003</v>
      </c>
    </row>
    <row r="2542" spans="1:21">
      <c r="A2542" t="s">
        <v>143</v>
      </c>
      <c r="B2542">
        <v>2005</v>
      </c>
      <c r="C2542">
        <v>20928.798999999999</v>
      </c>
      <c r="D2542">
        <v>7119.9998859999996</v>
      </c>
      <c r="E2542">
        <v>1.95</v>
      </c>
      <c r="F2542">
        <v>0</v>
      </c>
      <c r="G2542">
        <v>3.72</v>
      </c>
      <c r="H2542">
        <v>65.608469999999997</v>
      </c>
      <c r="I2542">
        <v>257.57</v>
      </c>
      <c r="J2542">
        <v>22.77</v>
      </c>
      <c r="K2542">
        <v>58</v>
      </c>
      <c r="L2542">
        <v>84.412909999999997</v>
      </c>
      <c r="M2542">
        <v>83.7</v>
      </c>
      <c r="P2542">
        <v>7.1912794020000002</v>
      </c>
      <c r="Q2542">
        <v>4916.907612</v>
      </c>
      <c r="R2542">
        <v>2.14</v>
      </c>
      <c r="S2542">
        <v>75420</v>
      </c>
      <c r="T2542">
        <v>8.5379810000000003</v>
      </c>
      <c r="U2542">
        <v>-80.782127000000003</v>
      </c>
    </row>
    <row r="2543" spans="1:21">
      <c r="A2543" t="s">
        <v>143</v>
      </c>
      <c r="B2543">
        <v>2006</v>
      </c>
      <c r="C2543">
        <v>22302.521000000001</v>
      </c>
      <c r="D2543">
        <v>7489.9997709999998</v>
      </c>
      <c r="E2543">
        <v>2.2799999999999998</v>
      </c>
      <c r="F2543">
        <v>0</v>
      </c>
      <c r="G2543">
        <v>3.58</v>
      </c>
      <c r="H2543">
        <v>61.092148000000002</v>
      </c>
      <c r="I2543">
        <v>253.08</v>
      </c>
      <c r="J2543">
        <v>22.09</v>
      </c>
      <c r="K2543">
        <v>58</v>
      </c>
      <c r="L2543">
        <v>85.150795000000002</v>
      </c>
      <c r="M2543">
        <v>84.1</v>
      </c>
      <c r="O2543">
        <v>0</v>
      </c>
      <c r="P2543">
        <v>8.6524656110000002</v>
      </c>
      <c r="Q2543">
        <v>5348.8842530000002</v>
      </c>
      <c r="R2543">
        <v>2.1</v>
      </c>
      <c r="S2543">
        <v>75420</v>
      </c>
      <c r="T2543">
        <v>8.5379810000000003</v>
      </c>
      <c r="U2543">
        <v>-80.782127000000003</v>
      </c>
    </row>
    <row r="2544" spans="1:21">
      <c r="A2544" t="s">
        <v>143</v>
      </c>
      <c r="B2544">
        <v>2007</v>
      </c>
      <c r="C2544">
        <v>20661.120999999999</v>
      </c>
      <c r="D2544">
        <v>7480.0000190000001</v>
      </c>
      <c r="E2544">
        <v>2.65</v>
      </c>
      <c r="F2544">
        <v>0</v>
      </c>
      <c r="G2544">
        <v>3.67</v>
      </c>
      <c r="H2544">
        <v>58.06962</v>
      </c>
      <c r="I2544">
        <v>248.6</v>
      </c>
      <c r="J2544">
        <v>22.79</v>
      </c>
      <c r="K2544">
        <v>58</v>
      </c>
      <c r="L2544">
        <v>85.893196000000003</v>
      </c>
      <c r="M2544">
        <v>84.9</v>
      </c>
      <c r="P2544">
        <v>11.98398555</v>
      </c>
      <c r="Q2544">
        <v>6166.1878710000001</v>
      </c>
      <c r="R2544">
        <v>1.87</v>
      </c>
      <c r="S2544">
        <v>75420</v>
      </c>
      <c r="T2544">
        <v>8.5379810000000003</v>
      </c>
      <c r="U2544">
        <v>-80.782127000000003</v>
      </c>
    </row>
    <row r="2545" spans="1:21">
      <c r="A2545" t="s">
        <v>143</v>
      </c>
      <c r="B2545">
        <v>2008</v>
      </c>
      <c r="C2545">
        <v>23762.428</v>
      </c>
      <c r="D2545">
        <v>7300.0001910000001</v>
      </c>
      <c r="E2545">
        <v>2.25</v>
      </c>
      <c r="F2545">
        <v>0</v>
      </c>
      <c r="G2545">
        <v>3.99</v>
      </c>
      <c r="H2545">
        <v>63.942309999999999</v>
      </c>
      <c r="I2545">
        <v>253.35</v>
      </c>
      <c r="J2545">
        <v>23.36</v>
      </c>
      <c r="K2545">
        <v>58</v>
      </c>
      <c r="L2545">
        <v>86.642840000000007</v>
      </c>
      <c r="M2545">
        <v>85.4</v>
      </c>
      <c r="O2545">
        <v>10000</v>
      </c>
      <c r="P2545">
        <v>9.8556546530000002</v>
      </c>
      <c r="Q2545">
        <v>7154.2745009999999</v>
      </c>
      <c r="R2545">
        <v>1.63</v>
      </c>
      <c r="S2545">
        <v>75420</v>
      </c>
      <c r="T2545">
        <v>8.5379810000000003</v>
      </c>
      <c r="U2545">
        <v>-80.782127000000003</v>
      </c>
    </row>
    <row r="2546" spans="1:21">
      <c r="A2546" t="s">
        <v>143</v>
      </c>
      <c r="B2546">
        <v>2009</v>
      </c>
      <c r="C2546">
        <v>22608.205000000002</v>
      </c>
      <c r="D2546">
        <v>8699.9998090000008</v>
      </c>
      <c r="E2546">
        <v>2.82</v>
      </c>
      <c r="F2546">
        <v>0</v>
      </c>
      <c r="G2546">
        <v>3.92</v>
      </c>
      <c r="H2546">
        <v>58.160240000000002</v>
      </c>
      <c r="I2546">
        <v>251.18</v>
      </c>
      <c r="J2546">
        <v>20.37</v>
      </c>
      <c r="K2546">
        <v>58</v>
      </c>
      <c r="L2546">
        <v>87.402410000000003</v>
      </c>
      <c r="M2546">
        <v>85.9</v>
      </c>
      <c r="O2546">
        <v>10000</v>
      </c>
      <c r="P2546">
        <v>1.242992565</v>
      </c>
      <c r="Q2546">
        <v>7576.1404570000004</v>
      </c>
      <c r="R2546">
        <v>1.77</v>
      </c>
      <c r="S2546">
        <v>75420</v>
      </c>
      <c r="T2546">
        <v>8.5379810000000003</v>
      </c>
      <c r="U2546">
        <v>-80.782127000000003</v>
      </c>
    </row>
    <row r="2547" spans="1:21">
      <c r="A2547" t="s">
        <v>143</v>
      </c>
      <c r="B2547">
        <v>2010</v>
      </c>
      <c r="C2547">
        <v>25191.671999999999</v>
      </c>
      <c r="D2547">
        <v>9189.9995799999997</v>
      </c>
      <c r="E2547">
        <v>2.95</v>
      </c>
      <c r="F2547">
        <v>0</v>
      </c>
      <c r="G2547">
        <v>4.2</v>
      </c>
      <c r="H2547">
        <v>58.741253</v>
      </c>
      <c r="I2547">
        <v>262.83999999999997</v>
      </c>
      <c r="J2547">
        <v>20.65</v>
      </c>
      <c r="K2547">
        <v>58</v>
      </c>
      <c r="L2547">
        <v>86.85</v>
      </c>
      <c r="M2547">
        <v>86.4</v>
      </c>
      <c r="O2547">
        <v>2050000</v>
      </c>
      <c r="P2547">
        <v>5.8279931270000001</v>
      </c>
      <c r="Q2547">
        <v>8082.0161749999997</v>
      </c>
      <c r="R2547">
        <v>1.85</v>
      </c>
      <c r="S2547">
        <v>75420</v>
      </c>
      <c r="T2547">
        <v>8.5379810000000003</v>
      </c>
      <c r="U2547">
        <v>-80.782127000000003</v>
      </c>
    </row>
    <row r="2548" spans="1:21">
      <c r="A2548" t="s">
        <v>143</v>
      </c>
      <c r="B2548">
        <v>2011</v>
      </c>
      <c r="C2548">
        <v>24962.39</v>
      </c>
      <c r="D2548">
        <v>9989.9997710000007</v>
      </c>
      <c r="E2548">
        <v>3.42</v>
      </c>
      <c r="F2548">
        <v>0</v>
      </c>
      <c r="G2548">
        <v>4.1399999999999997</v>
      </c>
      <c r="H2548">
        <v>54.761906000000003</v>
      </c>
      <c r="I2548">
        <v>372.93</v>
      </c>
      <c r="J2548">
        <v>19.73</v>
      </c>
      <c r="K2548">
        <v>58</v>
      </c>
      <c r="L2548">
        <v>88.962220000000002</v>
      </c>
      <c r="M2548">
        <v>86.9</v>
      </c>
      <c r="O2548">
        <v>43030000</v>
      </c>
      <c r="P2548">
        <v>11.31362625</v>
      </c>
      <c r="Q2548">
        <v>9358.2681300000004</v>
      </c>
      <c r="R2548">
        <v>1.85</v>
      </c>
      <c r="S2548">
        <v>75420</v>
      </c>
      <c r="T2548">
        <v>8.5379810000000003</v>
      </c>
      <c r="U2548">
        <v>-80.782127000000003</v>
      </c>
    </row>
    <row r="2549" spans="1:21">
      <c r="A2549" t="s">
        <v>143</v>
      </c>
      <c r="B2549">
        <v>2012</v>
      </c>
      <c r="C2549">
        <v>27223.263999999999</v>
      </c>
      <c r="D2549">
        <v>10460.000040000001</v>
      </c>
      <c r="E2549">
        <v>2.94</v>
      </c>
      <c r="F2549">
        <v>0</v>
      </c>
      <c r="G2549">
        <v>5.42</v>
      </c>
      <c r="H2549">
        <v>64.832534999999993</v>
      </c>
      <c r="I2549">
        <v>397.7</v>
      </c>
      <c r="J2549">
        <v>21.25</v>
      </c>
      <c r="K2549">
        <v>58</v>
      </c>
      <c r="L2549">
        <v>89.767870000000002</v>
      </c>
      <c r="M2549">
        <v>87</v>
      </c>
      <c r="P2549">
        <v>9.7788275129999995</v>
      </c>
      <c r="Q2549">
        <v>10722.261469999999</v>
      </c>
      <c r="R2549">
        <v>1.74</v>
      </c>
      <c r="S2549">
        <v>75420</v>
      </c>
      <c r="T2549">
        <v>8.5379810000000003</v>
      </c>
      <c r="U2549">
        <v>-80.782127000000003</v>
      </c>
    </row>
    <row r="2550" spans="1:21">
      <c r="A2550" t="s">
        <v>143</v>
      </c>
      <c r="B2550">
        <v>2013</v>
      </c>
      <c r="C2550">
        <v>26325.065999999999</v>
      </c>
      <c r="D2550">
        <v>10250</v>
      </c>
      <c r="E2550">
        <v>3.47</v>
      </c>
      <c r="F2550">
        <v>0</v>
      </c>
      <c r="G2550">
        <v>5.2</v>
      </c>
      <c r="H2550">
        <v>59.976933000000002</v>
      </c>
      <c r="I2550">
        <v>403.56</v>
      </c>
      <c r="J2550">
        <v>20.71</v>
      </c>
      <c r="K2550">
        <v>58</v>
      </c>
      <c r="L2550">
        <v>89.1</v>
      </c>
      <c r="M2550">
        <v>87.1</v>
      </c>
      <c r="O2550">
        <v>1810000</v>
      </c>
      <c r="P2550">
        <v>6.9034367689999998</v>
      </c>
      <c r="Q2550">
        <v>11889.095069999999</v>
      </c>
      <c r="R2550">
        <v>1.58</v>
      </c>
      <c r="S2550">
        <v>75420</v>
      </c>
      <c r="T2550">
        <v>8.5379810000000003</v>
      </c>
      <c r="U2550">
        <v>-80.782127000000003</v>
      </c>
    </row>
    <row r="2551" spans="1:21">
      <c r="A2551" t="s">
        <v>143</v>
      </c>
      <c r="B2551">
        <v>2014</v>
      </c>
      <c r="C2551">
        <v>26454.377</v>
      </c>
      <c r="D2551">
        <v>10760.00023</v>
      </c>
      <c r="E2551">
        <v>3.16</v>
      </c>
      <c r="F2551">
        <v>0</v>
      </c>
      <c r="G2551">
        <v>5.19</v>
      </c>
      <c r="H2551">
        <v>62.155684999999998</v>
      </c>
      <c r="I2551">
        <v>439.55</v>
      </c>
      <c r="J2551">
        <v>19.78</v>
      </c>
      <c r="K2551">
        <v>58</v>
      </c>
      <c r="L2551">
        <v>91.436639999999997</v>
      </c>
      <c r="M2551">
        <v>87.6</v>
      </c>
      <c r="O2551">
        <v>156490000</v>
      </c>
      <c r="P2551">
        <v>5.0666131300000004</v>
      </c>
      <c r="Q2551">
        <v>12796.07403</v>
      </c>
      <c r="R2551">
        <v>1.58</v>
      </c>
      <c r="S2551">
        <v>75420</v>
      </c>
      <c r="T2551">
        <v>8.5379810000000003</v>
      </c>
      <c r="U2551">
        <v>-80.782127000000003</v>
      </c>
    </row>
    <row r="2552" spans="1:21">
      <c r="A2552" t="s">
        <v>143</v>
      </c>
      <c r="B2552">
        <v>2015</v>
      </c>
      <c r="C2552">
        <v>28399.344000000001</v>
      </c>
      <c r="D2552">
        <v>10699.999809999999</v>
      </c>
      <c r="E2552">
        <v>2.66</v>
      </c>
      <c r="F2552">
        <v>0</v>
      </c>
      <c r="G2552">
        <v>6.69</v>
      </c>
      <c r="H2552">
        <v>71.550799999999995</v>
      </c>
      <c r="I2552">
        <v>517.33000000000004</v>
      </c>
      <c r="J2552">
        <v>21.9</v>
      </c>
      <c r="K2552">
        <v>58</v>
      </c>
      <c r="L2552">
        <v>92.29477</v>
      </c>
      <c r="M2552">
        <v>87.5</v>
      </c>
      <c r="O2552">
        <v>65060000</v>
      </c>
      <c r="P2552">
        <v>5.73269026</v>
      </c>
      <c r="Q2552">
        <v>13630.30114</v>
      </c>
      <c r="R2552">
        <v>1.51</v>
      </c>
      <c r="S2552">
        <v>75420</v>
      </c>
      <c r="T2552">
        <v>8.5379810000000003</v>
      </c>
      <c r="U2552">
        <v>-80.782127000000003</v>
      </c>
    </row>
    <row r="2553" spans="1:21">
      <c r="A2553" t="s">
        <v>143</v>
      </c>
      <c r="B2553">
        <v>2016</v>
      </c>
      <c r="C2553">
        <v>29494.583999999999</v>
      </c>
      <c r="D2553">
        <v>10770.000459999999</v>
      </c>
      <c r="E2553">
        <v>2.76</v>
      </c>
      <c r="F2553">
        <v>0</v>
      </c>
      <c r="G2553">
        <v>7.24</v>
      </c>
      <c r="H2553">
        <v>72.400000000000006</v>
      </c>
      <c r="I2553">
        <v>535.98</v>
      </c>
      <c r="J2553">
        <v>22.1</v>
      </c>
      <c r="K2553">
        <v>58</v>
      </c>
      <c r="L2553">
        <v>93.164770000000004</v>
      </c>
      <c r="M2553">
        <v>87.7</v>
      </c>
      <c r="O2553">
        <v>366660000</v>
      </c>
      <c r="P2553">
        <v>4.9534349369999999</v>
      </c>
      <c r="Q2553">
        <v>14343.98026</v>
      </c>
      <c r="R2553">
        <v>1.49</v>
      </c>
      <c r="S2553">
        <v>75420</v>
      </c>
      <c r="T2553">
        <v>8.5379810000000003</v>
      </c>
      <c r="U2553">
        <v>-80.782127000000003</v>
      </c>
    </row>
    <row r="2554" spans="1:21">
      <c r="A2554" t="s">
        <v>143</v>
      </c>
      <c r="B2554">
        <v>2017</v>
      </c>
      <c r="C2554">
        <v>31180.088</v>
      </c>
      <c r="D2554">
        <v>10130.000110000001</v>
      </c>
      <c r="E2554">
        <v>2.73</v>
      </c>
      <c r="F2554">
        <v>0</v>
      </c>
      <c r="G2554">
        <v>7.9</v>
      </c>
      <c r="H2554">
        <v>74.317970000000003</v>
      </c>
      <c r="I2554">
        <v>542.17999999999995</v>
      </c>
      <c r="J2554">
        <v>23.6</v>
      </c>
      <c r="K2554">
        <v>58</v>
      </c>
      <c r="L2554">
        <v>93.7</v>
      </c>
      <c r="M2554">
        <v>87.9</v>
      </c>
      <c r="O2554">
        <v>101570000</v>
      </c>
      <c r="P2554">
        <v>5.5913282740000003</v>
      </c>
      <c r="Q2554">
        <v>15146.408509999999</v>
      </c>
      <c r="R2554">
        <v>1.42</v>
      </c>
      <c r="S2554">
        <v>75420</v>
      </c>
      <c r="T2554">
        <v>8.5379810000000003</v>
      </c>
      <c r="U2554">
        <v>-80.782127000000003</v>
      </c>
    </row>
    <row r="2555" spans="1:21">
      <c r="A2555" t="s">
        <v>143</v>
      </c>
      <c r="B2555">
        <v>2018</v>
      </c>
      <c r="C2555">
        <v>31255.303</v>
      </c>
      <c r="D2555">
        <v>10060.00042</v>
      </c>
      <c r="E2555">
        <v>1.9</v>
      </c>
      <c r="F2555">
        <v>0</v>
      </c>
      <c r="G2555">
        <v>8.74</v>
      </c>
      <c r="H2555">
        <v>82.142849999999996</v>
      </c>
      <c r="I2555">
        <v>543.92999999999995</v>
      </c>
      <c r="J2555">
        <v>24.44</v>
      </c>
      <c r="K2555">
        <v>58</v>
      </c>
      <c r="L2555">
        <v>94.928520000000006</v>
      </c>
      <c r="M2555">
        <v>87.6</v>
      </c>
      <c r="O2555">
        <v>350000</v>
      </c>
      <c r="P2555">
        <v>3.6853443490000002</v>
      </c>
      <c r="Q2555">
        <v>15544.99908</v>
      </c>
      <c r="R2555">
        <v>1.39</v>
      </c>
      <c r="S2555">
        <v>75420</v>
      </c>
      <c r="T2555">
        <v>8.5379810000000003</v>
      </c>
      <c r="U2555">
        <v>-80.782127000000003</v>
      </c>
    </row>
    <row r="2556" spans="1:21">
      <c r="A2556" t="s">
        <v>143</v>
      </c>
      <c r="B2556">
        <v>2019</v>
      </c>
      <c r="C2556">
        <v>27875.5</v>
      </c>
      <c r="D2556">
        <v>13340.00015</v>
      </c>
      <c r="E2556">
        <v>4.1500000000000004</v>
      </c>
      <c r="F2556">
        <v>0</v>
      </c>
      <c r="G2556">
        <v>6.24</v>
      </c>
      <c r="H2556">
        <v>60.057746999999999</v>
      </c>
      <c r="I2556">
        <v>540.69000000000005</v>
      </c>
      <c r="J2556">
        <v>18.91</v>
      </c>
      <c r="K2556">
        <v>58</v>
      </c>
      <c r="L2556">
        <v>95.816329999999994</v>
      </c>
      <c r="M2556">
        <v>87.6</v>
      </c>
      <c r="O2556">
        <v>90010000</v>
      </c>
      <c r="P2556">
        <v>2.9797154610000001</v>
      </c>
      <c r="Q2556">
        <v>15774.254940000001</v>
      </c>
      <c r="R2556">
        <v>1.54</v>
      </c>
      <c r="S2556">
        <v>75420</v>
      </c>
      <c r="T2556">
        <v>8.5379810000000003</v>
      </c>
      <c r="U2556">
        <v>-80.782127000000003</v>
      </c>
    </row>
    <row r="2557" spans="1:21">
      <c r="A2557" t="s">
        <v>143</v>
      </c>
      <c r="B2557">
        <v>2020</v>
      </c>
      <c r="C2557">
        <v>27640.848000000002</v>
      </c>
      <c r="E2557">
        <v>2.7</v>
      </c>
      <c r="F2557">
        <v>0</v>
      </c>
      <c r="G2557">
        <v>8.35</v>
      </c>
      <c r="H2557">
        <v>75.565610000000007</v>
      </c>
      <c r="I2557">
        <v>532.13</v>
      </c>
      <c r="K2557">
        <v>58</v>
      </c>
      <c r="L2557">
        <v>96.704635999999994</v>
      </c>
      <c r="M2557">
        <v>87.6</v>
      </c>
      <c r="P2557">
        <v>-17.944863999999999</v>
      </c>
      <c r="Q2557">
        <v>12509.835290000001</v>
      </c>
      <c r="S2557">
        <v>75420</v>
      </c>
      <c r="T2557">
        <v>8.5379810000000003</v>
      </c>
      <c r="U2557">
        <v>-80.782127000000003</v>
      </c>
    </row>
    <row r="2558" spans="1:21">
      <c r="A2558" t="s">
        <v>144</v>
      </c>
      <c r="B2558">
        <v>2000</v>
      </c>
      <c r="C2558">
        <v>2747.3433</v>
      </c>
      <c r="D2558">
        <v>2830</v>
      </c>
      <c r="E2558">
        <v>1.1399999999999999</v>
      </c>
      <c r="F2558">
        <v>0</v>
      </c>
      <c r="G2558">
        <v>0.97</v>
      </c>
      <c r="H2558">
        <v>45.971564999999998</v>
      </c>
      <c r="I2558">
        <v>36.369999999999997</v>
      </c>
      <c r="J2558">
        <v>66.38</v>
      </c>
      <c r="K2558">
        <v>20</v>
      </c>
      <c r="L2558">
        <v>7.5770140000000001</v>
      </c>
      <c r="M2558">
        <v>5.6</v>
      </c>
      <c r="P2558">
        <v>-2.4948419930000001</v>
      </c>
      <c r="Q2558">
        <v>602.18649029999995</v>
      </c>
      <c r="R2558">
        <v>5.88</v>
      </c>
      <c r="S2558">
        <v>462840</v>
      </c>
      <c r="T2558">
        <v>-6.3149930000000003</v>
      </c>
      <c r="U2558">
        <v>143.95554999999999</v>
      </c>
    </row>
    <row r="2559" spans="1:21">
      <c r="A2559" t="s">
        <v>144</v>
      </c>
      <c r="B2559">
        <v>2001</v>
      </c>
      <c r="C2559">
        <v>3037.2134000000001</v>
      </c>
      <c r="D2559">
        <v>3390</v>
      </c>
      <c r="E2559">
        <v>1.59</v>
      </c>
      <c r="F2559">
        <v>0</v>
      </c>
      <c r="G2559">
        <v>1</v>
      </c>
      <c r="H2559">
        <v>38.610039999999998</v>
      </c>
      <c r="I2559">
        <v>35.65</v>
      </c>
      <c r="J2559">
        <v>63.44</v>
      </c>
      <c r="K2559">
        <v>20</v>
      </c>
      <c r="L2559">
        <v>9.8821840000000005</v>
      </c>
      <c r="M2559">
        <v>5.7</v>
      </c>
      <c r="P2559">
        <v>-0.12128860599999999</v>
      </c>
      <c r="Q2559">
        <v>515.68478040000002</v>
      </c>
      <c r="R2559">
        <v>6.32</v>
      </c>
      <c r="S2559">
        <v>462840</v>
      </c>
      <c r="T2559">
        <v>-6.3149930000000003</v>
      </c>
      <c r="U2559">
        <v>143.95554999999999</v>
      </c>
    </row>
    <row r="2560" spans="1:21">
      <c r="A2560" t="s">
        <v>144</v>
      </c>
      <c r="B2560">
        <v>2002</v>
      </c>
      <c r="C2560">
        <v>3073.6718999999998</v>
      </c>
      <c r="D2560">
        <v>3609.9998949999999</v>
      </c>
      <c r="E2560">
        <v>1.76</v>
      </c>
      <c r="F2560">
        <v>0</v>
      </c>
      <c r="G2560">
        <v>1</v>
      </c>
      <c r="H2560">
        <v>36.231884000000001</v>
      </c>
      <c r="I2560">
        <v>34.92</v>
      </c>
      <c r="J2560">
        <v>62.49</v>
      </c>
      <c r="K2560">
        <v>20</v>
      </c>
      <c r="L2560">
        <v>12.179769500000001</v>
      </c>
      <c r="M2560">
        <v>5.9</v>
      </c>
      <c r="P2560">
        <v>-0.15890053300000001</v>
      </c>
      <c r="Q2560">
        <v>491.83430809999999</v>
      </c>
      <c r="R2560">
        <v>6.57</v>
      </c>
      <c r="S2560">
        <v>462840</v>
      </c>
      <c r="T2560">
        <v>-6.3149930000000003</v>
      </c>
      <c r="U2560">
        <v>143.95554999999999</v>
      </c>
    </row>
    <row r="2561" spans="1:21">
      <c r="A2561" t="s">
        <v>144</v>
      </c>
      <c r="B2561">
        <v>2003</v>
      </c>
      <c r="C2561">
        <v>3376.0617999999999</v>
      </c>
      <c r="D2561">
        <v>4079.9999240000002</v>
      </c>
      <c r="E2561">
        <v>2.0299999999999998</v>
      </c>
      <c r="F2561">
        <v>0</v>
      </c>
      <c r="G2561">
        <v>1.07</v>
      </c>
      <c r="H2561">
        <v>34.516131999999999</v>
      </c>
      <c r="I2561">
        <v>35.22</v>
      </c>
      <c r="J2561">
        <v>60.4</v>
      </c>
      <c r="K2561">
        <v>20</v>
      </c>
      <c r="L2561">
        <v>14.47212</v>
      </c>
      <c r="M2561">
        <v>6.1</v>
      </c>
      <c r="P2561">
        <v>2.164102502</v>
      </c>
      <c r="Q2561">
        <v>568.24634860000003</v>
      </c>
      <c r="R2561">
        <v>6.78</v>
      </c>
      <c r="S2561">
        <v>462840</v>
      </c>
      <c r="T2561">
        <v>-6.3149930000000003</v>
      </c>
      <c r="U2561">
        <v>143.95554999999999</v>
      </c>
    </row>
    <row r="2562" spans="1:21">
      <c r="A2562" t="s">
        <v>144</v>
      </c>
      <c r="B2562">
        <v>2004</v>
      </c>
      <c r="C2562">
        <v>3651.7664</v>
      </c>
      <c r="D2562">
        <v>4949.9998089999999</v>
      </c>
      <c r="E2562">
        <v>2.14</v>
      </c>
      <c r="F2562">
        <v>0</v>
      </c>
      <c r="G2562">
        <v>1.04</v>
      </c>
      <c r="H2562">
        <v>32.704402999999999</v>
      </c>
      <c r="I2562">
        <v>34.5</v>
      </c>
      <c r="J2562">
        <v>57.48</v>
      </c>
      <c r="K2562">
        <v>20</v>
      </c>
      <c r="L2562">
        <v>16.761583000000002</v>
      </c>
      <c r="M2562">
        <v>6.1</v>
      </c>
      <c r="O2562">
        <v>10000</v>
      </c>
      <c r="P2562">
        <v>2.7211757410000001</v>
      </c>
      <c r="Q2562">
        <v>618.03670320000003</v>
      </c>
      <c r="R2562">
        <v>6.98</v>
      </c>
      <c r="S2562">
        <v>462840</v>
      </c>
      <c r="T2562">
        <v>-6.3149930000000003</v>
      </c>
      <c r="U2562">
        <v>143.95554999999999</v>
      </c>
    </row>
    <row r="2563" spans="1:21">
      <c r="A2563" t="s">
        <v>144</v>
      </c>
      <c r="B2563">
        <v>2005</v>
      </c>
      <c r="C2563">
        <v>3417.0745000000002</v>
      </c>
      <c r="D2563">
        <v>4929.999828</v>
      </c>
      <c r="E2563">
        <v>2.0499999999999998</v>
      </c>
      <c r="F2563">
        <v>0</v>
      </c>
      <c r="G2563">
        <v>1.28</v>
      </c>
      <c r="H2563">
        <v>38.43844</v>
      </c>
      <c r="I2563">
        <v>38.369999999999997</v>
      </c>
      <c r="J2563">
        <v>58.56</v>
      </c>
      <c r="K2563">
        <v>20</v>
      </c>
      <c r="L2563">
        <v>19.050512000000001</v>
      </c>
      <c r="M2563">
        <v>6.5</v>
      </c>
      <c r="P2563">
        <v>6.3447959230000004</v>
      </c>
      <c r="Q2563">
        <v>749.18651160000002</v>
      </c>
      <c r="R2563">
        <v>6.76</v>
      </c>
      <c r="S2563">
        <v>462840</v>
      </c>
      <c r="T2563">
        <v>-6.3149930000000003</v>
      </c>
      <c r="U2563">
        <v>143.95554999999999</v>
      </c>
    </row>
    <row r="2564" spans="1:21">
      <c r="A2564" t="s">
        <v>144</v>
      </c>
      <c r="B2564">
        <v>2006</v>
      </c>
      <c r="C2564">
        <v>3393.2031000000002</v>
      </c>
      <c r="D2564">
        <v>4780.0002100000002</v>
      </c>
      <c r="E2564">
        <v>2</v>
      </c>
      <c r="F2564">
        <v>0</v>
      </c>
      <c r="G2564">
        <v>1.25</v>
      </c>
      <c r="H2564">
        <v>38.461539999999999</v>
      </c>
      <c r="I2564">
        <v>37.5</v>
      </c>
      <c r="J2564">
        <v>58.86</v>
      </c>
      <c r="K2564">
        <v>20</v>
      </c>
      <c r="L2564">
        <v>12.4</v>
      </c>
      <c r="M2564">
        <v>6.7</v>
      </c>
      <c r="P2564">
        <v>5.4099440909999998</v>
      </c>
      <c r="Q2564">
        <v>1256.979648</v>
      </c>
      <c r="R2564">
        <v>6.51</v>
      </c>
      <c r="S2564">
        <v>462840</v>
      </c>
      <c r="T2564">
        <v>-6.3149930000000003</v>
      </c>
      <c r="U2564">
        <v>143.95554999999999</v>
      </c>
    </row>
    <row r="2565" spans="1:21">
      <c r="A2565" t="s">
        <v>144</v>
      </c>
      <c r="B2565">
        <v>2007</v>
      </c>
      <c r="C2565">
        <v>3544.4324000000001</v>
      </c>
      <c r="D2565">
        <v>5050.0001910000001</v>
      </c>
      <c r="E2565">
        <v>2</v>
      </c>
      <c r="F2565">
        <v>0</v>
      </c>
      <c r="G2565">
        <v>1.34</v>
      </c>
      <c r="H2565">
        <v>40.119762000000001</v>
      </c>
      <c r="I2565">
        <v>40.72</v>
      </c>
      <c r="J2565">
        <v>57.13</v>
      </c>
      <c r="K2565">
        <v>20</v>
      </c>
      <c r="L2565">
        <v>23.636633</v>
      </c>
      <c r="M2565">
        <v>6.9</v>
      </c>
      <c r="O2565">
        <v>30000</v>
      </c>
      <c r="P2565">
        <v>7.8151892289999996</v>
      </c>
      <c r="Q2565">
        <v>1401.949447</v>
      </c>
      <c r="R2565">
        <v>7.55</v>
      </c>
      <c r="S2565">
        <v>462840</v>
      </c>
      <c r="T2565">
        <v>-6.3149930000000003</v>
      </c>
      <c r="U2565">
        <v>143.95554999999999</v>
      </c>
    </row>
    <row r="2566" spans="1:21">
      <c r="A2566" t="s">
        <v>144</v>
      </c>
      <c r="B2566">
        <v>2008</v>
      </c>
      <c r="C2566">
        <v>3056.953</v>
      </c>
      <c r="D2566">
        <v>4760.0002290000002</v>
      </c>
      <c r="E2566">
        <v>1.94</v>
      </c>
      <c r="F2566">
        <v>0</v>
      </c>
      <c r="G2566">
        <v>1.34</v>
      </c>
      <c r="H2566">
        <v>40.853659999999998</v>
      </c>
      <c r="I2566">
        <v>40.89</v>
      </c>
      <c r="J2566">
        <v>56.93</v>
      </c>
      <c r="K2566">
        <v>20</v>
      </c>
      <c r="L2566">
        <v>25.939185999999999</v>
      </c>
      <c r="M2566">
        <v>7.1</v>
      </c>
      <c r="O2566">
        <v>30000</v>
      </c>
      <c r="P2566">
        <v>-0.29645784600000002</v>
      </c>
      <c r="Q2566">
        <v>1672.951024</v>
      </c>
      <c r="R2566">
        <v>6.73</v>
      </c>
      <c r="S2566">
        <v>462840</v>
      </c>
      <c r="T2566">
        <v>-6.3149930000000003</v>
      </c>
      <c r="U2566">
        <v>143.95554999999999</v>
      </c>
    </row>
    <row r="2567" spans="1:21">
      <c r="A2567" t="s">
        <v>144</v>
      </c>
      <c r="B2567">
        <v>2009</v>
      </c>
      <c r="C2567">
        <v>3259.0540000000001</v>
      </c>
      <c r="D2567">
        <v>5030.0002100000002</v>
      </c>
      <c r="E2567">
        <v>2.0299999999999998</v>
      </c>
      <c r="F2567">
        <v>0</v>
      </c>
      <c r="G2567">
        <v>1.32</v>
      </c>
      <c r="H2567">
        <v>39.402985000000001</v>
      </c>
      <c r="I2567">
        <v>41.04</v>
      </c>
      <c r="J2567">
        <v>56.02</v>
      </c>
      <c r="K2567">
        <v>20</v>
      </c>
      <c r="L2567">
        <v>17.2</v>
      </c>
      <c r="M2567">
        <v>7.4</v>
      </c>
      <c r="P2567">
        <v>6.800421483</v>
      </c>
      <c r="Q2567">
        <v>1626.3128549999999</v>
      </c>
      <c r="R2567">
        <v>6.49</v>
      </c>
      <c r="S2567">
        <v>462840</v>
      </c>
      <c r="T2567">
        <v>-6.3149930000000003</v>
      </c>
      <c r="U2567">
        <v>143.95554999999999</v>
      </c>
    </row>
    <row r="2568" spans="1:21">
      <c r="A2568" t="s">
        <v>144</v>
      </c>
      <c r="B2568">
        <v>2010</v>
      </c>
      <c r="C2568">
        <v>2867.5837000000001</v>
      </c>
      <c r="D2568">
        <v>5019.9999809999999</v>
      </c>
      <c r="E2568">
        <v>2.0699999999999998</v>
      </c>
      <c r="F2568">
        <v>0</v>
      </c>
      <c r="G2568">
        <v>1.32</v>
      </c>
      <c r="H2568">
        <v>38.938052999999996</v>
      </c>
      <c r="I2568">
        <v>41.21</v>
      </c>
      <c r="J2568">
        <v>55.25</v>
      </c>
      <c r="K2568">
        <v>20</v>
      </c>
      <c r="L2568">
        <v>19.5</v>
      </c>
      <c r="M2568">
        <v>7.7</v>
      </c>
      <c r="P2568">
        <v>10.12845407</v>
      </c>
      <c r="Q2568">
        <v>1949.351185</v>
      </c>
      <c r="R2568">
        <v>5.66</v>
      </c>
      <c r="S2568">
        <v>462840</v>
      </c>
      <c r="T2568">
        <v>-6.3149930000000003</v>
      </c>
      <c r="U2568">
        <v>143.95554999999999</v>
      </c>
    </row>
    <row r="2569" spans="1:21">
      <c r="A2569" t="s">
        <v>144</v>
      </c>
      <c r="B2569">
        <v>2011</v>
      </c>
      <c r="C2569">
        <v>2917.4312</v>
      </c>
      <c r="D2569">
        <v>5159.999847</v>
      </c>
      <c r="E2569">
        <v>2.11</v>
      </c>
      <c r="F2569">
        <v>0</v>
      </c>
      <c r="G2569">
        <v>1.42</v>
      </c>
      <c r="H2569">
        <v>40.226627000000001</v>
      </c>
      <c r="I2569">
        <v>40.31</v>
      </c>
      <c r="J2569">
        <v>54.73</v>
      </c>
      <c r="K2569">
        <v>20</v>
      </c>
      <c r="L2569">
        <v>32.917319999999997</v>
      </c>
      <c r="M2569">
        <v>7.8</v>
      </c>
      <c r="O2569">
        <v>37760000</v>
      </c>
      <c r="P2569">
        <v>1.107543626</v>
      </c>
      <c r="Q2569">
        <v>2406.9109669999998</v>
      </c>
      <c r="R2569">
        <v>5.91</v>
      </c>
      <c r="S2569">
        <v>462840</v>
      </c>
      <c r="T2569">
        <v>-6.3149930000000003</v>
      </c>
      <c r="U2569">
        <v>143.95554999999999</v>
      </c>
    </row>
    <row r="2570" spans="1:21">
      <c r="A2570" t="s">
        <v>144</v>
      </c>
      <c r="B2570">
        <v>2012</v>
      </c>
      <c r="C2570">
        <v>2741.8087999999998</v>
      </c>
      <c r="D2570">
        <v>4889.9998660000001</v>
      </c>
      <c r="E2570">
        <v>2.1800000000000002</v>
      </c>
      <c r="F2570">
        <v>0</v>
      </c>
      <c r="G2570">
        <v>1.43</v>
      </c>
      <c r="H2570">
        <v>39.612189999999998</v>
      </c>
      <c r="I2570">
        <v>40.96</v>
      </c>
      <c r="J2570">
        <v>55.45</v>
      </c>
      <c r="K2570">
        <v>20</v>
      </c>
      <c r="L2570">
        <v>35.275886999999997</v>
      </c>
      <c r="M2570">
        <v>8.1999999999999993</v>
      </c>
      <c r="P2570">
        <v>4.6571195970000003</v>
      </c>
      <c r="Q2570">
        <v>2790.6763030000002</v>
      </c>
      <c r="R2570">
        <v>5.49</v>
      </c>
      <c r="S2570">
        <v>462840</v>
      </c>
      <c r="T2570">
        <v>-6.3149930000000003</v>
      </c>
      <c r="U2570">
        <v>143.95554999999999</v>
      </c>
    </row>
    <row r="2571" spans="1:21">
      <c r="A2571" t="s">
        <v>144</v>
      </c>
      <c r="B2571">
        <v>2013</v>
      </c>
      <c r="C2571">
        <v>2730.9342999999999</v>
      </c>
      <c r="D2571">
        <v>5239.9997709999998</v>
      </c>
      <c r="E2571">
        <v>2.35</v>
      </c>
      <c r="F2571">
        <v>0</v>
      </c>
      <c r="G2571">
        <v>1.47</v>
      </c>
      <c r="H2571">
        <v>38.481673999999998</v>
      </c>
      <c r="I2571">
        <v>40.369999999999997</v>
      </c>
      <c r="J2571">
        <v>58.27</v>
      </c>
      <c r="K2571">
        <v>20</v>
      </c>
      <c r="L2571">
        <v>37.654285000000002</v>
      </c>
      <c r="M2571">
        <v>8.1999999999999993</v>
      </c>
      <c r="O2571">
        <v>6420000</v>
      </c>
      <c r="P2571">
        <v>3.8249463279999998</v>
      </c>
      <c r="Q2571">
        <v>2729.888751</v>
      </c>
      <c r="R2571">
        <v>5.93</v>
      </c>
      <c r="S2571">
        <v>462840</v>
      </c>
      <c r="T2571">
        <v>-6.3149930000000003</v>
      </c>
      <c r="U2571">
        <v>143.95554999999999</v>
      </c>
    </row>
    <row r="2572" spans="1:21">
      <c r="A2572" t="s">
        <v>144</v>
      </c>
      <c r="B2572">
        <v>2014</v>
      </c>
      <c r="C2572">
        <v>2816.4016000000001</v>
      </c>
      <c r="D2572">
        <v>5889.9998660000001</v>
      </c>
      <c r="E2572">
        <v>2.5299999999999998</v>
      </c>
      <c r="F2572">
        <v>0</v>
      </c>
      <c r="G2572">
        <v>1.49</v>
      </c>
      <c r="H2572">
        <v>37.064680000000003</v>
      </c>
      <c r="I2572">
        <v>39.57</v>
      </c>
      <c r="J2572">
        <v>56.82</v>
      </c>
      <c r="K2572">
        <v>20</v>
      </c>
      <c r="L2572">
        <v>40.050490000000003</v>
      </c>
      <c r="M2572">
        <v>8.5</v>
      </c>
      <c r="O2572">
        <v>0</v>
      </c>
      <c r="P2572">
        <v>13.54377062</v>
      </c>
      <c r="Q2572">
        <v>2920.7829860000002</v>
      </c>
      <c r="R2572">
        <v>5.59</v>
      </c>
      <c r="S2572">
        <v>462840</v>
      </c>
      <c r="T2572">
        <v>-6.3149930000000003</v>
      </c>
      <c r="U2572">
        <v>143.95554999999999</v>
      </c>
    </row>
    <row r="2573" spans="1:21">
      <c r="A2573" t="s">
        <v>144</v>
      </c>
      <c r="B2573">
        <v>2015</v>
      </c>
      <c r="C2573">
        <v>3170.5203000000001</v>
      </c>
      <c r="D2573">
        <v>6510.0002290000002</v>
      </c>
      <c r="E2573">
        <v>2.67</v>
      </c>
      <c r="F2573">
        <v>0</v>
      </c>
      <c r="G2573">
        <v>1.48</v>
      </c>
      <c r="H2573">
        <v>35.662649999999999</v>
      </c>
      <c r="I2573">
        <v>41.07</v>
      </c>
      <c r="J2573">
        <v>55.15</v>
      </c>
      <c r="K2573">
        <v>20</v>
      </c>
      <c r="L2573">
        <v>42.878219999999999</v>
      </c>
      <c r="M2573">
        <v>8.6999999999999993</v>
      </c>
      <c r="O2573">
        <v>8420000</v>
      </c>
      <c r="P2573">
        <v>6.5783563230000004</v>
      </c>
      <c r="Q2573">
        <v>2679.346579</v>
      </c>
      <c r="R2573">
        <v>5.38</v>
      </c>
      <c r="S2573">
        <v>462840</v>
      </c>
      <c r="T2573">
        <v>-6.3149930000000003</v>
      </c>
      <c r="U2573">
        <v>143.95554999999999</v>
      </c>
    </row>
    <row r="2574" spans="1:21">
      <c r="A2574" t="s">
        <v>144</v>
      </c>
      <c r="B2574">
        <v>2016</v>
      </c>
      <c r="C2574">
        <v>3283.4167000000002</v>
      </c>
      <c r="D2574">
        <v>7659.999847</v>
      </c>
      <c r="E2574">
        <v>2.79</v>
      </c>
      <c r="F2574">
        <v>0</v>
      </c>
      <c r="G2574">
        <v>1.48</v>
      </c>
      <c r="H2574">
        <v>34.660423000000002</v>
      </c>
      <c r="I2574">
        <v>40.299999999999997</v>
      </c>
      <c r="J2574">
        <v>54.56</v>
      </c>
      <c r="K2574">
        <v>20</v>
      </c>
      <c r="L2574">
        <v>49.4</v>
      </c>
      <c r="M2574">
        <v>8.85</v>
      </c>
      <c r="O2574">
        <v>32340000</v>
      </c>
      <c r="P2574">
        <v>5.4895731530000003</v>
      </c>
      <c r="Q2574">
        <v>2509.629637</v>
      </c>
      <c r="R2574">
        <v>5.18</v>
      </c>
      <c r="S2574">
        <v>462840</v>
      </c>
      <c r="T2574">
        <v>-6.3149930000000003</v>
      </c>
      <c r="U2574">
        <v>143.95554999999999</v>
      </c>
    </row>
    <row r="2575" spans="1:21">
      <c r="A2575" t="s">
        <v>144</v>
      </c>
      <c r="B2575">
        <v>2017</v>
      </c>
      <c r="C2575">
        <v>3098.1383999999998</v>
      </c>
      <c r="D2575">
        <v>7610.0001339999999</v>
      </c>
      <c r="E2575">
        <v>2.99</v>
      </c>
      <c r="F2575">
        <v>0</v>
      </c>
      <c r="G2575">
        <v>1.27</v>
      </c>
      <c r="H2575">
        <v>29.812204000000001</v>
      </c>
      <c r="I2575">
        <v>39.5</v>
      </c>
      <c r="J2575">
        <v>54.45</v>
      </c>
      <c r="K2575">
        <v>20</v>
      </c>
      <c r="L2575">
        <v>54.4</v>
      </c>
      <c r="M2575">
        <v>8.8000000000000007</v>
      </c>
      <c r="O2575">
        <v>830000</v>
      </c>
      <c r="P2575">
        <v>3.534610818</v>
      </c>
      <c r="Q2575">
        <v>2695.2490090000001</v>
      </c>
      <c r="R2575">
        <v>4.93</v>
      </c>
      <c r="S2575">
        <v>462840</v>
      </c>
      <c r="T2575">
        <v>-6.3149930000000003</v>
      </c>
      <c r="U2575">
        <v>143.95554999999999</v>
      </c>
    </row>
    <row r="2576" spans="1:21">
      <c r="A2576" t="s">
        <v>144</v>
      </c>
      <c r="B2576">
        <v>2018</v>
      </c>
      <c r="C2576">
        <v>3150.1516000000001</v>
      </c>
      <c r="D2576">
        <v>7559.9999429999998</v>
      </c>
      <c r="E2576">
        <v>3.13</v>
      </c>
      <c r="F2576">
        <v>0</v>
      </c>
      <c r="G2576">
        <v>1.27</v>
      </c>
      <c r="H2576">
        <v>28.863636</v>
      </c>
      <c r="I2576">
        <v>38.74</v>
      </c>
      <c r="J2576">
        <v>52.96</v>
      </c>
      <c r="K2576">
        <v>20</v>
      </c>
      <c r="L2576">
        <v>55.727386000000003</v>
      </c>
      <c r="M2576">
        <v>9</v>
      </c>
      <c r="O2576">
        <v>130000</v>
      </c>
      <c r="P2576">
        <v>-0.27925228499999999</v>
      </c>
      <c r="Q2576">
        <v>2801.3713929999999</v>
      </c>
      <c r="R2576">
        <v>5.31</v>
      </c>
      <c r="S2576">
        <v>462840</v>
      </c>
      <c r="T2576">
        <v>-6.3149930000000003</v>
      </c>
      <c r="U2576">
        <v>143.95554999999999</v>
      </c>
    </row>
    <row r="2577" spans="1:21">
      <c r="A2577" t="s">
        <v>144</v>
      </c>
      <c r="B2577">
        <v>2019</v>
      </c>
      <c r="C2577">
        <v>3159.5165999999999</v>
      </c>
      <c r="D2577">
        <v>7579.9999239999997</v>
      </c>
      <c r="E2577">
        <v>3.16</v>
      </c>
      <c r="F2577">
        <v>0</v>
      </c>
      <c r="G2577">
        <v>1.28</v>
      </c>
      <c r="H2577">
        <v>28.828828999999999</v>
      </c>
      <c r="I2577">
        <v>37.99</v>
      </c>
      <c r="J2577">
        <v>53.09</v>
      </c>
      <c r="K2577">
        <v>20</v>
      </c>
      <c r="L2577">
        <v>59.662975000000003</v>
      </c>
      <c r="M2577">
        <v>9.1</v>
      </c>
      <c r="O2577">
        <v>120000</v>
      </c>
      <c r="P2577">
        <v>4.4804306079999998</v>
      </c>
      <c r="Q2577">
        <v>2820.3063969999998</v>
      </c>
      <c r="R2577">
        <v>5.28</v>
      </c>
      <c r="S2577">
        <v>462840</v>
      </c>
      <c r="T2577">
        <v>-6.3149930000000003</v>
      </c>
      <c r="U2577">
        <v>143.95554999999999</v>
      </c>
    </row>
    <row r="2578" spans="1:21">
      <c r="A2578" t="s">
        <v>144</v>
      </c>
      <c r="B2578">
        <v>2020</v>
      </c>
      <c r="C2578">
        <v>2163.8703999999998</v>
      </c>
      <c r="E2578">
        <v>3.36</v>
      </c>
      <c r="F2578">
        <v>0</v>
      </c>
      <c r="G2578">
        <v>1.28</v>
      </c>
      <c r="H2578">
        <v>27.586207999999999</v>
      </c>
      <c r="I2578">
        <v>37.26</v>
      </c>
      <c r="K2578">
        <v>20</v>
      </c>
      <c r="L2578">
        <v>60.4</v>
      </c>
      <c r="M2578">
        <v>9.4</v>
      </c>
      <c r="P2578">
        <v>-3.5</v>
      </c>
      <c r="Q2578">
        <v>2757.2175299999999</v>
      </c>
      <c r="S2578">
        <v>462840</v>
      </c>
      <c r="T2578">
        <v>-6.3149930000000003</v>
      </c>
      <c r="U2578">
        <v>143.95554999999999</v>
      </c>
    </row>
    <row r="2579" spans="1:21">
      <c r="A2579" t="s">
        <v>145</v>
      </c>
      <c r="B2579">
        <v>2000</v>
      </c>
      <c r="C2579">
        <v>24335.995999999999</v>
      </c>
      <c r="D2579">
        <v>3520</v>
      </c>
      <c r="E2579">
        <v>0.01</v>
      </c>
      <c r="F2579">
        <v>0</v>
      </c>
      <c r="G2579">
        <v>52.96</v>
      </c>
      <c r="H2579">
        <v>99.981120000000004</v>
      </c>
      <c r="I2579">
        <v>1388.26</v>
      </c>
      <c r="J2579">
        <v>70.41</v>
      </c>
      <c r="K2579">
        <v>18</v>
      </c>
      <c r="L2579">
        <v>89.421139999999994</v>
      </c>
      <c r="M2579">
        <v>49.2</v>
      </c>
      <c r="P2579">
        <v>-2.314140568</v>
      </c>
      <c r="Q2579">
        <v>1663.6049390000001</v>
      </c>
      <c r="R2579">
        <v>3.56</v>
      </c>
      <c r="S2579">
        <v>406752</v>
      </c>
      <c r="T2579">
        <v>-23.442502999999999</v>
      </c>
      <c r="U2579">
        <v>-58.443832</v>
      </c>
    </row>
    <row r="2580" spans="1:21">
      <c r="A2580" t="s">
        <v>145</v>
      </c>
      <c r="B2580">
        <v>2001</v>
      </c>
      <c r="C2580">
        <v>21277.063999999998</v>
      </c>
      <c r="D2580">
        <v>3610</v>
      </c>
      <c r="E2580">
        <v>0.01</v>
      </c>
      <c r="F2580">
        <v>0</v>
      </c>
      <c r="G2580">
        <v>44.86</v>
      </c>
      <c r="H2580">
        <v>99.977715000000003</v>
      </c>
      <c r="I2580">
        <v>1365.08</v>
      </c>
      <c r="J2580">
        <v>69.84</v>
      </c>
      <c r="K2580">
        <v>18</v>
      </c>
      <c r="L2580">
        <v>91.042069999999995</v>
      </c>
      <c r="M2580">
        <v>48.9</v>
      </c>
      <c r="O2580">
        <v>10000</v>
      </c>
      <c r="P2580">
        <v>-0.834054717</v>
      </c>
      <c r="Q2580">
        <v>1565.0542889999999</v>
      </c>
      <c r="R2580">
        <v>3.65</v>
      </c>
      <c r="S2580">
        <v>406752</v>
      </c>
      <c r="T2580">
        <v>-23.442502999999999</v>
      </c>
      <c r="U2580">
        <v>-58.443832</v>
      </c>
    </row>
    <row r="2581" spans="1:21">
      <c r="A2581" t="s">
        <v>145</v>
      </c>
      <c r="B2581">
        <v>2002</v>
      </c>
      <c r="C2581">
        <v>21856.116999999998</v>
      </c>
      <c r="D2581">
        <v>3779.9999710000002</v>
      </c>
      <c r="E2581">
        <v>0.01</v>
      </c>
      <c r="F2581">
        <v>0</v>
      </c>
      <c r="G2581">
        <v>47.73</v>
      </c>
      <c r="H2581">
        <v>99.979050000000001</v>
      </c>
      <c r="I2581">
        <v>1335.92</v>
      </c>
      <c r="J2581">
        <v>67.680000000000007</v>
      </c>
      <c r="K2581">
        <v>18</v>
      </c>
      <c r="L2581">
        <v>91.666439999999994</v>
      </c>
      <c r="M2581">
        <v>48.6</v>
      </c>
      <c r="P2581">
        <v>-2.1404395E-2</v>
      </c>
      <c r="Q2581">
        <v>1300.852367</v>
      </c>
      <c r="R2581">
        <v>3.62</v>
      </c>
      <c r="S2581">
        <v>406752</v>
      </c>
      <c r="T2581">
        <v>-23.442502999999999</v>
      </c>
      <c r="U2581">
        <v>-58.443832</v>
      </c>
    </row>
    <row r="2582" spans="1:21">
      <c r="A2582" t="s">
        <v>145</v>
      </c>
      <c r="B2582">
        <v>2003</v>
      </c>
      <c r="C2582">
        <v>22881.866999999998</v>
      </c>
      <c r="D2582">
        <v>3940.0000570000002</v>
      </c>
      <c r="E2582">
        <v>0.02</v>
      </c>
      <c r="F2582">
        <v>0</v>
      </c>
      <c r="G2582">
        <v>51.25</v>
      </c>
      <c r="H2582">
        <v>99.960989999999995</v>
      </c>
      <c r="I2582">
        <v>1315.51</v>
      </c>
      <c r="J2582">
        <v>67.05</v>
      </c>
      <c r="K2582">
        <v>18</v>
      </c>
      <c r="L2582">
        <v>92.558395000000004</v>
      </c>
      <c r="M2582">
        <v>48.4</v>
      </c>
      <c r="P2582">
        <v>4.3207454859999999</v>
      </c>
      <c r="Q2582">
        <v>1365.416418</v>
      </c>
      <c r="R2582">
        <v>3.55</v>
      </c>
      <c r="S2582">
        <v>406752</v>
      </c>
      <c r="T2582">
        <v>-23.442502999999999</v>
      </c>
      <c r="U2582">
        <v>-58.443832</v>
      </c>
    </row>
    <row r="2583" spans="1:21">
      <c r="A2583" t="s">
        <v>145</v>
      </c>
      <c r="B2583">
        <v>2004</v>
      </c>
      <c r="C2583">
        <v>22449.5</v>
      </c>
      <c r="D2583">
        <v>3970.0000289999998</v>
      </c>
      <c r="E2583">
        <v>0</v>
      </c>
      <c r="F2583">
        <v>0</v>
      </c>
      <c r="G2583">
        <v>51.41</v>
      </c>
      <c r="H2583">
        <v>100</v>
      </c>
      <c r="I2583">
        <v>1293.1099999999999</v>
      </c>
      <c r="J2583">
        <v>66.75</v>
      </c>
      <c r="K2583">
        <v>18</v>
      </c>
      <c r="L2583">
        <v>93.249880000000005</v>
      </c>
      <c r="M2583">
        <v>48.6</v>
      </c>
      <c r="P2583">
        <v>4.0574183640000001</v>
      </c>
      <c r="Q2583">
        <v>1679.49512</v>
      </c>
      <c r="R2583">
        <v>3.44</v>
      </c>
      <c r="S2583">
        <v>406752</v>
      </c>
      <c r="T2583">
        <v>-23.442502999999999</v>
      </c>
      <c r="U2583">
        <v>-58.443832</v>
      </c>
    </row>
    <row r="2584" spans="1:21">
      <c r="A2584" t="s">
        <v>145</v>
      </c>
      <c r="B2584">
        <v>2005</v>
      </c>
      <c r="C2584">
        <v>21752.111000000001</v>
      </c>
      <c r="D2584">
        <v>3700.0000479999999</v>
      </c>
      <c r="E2584">
        <v>0</v>
      </c>
      <c r="F2584">
        <v>0</v>
      </c>
      <c r="G2584">
        <v>50.65</v>
      </c>
      <c r="H2584">
        <v>100</v>
      </c>
      <c r="I2584">
        <v>1272.3699999999999</v>
      </c>
      <c r="J2584">
        <v>68.81</v>
      </c>
      <c r="K2584">
        <v>18</v>
      </c>
      <c r="L2584">
        <v>94.686890000000005</v>
      </c>
      <c r="M2584">
        <v>49.1</v>
      </c>
      <c r="P2584">
        <v>2.1334906650000001</v>
      </c>
      <c r="Q2584">
        <v>1843.634108</v>
      </c>
      <c r="R2584">
        <v>3.33</v>
      </c>
      <c r="S2584">
        <v>406752</v>
      </c>
      <c r="T2584">
        <v>-23.442502999999999</v>
      </c>
      <c r="U2584">
        <v>-58.443832</v>
      </c>
    </row>
    <row r="2585" spans="1:21">
      <c r="A2585" t="s">
        <v>145</v>
      </c>
      <c r="B2585">
        <v>2006</v>
      </c>
      <c r="C2585">
        <v>22537.386999999999</v>
      </c>
      <c r="D2585">
        <v>3950.0000479999999</v>
      </c>
      <c r="E2585">
        <v>0</v>
      </c>
      <c r="F2585">
        <v>0</v>
      </c>
      <c r="G2585">
        <v>53.25</v>
      </c>
      <c r="H2585">
        <v>100</v>
      </c>
      <c r="I2585">
        <v>1253.2</v>
      </c>
      <c r="J2585">
        <v>66.459999999999994</v>
      </c>
      <c r="K2585">
        <v>18</v>
      </c>
      <c r="L2585">
        <v>96.749049999999997</v>
      </c>
      <c r="M2585">
        <v>50.3</v>
      </c>
      <c r="O2585">
        <v>191130000</v>
      </c>
      <c r="P2585">
        <v>4.8071171929999998</v>
      </c>
      <c r="Q2585">
        <v>2271.0888850000001</v>
      </c>
      <c r="R2585">
        <v>3.27</v>
      </c>
      <c r="S2585">
        <v>406752</v>
      </c>
      <c r="T2585">
        <v>-23.442502999999999</v>
      </c>
      <c r="U2585">
        <v>-58.443832</v>
      </c>
    </row>
    <row r="2586" spans="1:21">
      <c r="A2586" t="s">
        <v>145</v>
      </c>
      <c r="B2586">
        <v>2007</v>
      </c>
      <c r="C2586">
        <v>22409.062000000002</v>
      </c>
      <c r="D2586">
        <v>3720.0000289999998</v>
      </c>
      <c r="E2586">
        <v>0</v>
      </c>
      <c r="F2586">
        <v>0</v>
      </c>
      <c r="G2586">
        <v>53.19</v>
      </c>
      <c r="H2586">
        <v>100</v>
      </c>
      <c r="I2586">
        <v>1235.3900000000001</v>
      </c>
      <c r="J2586">
        <v>68.44</v>
      </c>
      <c r="K2586">
        <v>18</v>
      </c>
      <c r="L2586">
        <v>96.452774000000005</v>
      </c>
      <c r="M2586">
        <v>51.7</v>
      </c>
      <c r="P2586">
        <v>5.4216228720000004</v>
      </c>
      <c r="Q2586">
        <v>2976.8240139999998</v>
      </c>
      <c r="R2586">
        <v>3.16</v>
      </c>
      <c r="S2586">
        <v>406752</v>
      </c>
      <c r="T2586">
        <v>-23.442502999999999</v>
      </c>
      <c r="U2586">
        <v>-58.443832</v>
      </c>
    </row>
    <row r="2587" spans="1:21">
      <c r="A2587" t="s">
        <v>145</v>
      </c>
      <c r="B2587">
        <v>2008</v>
      </c>
      <c r="C2587">
        <v>22887.294999999998</v>
      </c>
      <c r="D2587">
        <v>4320.000172</v>
      </c>
      <c r="E2587">
        <v>0</v>
      </c>
      <c r="F2587">
        <v>0</v>
      </c>
      <c r="G2587">
        <v>54.91</v>
      </c>
      <c r="H2587">
        <v>100</v>
      </c>
      <c r="I2587">
        <v>1333.67</v>
      </c>
      <c r="J2587">
        <v>65.81</v>
      </c>
      <c r="K2587">
        <v>18</v>
      </c>
      <c r="L2587">
        <v>96.677895000000007</v>
      </c>
      <c r="M2587">
        <v>53.7</v>
      </c>
      <c r="P2587">
        <v>6.4962921199999997</v>
      </c>
      <c r="Q2587">
        <v>4047.909791</v>
      </c>
      <c r="R2587">
        <v>3.18</v>
      </c>
      <c r="S2587">
        <v>406752</v>
      </c>
      <c r="T2587">
        <v>-23.442502999999999</v>
      </c>
      <c r="U2587">
        <v>-58.443832</v>
      </c>
    </row>
    <row r="2588" spans="1:21">
      <c r="A2588" t="s">
        <v>145</v>
      </c>
      <c r="B2588">
        <v>2009</v>
      </c>
      <c r="C2588">
        <v>22453.984</v>
      </c>
      <c r="D2588">
        <v>4570.000172</v>
      </c>
      <c r="E2588">
        <v>0</v>
      </c>
      <c r="F2588">
        <v>0</v>
      </c>
      <c r="G2588">
        <v>54.41</v>
      </c>
      <c r="H2588">
        <v>100</v>
      </c>
      <c r="I2588">
        <v>1319.02</v>
      </c>
      <c r="J2588">
        <v>65.36</v>
      </c>
      <c r="K2588">
        <v>18</v>
      </c>
      <c r="L2588">
        <v>96.891334999999998</v>
      </c>
      <c r="M2588">
        <v>55.6</v>
      </c>
      <c r="O2588">
        <v>80000</v>
      </c>
      <c r="P2588">
        <v>-0.261137328</v>
      </c>
      <c r="Q2588">
        <v>3626.8186369999999</v>
      </c>
      <c r="R2588">
        <v>3.25</v>
      </c>
      <c r="S2588">
        <v>406752</v>
      </c>
      <c r="T2588">
        <v>-23.442502999999999</v>
      </c>
      <c r="U2588">
        <v>-58.443832</v>
      </c>
    </row>
    <row r="2589" spans="1:21">
      <c r="A2589" t="s">
        <v>145</v>
      </c>
      <c r="B2589">
        <v>2010</v>
      </c>
      <c r="C2589">
        <v>22447.14</v>
      </c>
      <c r="D2589">
        <v>5039.9999619999999</v>
      </c>
      <c r="E2589">
        <v>0</v>
      </c>
      <c r="F2589">
        <v>0</v>
      </c>
      <c r="G2589">
        <v>53.52</v>
      </c>
      <c r="H2589">
        <v>100</v>
      </c>
      <c r="I2589">
        <v>1410.11</v>
      </c>
      <c r="J2589">
        <v>63.61</v>
      </c>
      <c r="K2589">
        <v>18</v>
      </c>
      <c r="L2589">
        <v>97.430859999999996</v>
      </c>
      <c r="M2589">
        <v>57.45</v>
      </c>
      <c r="O2589">
        <v>90000</v>
      </c>
      <c r="P2589">
        <v>11.095231269999999</v>
      </c>
      <c r="Q2589">
        <v>4359.4284150000003</v>
      </c>
      <c r="R2589">
        <v>3.12</v>
      </c>
      <c r="S2589">
        <v>406752</v>
      </c>
      <c r="T2589">
        <v>-23.442502999999999</v>
      </c>
      <c r="U2589">
        <v>-58.443832</v>
      </c>
    </row>
    <row r="2590" spans="1:21">
      <c r="A2590" t="s">
        <v>145</v>
      </c>
      <c r="B2590">
        <v>2011</v>
      </c>
      <c r="C2590">
        <v>23345.690999999999</v>
      </c>
      <c r="D2590">
        <v>5219.9997899999998</v>
      </c>
      <c r="E2590">
        <v>0</v>
      </c>
      <c r="F2590">
        <v>0</v>
      </c>
      <c r="G2590">
        <v>57.05</v>
      </c>
      <c r="H2590">
        <v>100</v>
      </c>
      <c r="I2590">
        <v>1390.98</v>
      </c>
      <c r="J2590">
        <v>62.46</v>
      </c>
      <c r="K2590">
        <v>18</v>
      </c>
      <c r="L2590">
        <v>98.236559999999997</v>
      </c>
      <c r="M2590">
        <v>59.7</v>
      </c>
      <c r="O2590">
        <v>30000</v>
      </c>
      <c r="P2590">
        <v>4.2863712070000002</v>
      </c>
      <c r="Q2590">
        <v>5329.3874370000003</v>
      </c>
      <c r="R2590">
        <v>3.04</v>
      </c>
      <c r="S2590">
        <v>406752</v>
      </c>
      <c r="T2590">
        <v>-23.442502999999999</v>
      </c>
      <c r="U2590">
        <v>-58.443832</v>
      </c>
    </row>
    <row r="2591" spans="1:21">
      <c r="A2591" t="s">
        <v>145</v>
      </c>
      <c r="B2591">
        <v>2012</v>
      </c>
      <c r="C2591">
        <v>23638.724999999999</v>
      </c>
      <c r="D2591">
        <v>5179.999828</v>
      </c>
      <c r="E2591">
        <v>0</v>
      </c>
      <c r="F2591">
        <v>0</v>
      </c>
      <c r="G2591">
        <v>59.63</v>
      </c>
      <c r="H2591">
        <v>100</v>
      </c>
      <c r="I2591">
        <v>1372.02</v>
      </c>
      <c r="J2591">
        <v>63.43</v>
      </c>
      <c r="K2591">
        <v>18</v>
      </c>
      <c r="L2591">
        <v>97.835620000000006</v>
      </c>
      <c r="M2591">
        <v>61.3</v>
      </c>
      <c r="P2591">
        <v>-0.70804311200000003</v>
      </c>
      <c r="Q2591">
        <v>5185.1415489999999</v>
      </c>
      <c r="R2591">
        <v>3.07</v>
      </c>
      <c r="S2591">
        <v>406752</v>
      </c>
      <c r="T2591">
        <v>-23.442502999999999</v>
      </c>
      <c r="U2591">
        <v>-58.443832</v>
      </c>
    </row>
    <row r="2592" spans="1:21">
      <c r="A2592" t="s">
        <v>145</v>
      </c>
      <c r="B2592">
        <v>2013</v>
      </c>
      <c r="C2592">
        <v>23514.254000000001</v>
      </c>
      <c r="D2592">
        <v>5300.0001910000001</v>
      </c>
      <c r="E2592">
        <v>0.04</v>
      </c>
      <c r="F2592">
        <v>0</v>
      </c>
      <c r="G2592">
        <v>59.87</v>
      </c>
      <c r="H2592">
        <v>99.933234999999996</v>
      </c>
      <c r="I2592">
        <v>1359.31</v>
      </c>
      <c r="J2592">
        <v>62.55</v>
      </c>
      <c r="K2592">
        <v>18</v>
      </c>
      <c r="L2592">
        <v>99.015884</v>
      </c>
      <c r="M2592">
        <v>63.1</v>
      </c>
      <c r="O2592">
        <v>80000</v>
      </c>
      <c r="P2592">
        <v>8.2930764890000006</v>
      </c>
      <c r="Q2592">
        <v>5936.9759590000003</v>
      </c>
      <c r="R2592">
        <v>2.86</v>
      </c>
      <c r="S2592">
        <v>406752</v>
      </c>
      <c r="T2592">
        <v>-23.442502999999999</v>
      </c>
      <c r="U2592">
        <v>-58.443832</v>
      </c>
    </row>
    <row r="2593" spans="1:21">
      <c r="A2593" t="s">
        <v>145</v>
      </c>
      <c r="B2593">
        <v>2014</v>
      </c>
      <c r="C2593">
        <v>21944.45</v>
      </c>
      <c r="D2593">
        <v>5630.0001140000004</v>
      </c>
      <c r="E2593">
        <v>0.04</v>
      </c>
      <c r="F2593">
        <v>0</v>
      </c>
      <c r="G2593">
        <v>54.83</v>
      </c>
      <c r="H2593">
        <v>99.927099999999996</v>
      </c>
      <c r="I2593">
        <v>1340.93</v>
      </c>
      <c r="J2593">
        <v>62.54</v>
      </c>
      <c r="K2593">
        <v>18</v>
      </c>
      <c r="L2593">
        <v>99.000720000000001</v>
      </c>
      <c r="M2593">
        <v>64.3</v>
      </c>
      <c r="P2593">
        <v>5.3012385919999998</v>
      </c>
      <c r="Q2593">
        <v>6118.3181100000002</v>
      </c>
      <c r="R2593">
        <v>2.84</v>
      </c>
      <c r="S2593">
        <v>406752</v>
      </c>
      <c r="T2593">
        <v>-23.442502999999999</v>
      </c>
      <c r="U2593">
        <v>-58.443832</v>
      </c>
    </row>
    <row r="2594" spans="1:21">
      <c r="A2594" t="s">
        <v>145</v>
      </c>
      <c r="B2594">
        <v>2015</v>
      </c>
      <c r="C2594">
        <v>22191.486000000001</v>
      </c>
      <c r="D2594">
        <v>6369.9998859999996</v>
      </c>
      <c r="E2594">
        <v>0.04</v>
      </c>
      <c r="F2594">
        <v>0</v>
      </c>
      <c r="G2594">
        <v>55.3</v>
      </c>
      <c r="H2594">
        <v>99.927719999999994</v>
      </c>
      <c r="I2594">
        <v>1323.04</v>
      </c>
      <c r="J2594">
        <v>60.51</v>
      </c>
      <c r="K2594">
        <v>18</v>
      </c>
      <c r="L2594">
        <v>99.331535000000002</v>
      </c>
      <c r="M2594">
        <v>65.400000000000006</v>
      </c>
      <c r="P2594">
        <v>2.9571517350000001</v>
      </c>
      <c r="Q2594">
        <v>5413.7760209999997</v>
      </c>
      <c r="R2594">
        <v>3.01</v>
      </c>
      <c r="S2594">
        <v>406752</v>
      </c>
      <c r="T2594">
        <v>-23.442502999999999</v>
      </c>
      <c r="U2594">
        <v>-58.443832</v>
      </c>
    </row>
    <row r="2595" spans="1:21">
      <c r="A2595" t="s">
        <v>145</v>
      </c>
      <c r="B2595">
        <v>2016</v>
      </c>
      <c r="C2595">
        <v>24718.905999999999</v>
      </c>
      <c r="D2595">
        <v>7179.999828</v>
      </c>
      <c r="E2595">
        <v>0</v>
      </c>
      <c r="F2595">
        <v>0</v>
      </c>
      <c r="G2595">
        <v>63.3</v>
      </c>
      <c r="H2595">
        <v>100</v>
      </c>
      <c r="I2595">
        <v>1305.6400000000001</v>
      </c>
      <c r="J2595">
        <v>62.49</v>
      </c>
      <c r="K2595">
        <v>18</v>
      </c>
      <c r="L2595">
        <v>98.4</v>
      </c>
      <c r="M2595">
        <v>66.2</v>
      </c>
      <c r="O2595">
        <v>460000</v>
      </c>
      <c r="P2595">
        <v>4.2680258330000003</v>
      </c>
      <c r="Q2595">
        <v>5324.6090679999998</v>
      </c>
      <c r="R2595">
        <v>3.4</v>
      </c>
      <c r="S2595">
        <v>406752</v>
      </c>
      <c r="T2595">
        <v>-23.442502999999999</v>
      </c>
      <c r="U2595">
        <v>-58.443832</v>
      </c>
    </row>
    <row r="2596" spans="1:21">
      <c r="A2596" t="s">
        <v>145</v>
      </c>
      <c r="B2596">
        <v>2017</v>
      </c>
      <c r="C2596">
        <v>23435.645</v>
      </c>
      <c r="D2596">
        <v>8060.0004200000003</v>
      </c>
      <c r="E2596">
        <v>0</v>
      </c>
      <c r="F2596">
        <v>0</v>
      </c>
      <c r="G2596">
        <v>59.23</v>
      </c>
      <c r="H2596">
        <v>100</v>
      </c>
      <c r="I2596">
        <v>1288.69</v>
      </c>
      <c r="J2596">
        <v>60.12</v>
      </c>
      <c r="K2596">
        <v>18</v>
      </c>
      <c r="L2596">
        <v>99.3</v>
      </c>
      <c r="M2596">
        <v>66.8</v>
      </c>
      <c r="P2596">
        <v>4.8100788559999996</v>
      </c>
      <c r="Q2596">
        <v>5678.8699720000004</v>
      </c>
      <c r="R2596">
        <v>3.42</v>
      </c>
      <c r="S2596">
        <v>406752</v>
      </c>
      <c r="T2596">
        <v>-23.442502999999999</v>
      </c>
      <c r="U2596">
        <v>-58.443832</v>
      </c>
    </row>
    <row r="2597" spans="1:21">
      <c r="A2597" t="s">
        <v>145</v>
      </c>
      <c r="B2597">
        <v>2018</v>
      </c>
      <c r="C2597">
        <v>23139.456999999999</v>
      </c>
      <c r="D2597">
        <v>8470.0002669999994</v>
      </c>
      <c r="E2597">
        <v>0</v>
      </c>
      <c r="F2597">
        <v>0</v>
      </c>
      <c r="G2597">
        <v>58.75</v>
      </c>
      <c r="H2597">
        <v>100</v>
      </c>
      <c r="I2597">
        <v>1272.19</v>
      </c>
      <c r="J2597">
        <v>59.24</v>
      </c>
      <c r="K2597">
        <v>18</v>
      </c>
      <c r="L2597">
        <v>99.6</v>
      </c>
      <c r="M2597">
        <v>67.400000000000006</v>
      </c>
      <c r="O2597">
        <v>130470000</v>
      </c>
      <c r="P2597">
        <v>3.2042503409999998</v>
      </c>
      <c r="Q2597">
        <v>5782.7845500000003</v>
      </c>
      <c r="R2597">
        <v>3.4</v>
      </c>
      <c r="S2597">
        <v>406752</v>
      </c>
      <c r="T2597">
        <v>-23.442502999999999</v>
      </c>
      <c r="U2597">
        <v>-58.443832</v>
      </c>
    </row>
    <row r="2598" spans="1:21">
      <c r="A2598" t="s">
        <v>145</v>
      </c>
      <c r="B2598">
        <v>2019</v>
      </c>
      <c r="C2598">
        <v>19903.919999999998</v>
      </c>
      <c r="D2598">
        <v>8210.0000380000001</v>
      </c>
      <c r="E2598">
        <v>7.0000000000000007E-2</v>
      </c>
      <c r="F2598">
        <v>0</v>
      </c>
      <c r="G2598">
        <v>48.99</v>
      </c>
      <c r="H2598">
        <v>99.857315</v>
      </c>
      <c r="I2598">
        <v>1253.75</v>
      </c>
      <c r="J2598">
        <v>60.09</v>
      </c>
      <c r="K2598">
        <v>18</v>
      </c>
      <c r="L2598">
        <v>99.7</v>
      </c>
      <c r="M2598">
        <v>68</v>
      </c>
      <c r="O2598">
        <v>1160000</v>
      </c>
      <c r="P2598">
        <v>-0.40185510099999999</v>
      </c>
      <c r="Q2598">
        <v>5380.9633219999996</v>
      </c>
      <c r="R2598">
        <v>3.39</v>
      </c>
      <c r="S2598">
        <v>406752</v>
      </c>
      <c r="T2598">
        <v>-23.442502999999999</v>
      </c>
      <c r="U2598">
        <v>-58.443832</v>
      </c>
    </row>
    <row r="2599" spans="1:21">
      <c r="A2599" t="s">
        <v>145</v>
      </c>
      <c r="B2599">
        <v>2020</v>
      </c>
      <c r="C2599">
        <v>18493.115000000002</v>
      </c>
      <c r="E2599">
        <v>7.0000000000000007E-2</v>
      </c>
      <c r="F2599">
        <v>0</v>
      </c>
      <c r="G2599">
        <v>46.43</v>
      </c>
      <c r="H2599">
        <v>99.849463999999998</v>
      </c>
      <c r="I2599">
        <v>1238.3</v>
      </c>
      <c r="K2599">
        <v>18</v>
      </c>
      <c r="L2599">
        <v>100</v>
      </c>
      <c r="M2599">
        <v>68.599999999999994</v>
      </c>
      <c r="P2599">
        <v>-0.56569544699999996</v>
      </c>
      <c r="Q2599">
        <v>5001.07276</v>
      </c>
      <c r="S2599">
        <v>406752</v>
      </c>
      <c r="T2599">
        <v>-23.442502999999999</v>
      </c>
      <c r="U2599">
        <v>-58.443832</v>
      </c>
    </row>
    <row r="2600" spans="1:21">
      <c r="A2600" t="s">
        <v>146</v>
      </c>
      <c r="B2600">
        <v>2000</v>
      </c>
      <c r="C2600">
        <v>5528.5029999999997</v>
      </c>
      <c r="D2600">
        <v>28630</v>
      </c>
      <c r="E2600">
        <v>3.47</v>
      </c>
      <c r="F2600">
        <v>0</v>
      </c>
      <c r="G2600">
        <v>16.07</v>
      </c>
      <c r="H2600">
        <v>82.241553999999994</v>
      </c>
      <c r="I2600">
        <v>109.35</v>
      </c>
      <c r="J2600">
        <v>38.57</v>
      </c>
      <c r="K2600">
        <v>26</v>
      </c>
      <c r="L2600">
        <v>72.496499999999997</v>
      </c>
      <c r="M2600">
        <v>43.1</v>
      </c>
      <c r="N2600">
        <v>32.495964000000001</v>
      </c>
      <c r="O2600">
        <v>1070000</v>
      </c>
      <c r="P2600">
        <v>2.6943713979999999</v>
      </c>
      <c r="Q2600">
        <v>1955.588006</v>
      </c>
      <c r="R2600">
        <v>3.32</v>
      </c>
      <c r="S2600">
        <v>1285216</v>
      </c>
      <c r="T2600">
        <v>-9.1899669999999993</v>
      </c>
      <c r="U2600">
        <v>-75.015152</v>
      </c>
    </row>
    <row r="2601" spans="1:21">
      <c r="A2601" t="s">
        <v>146</v>
      </c>
      <c r="B2601">
        <v>2001</v>
      </c>
      <c r="C2601">
        <v>5407.2313999999997</v>
      </c>
      <c r="D2601">
        <v>26540</v>
      </c>
      <c r="E2601">
        <v>2.94</v>
      </c>
      <c r="F2601">
        <v>0</v>
      </c>
      <c r="G2601">
        <v>17.48</v>
      </c>
      <c r="H2601">
        <v>85.602350000000001</v>
      </c>
      <c r="I2601">
        <v>112.09</v>
      </c>
      <c r="J2601">
        <v>41.23</v>
      </c>
      <c r="K2601">
        <v>26</v>
      </c>
      <c r="L2601">
        <v>72.113110000000006</v>
      </c>
      <c r="M2601">
        <v>45.7</v>
      </c>
      <c r="N2601">
        <v>35.526463</v>
      </c>
      <c r="O2601">
        <v>190000</v>
      </c>
      <c r="P2601">
        <v>0.61789232599999999</v>
      </c>
      <c r="Q2601">
        <v>1941.475342</v>
      </c>
      <c r="R2601">
        <v>3.19</v>
      </c>
      <c r="S2601">
        <v>1285216</v>
      </c>
      <c r="T2601">
        <v>-9.1899669999999993</v>
      </c>
      <c r="U2601">
        <v>-75.015152</v>
      </c>
    </row>
    <row r="2602" spans="1:21">
      <c r="A2602" t="s">
        <v>146</v>
      </c>
      <c r="B2602">
        <v>2002</v>
      </c>
      <c r="C2602">
        <v>5472.09</v>
      </c>
      <c r="D2602">
        <v>27729.999540000001</v>
      </c>
      <c r="E2602">
        <v>3.66</v>
      </c>
      <c r="F2602">
        <v>0</v>
      </c>
      <c r="G2602">
        <v>17.93</v>
      </c>
      <c r="H2602">
        <v>83.047709999999995</v>
      </c>
      <c r="I2602">
        <v>112</v>
      </c>
      <c r="J2602">
        <v>40.21</v>
      </c>
      <c r="K2602">
        <v>26</v>
      </c>
      <c r="L2602">
        <v>74.382689999999997</v>
      </c>
      <c r="M2602">
        <v>48.7</v>
      </c>
      <c r="N2602">
        <v>35.351954999999997</v>
      </c>
      <c r="O2602">
        <v>88200000</v>
      </c>
      <c r="P2602">
        <v>5.4535289379999998</v>
      </c>
      <c r="Q2602">
        <v>2021.2400379999999</v>
      </c>
      <c r="R2602">
        <v>3.03</v>
      </c>
      <c r="S2602">
        <v>1285216</v>
      </c>
      <c r="T2602">
        <v>-9.1899669999999993</v>
      </c>
      <c r="U2602">
        <v>-75.015152</v>
      </c>
    </row>
    <row r="2603" spans="1:21">
      <c r="A2603" t="s">
        <v>146</v>
      </c>
      <c r="B2603">
        <v>2003</v>
      </c>
      <c r="C2603">
        <v>5345.9004000000004</v>
      </c>
      <c r="D2603">
        <v>27159.99985</v>
      </c>
      <c r="E2603">
        <v>4.05</v>
      </c>
      <c r="F2603">
        <v>0</v>
      </c>
      <c r="G2603">
        <v>18.440000000000001</v>
      </c>
      <c r="H2603">
        <v>81.992000000000004</v>
      </c>
      <c r="I2603">
        <v>112.52</v>
      </c>
      <c r="J2603">
        <v>40.909999999999997</v>
      </c>
      <c r="K2603">
        <v>26</v>
      </c>
      <c r="L2603">
        <v>74.380970000000005</v>
      </c>
      <c r="M2603">
        <v>51.2</v>
      </c>
      <c r="N2603">
        <v>36.600242999999999</v>
      </c>
      <c r="O2603">
        <v>280000</v>
      </c>
      <c r="P2603">
        <v>4.1650231370000004</v>
      </c>
      <c r="Q2603">
        <v>2145.6438889999999</v>
      </c>
      <c r="R2603">
        <v>2.86</v>
      </c>
      <c r="S2603">
        <v>1285216</v>
      </c>
      <c r="T2603">
        <v>-9.1899669999999993</v>
      </c>
      <c r="U2603">
        <v>-75.015152</v>
      </c>
    </row>
    <row r="2604" spans="1:21">
      <c r="A2604" t="s">
        <v>146</v>
      </c>
      <c r="B2604">
        <v>2004</v>
      </c>
      <c r="C2604">
        <v>5642.6665000000003</v>
      </c>
      <c r="D2604">
        <v>31239.999769999999</v>
      </c>
      <c r="E2604">
        <v>6.36</v>
      </c>
      <c r="F2604">
        <v>0</v>
      </c>
      <c r="G2604">
        <v>17.489999999999998</v>
      </c>
      <c r="H2604">
        <v>73.333336000000003</v>
      </c>
      <c r="I2604">
        <v>112.37</v>
      </c>
      <c r="J2604">
        <v>37.83</v>
      </c>
      <c r="K2604">
        <v>26</v>
      </c>
      <c r="L2604">
        <v>75.692359999999994</v>
      </c>
      <c r="M2604">
        <v>53.8</v>
      </c>
      <c r="N2604">
        <v>32.297504000000004</v>
      </c>
      <c r="O2604">
        <v>110000</v>
      </c>
      <c r="P2604">
        <v>4.9582032060000003</v>
      </c>
      <c r="Q2604">
        <v>2417.0343630000002</v>
      </c>
      <c r="R2604">
        <v>2.96</v>
      </c>
      <c r="S2604">
        <v>1285216</v>
      </c>
      <c r="T2604">
        <v>-9.1899669999999993</v>
      </c>
      <c r="U2604">
        <v>-75.015152</v>
      </c>
    </row>
    <row r="2605" spans="1:21">
      <c r="A2605" t="s">
        <v>146</v>
      </c>
      <c r="B2605">
        <v>2005</v>
      </c>
      <c r="C2605">
        <v>5816.902</v>
      </c>
      <c r="D2605">
        <v>31290.000919999999</v>
      </c>
      <c r="E2605">
        <v>7.29</v>
      </c>
      <c r="F2605">
        <v>0</v>
      </c>
      <c r="G2605">
        <v>18.05</v>
      </c>
      <c r="H2605">
        <v>71.231250000000003</v>
      </c>
      <c r="I2605">
        <v>116.85</v>
      </c>
      <c r="J2605">
        <v>38.35</v>
      </c>
      <c r="K2605">
        <v>26</v>
      </c>
      <c r="L2605">
        <v>77.173644999999993</v>
      </c>
      <c r="M2605">
        <v>56.2</v>
      </c>
      <c r="N2605">
        <v>31.846309999999999</v>
      </c>
      <c r="O2605">
        <v>290000</v>
      </c>
      <c r="P2605">
        <v>6.2850603249999999</v>
      </c>
      <c r="Q2605">
        <v>2729.4991719999998</v>
      </c>
      <c r="R2605">
        <v>2.95</v>
      </c>
      <c r="S2605">
        <v>1285216</v>
      </c>
      <c r="T2605">
        <v>-9.1899669999999993</v>
      </c>
      <c r="U2605">
        <v>-75.015152</v>
      </c>
    </row>
    <row r="2606" spans="1:21">
      <c r="A2606" t="s">
        <v>146</v>
      </c>
      <c r="B2606">
        <v>2006</v>
      </c>
      <c r="C2606">
        <v>5834.625</v>
      </c>
      <c r="D2606">
        <v>30840.00015</v>
      </c>
      <c r="E2606">
        <v>7.1</v>
      </c>
      <c r="F2606">
        <v>0</v>
      </c>
      <c r="G2606">
        <v>19.63</v>
      </c>
      <c r="H2606">
        <v>73.438079999999999</v>
      </c>
      <c r="I2606">
        <v>116.22</v>
      </c>
      <c r="J2606">
        <v>38.700000000000003</v>
      </c>
      <c r="K2606">
        <v>26</v>
      </c>
      <c r="L2606">
        <v>80.157269999999997</v>
      </c>
      <c r="M2606">
        <v>58.3</v>
      </c>
      <c r="N2606">
        <v>34.128056000000001</v>
      </c>
      <c r="O2606">
        <v>7550000</v>
      </c>
      <c r="P2606">
        <v>7.5288990440000001</v>
      </c>
      <c r="Q2606">
        <v>3154.331349</v>
      </c>
      <c r="R2606">
        <v>2.65</v>
      </c>
      <c r="S2606">
        <v>1285216</v>
      </c>
      <c r="T2606">
        <v>-9.1899669999999993</v>
      </c>
      <c r="U2606">
        <v>-75.015152</v>
      </c>
    </row>
    <row r="2607" spans="1:21">
      <c r="A2607" t="s">
        <v>146</v>
      </c>
      <c r="B2607">
        <v>2007</v>
      </c>
      <c r="C2607">
        <v>6303.5712999999996</v>
      </c>
      <c r="D2607">
        <v>33810.001369999998</v>
      </c>
      <c r="E2607">
        <v>9.68</v>
      </c>
      <c r="F2607">
        <v>0</v>
      </c>
      <c r="G2607">
        <v>19.46</v>
      </c>
      <c r="H2607">
        <v>66.781049999999993</v>
      </c>
      <c r="I2607">
        <v>115.47</v>
      </c>
      <c r="J2607">
        <v>36.049999999999997</v>
      </c>
      <c r="K2607">
        <v>26</v>
      </c>
      <c r="L2607">
        <v>81.988129999999998</v>
      </c>
      <c r="M2607">
        <v>60.3</v>
      </c>
      <c r="N2607">
        <v>31.039615999999999</v>
      </c>
      <c r="O2607">
        <v>730000</v>
      </c>
      <c r="P2607">
        <v>8.5183877690000003</v>
      </c>
      <c r="Q2607">
        <v>3606.0706890000001</v>
      </c>
      <c r="R2607">
        <v>2.6</v>
      </c>
      <c r="S2607">
        <v>1285216</v>
      </c>
      <c r="T2607">
        <v>-9.1899669999999993</v>
      </c>
      <c r="U2607">
        <v>-75.015152</v>
      </c>
    </row>
    <row r="2608" spans="1:21">
      <c r="A2608" t="s">
        <v>146</v>
      </c>
      <c r="B2608">
        <v>2008</v>
      </c>
      <c r="C2608">
        <v>6757.0254000000004</v>
      </c>
      <c r="D2608">
        <v>38290.000919999999</v>
      </c>
      <c r="E2608">
        <v>12.88</v>
      </c>
      <c r="F2608">
        <v>0</v>
      </c>
      <c r="G2608">
        <v>19.14</v>
      </c>
      <c r="H2608">
        <v>59.77514</v>
      </c>
      <c r="I2608">
        <v>115.22</v>
      </c>
      <c r="J2608">
        <v>33.71</v>
      </c>
      <c r="K2608">
        <v>26</v>
      </c>
      <c r="L2608">
        <v>84.678344999999993</v>
      </c>
      <c r="M2608">
        <v>62.3</v>
      </c>
      <c r="N2608">
        <v>28.021553000000001</v>
      </c>
      <c r="O2608">
        <v>970000</v>
      </c>
      <c r="P2608">
        <v>9.1265683010000007</v>
      </c>
      <c r="Q2608">
        <v>4220.6163779999997</v>
      </c>
      <c r="R2608">
        <v>2.62</v>
      </c>
      <c r="S2608">
        <v>1285216</v>
      </c>
      <c r="T2608">
        <v>-9.1899669999999993</v>
      </c>
      <c r="U2608">
        <v>-75.015152</v>
      </c>
    </row>
    <row r="2609" spans="1:21">
      <c r="A2609" t="s">
        <v>146</v>
      </c>
      <c r="B2609">
        <v>2009</v>
      </c>
      <c r="C2609">
        <v>6840.5609999999997</v>
      </c>
      <c r="D2609">
        <v>41169.998169999999</v>
      </c>
      <c r="E2609">
        <v>11.97</v>
      </c>
      <c r="F2609">
        <v>0</v>
      </c>
      <c r="G2609">
        <v>19.7</v>
      </c>
      <c r="H2609">
        <v>62.203983000000001</v>
      </c>
      <c r="I2609">
        <v>116.8</v>
      </c>
      <c r="J2609">
        <v>32.92</v>
      </c>
      <c r="K2609">
        <v>26</v>
      </c>
      <c r="L2609">
        <v>86.424319999999994</v>
      </c>
      <c r="M2609">
        <v>63.8</v>
      </c>
      <c r="N2609">
        <v>28.333690000000001</v>
      </c>
      <c r="O2609">
        <v>1520000</v>
      </c>
      <c r="P2609">
        <v>1.0958236589999999</v>
      </c>
      <c r="Q2609">
        <v>4196.311627</v>
      </c>
      <c r="R2609">
        <v>2.62</v>
      </c>
      <c r="S2609">
        <v>1285216</v>
      </c>
      <c r="T2609">
        <v>-9.1899669999999993</v>
      </c>
      <c r="U2609">
        <v>-75.015152</v>
      </c>
    </row>
    <row r="2610" spans="1:21">
      <c r="A2610" t="s">
        <v>146</v>
      </c>
      <c r="B2610">
        <v>2010</v>
      </c>
      <c r="C2610">
        <v>7707.48</v>
      </c>
      <c r="D2610">
        <v>45000</v>
      </c>
      <c r="E2610">
        <v>14.15</v>
      </c>
      <c r="F2610">
        <v>0</v>
      </c>
      <c r="G2610">
        <v>20.13</v>
      </c>
      <c r="H2610">
        <v>58.722285999999997</v>
      </c>
      <c r="I2610">
        <v>121.13</v>
      </c>
      <c r="J2610">
        <v>32.17</v>
      </c>
      <c r="K2610">
        <v>26</v>
      </c>
      <c r="L2610">
        <v>88.123059999999995</v>
      </c>
      <c r="M2610">
        <v>65.900000000000006</v>
      </c>
      <c r="N2610">
        <v>25.213640000000002</v>
      </c>
      <c r="O2610">
        <v>91150000</v>
      </c>
      <c r="P2610">
        <v>8.332459107</v>
      </c>
      <c r="Q2610">
        <v>5082.3537059999999</v>
      </c>
      <c r="R2610">
        <v>2.5099999999999998</v>
      </c>
      <c r="S2610">
        <v>1285216</v>
      </c>
      <c r="T2610">
        <v>-9.1899669999999993</v>
      </c>
      <c r="U2610">
        <v>-75.015152</v>
      </c>
    </row>
    <row r="2611" spans="1:21">
      <c r="A2611" t="s">
        <v>146</v>
      </c>
      <c r="B2611">
        <v>2011</v>
      </c>
      <c r="C2611">
        <v>8431.9969999999994</v>
      </c>
      <c r="D2611">
        <v>48430.000310000003</v>
      </c>
      <c r="E2611">
        <v>15.65</v>
      </c>
      <c r="F2611">
        <v>0</v>
      </c>
      <c r="G2611">
        <v>21.85</v>
      </c>
      <c r="H2611">
        <v>58.266666000000001</v>
      </c>
      <c r="I2611">
        <v>120.94</v>
      </c>
      <c r="J2611">
        <v>30.63</v>
      </c>
      <c r="K2611">
        <v>26</v>
      </c>
      <c r="L2611">
        <v>89.707490000000007</v>
      </c>
      <c r="M2611">
        <v>67.5</v>
      </c>
      <c r="N2611">
        <v>24.354306999999999</v>
      </c>
      <c r="O2611">
        <v>223960000</v>
      </c>
      <c r="P2611">
        <v>6.3271924019999997</v>
      </c>
      <c r="Q2611">
        <v>5869.3238819999997</v>
      </c>
      <c r="R2611">
        <v>2.72</v>
      </c>
      <c r="S2611">
        <v>1285216</v>
      </c>
      <c r="T2611">
        <v>-9.1899669999999993</v>
      </c>
      <c r="U2611">
        <v>-75.015152</v>
      </c>
    </row>
    <row r="2612" spans="1:21">
      <c r="A2612" t="s">
        <v>146</v>
      </c>
      <c r="B2612">
        <v>2012</v>
      </c>
      <c r="C2612">
        <v>8629.5429999999997</v>
      </c>
      <c r="D2612">
        <v>48119.998930000002</v>
      </c>
      <c r="E2612">
        <v>16.72</v>
      </c>
      <c r="F2612">
        <v>0</v>
      </c>
      <c r="G2612">
        <v>21.69</v>
      </c>
      <c r="H2612">
        <v>56.469670000000001</v>
      </c>
      <c r="I2612">
        <v>125.33</v>
      </c>
      <c r="J2612">
        <v>30.8</v>
      </c>
      <c r="K2612">
        <v>26</v>
      </c>
      <c r="L2612">
        <v>91.099509999999995</v>
      </c>
      <c r="M2612">
        <v>69.7</v>
      </c>
      <c r="N2612">
        <v>24.011053</v>
      </c>
      <c r="O2612">
        <v>238880000</v>
      </c>
      <c r="P2612">
        <v>6.139724706</v>
      </c>
      <c r="Q2612">
        <v>6528.971775</v>
      </c>
      <c r="R2612">
        <v>2.75</v>
      </c>
      <c r="S2612">
        <v>1285216</v>
      </c>
      <c r="T2612">
        <v>-9.1899669999999993</v>
      </c>
      <c r="U2612">
        <v>-75.015152</v>
      </c>
    </row>
    <row r="2613" spans="1:21">
      <c r="A2613" t="s">
        <v>146</v>
      </c>
      <c r="B2613">
        <v>2013</v>
      </c>
      <c r="C2613">
        <v>8741.4069999999992</v>
      </c>
      <c r="D2613">
        <v>49750</v>
      </c>
      <c r="E2613">
        <v>18.8</v>
      </c>
      <c r="F2613">
        <v>0</v>
      </c>
      <c r="G2613">
        <v>22.85</v>
      </c>
      <c r="H2613">
        <v>54.861941999999999</v>
      </c>
      <c r="I2613">
        <v>128.99</v>
      </c>
      <c r="J2613">
        <v>28.35</v>
      </c>
      <c r="K2613">
        <v>26</v>
      </c>
      <c r="L2613">
        <v>92.135369999999995</v>
      </c>
      <c r="M2613">
        <v>71.7</v>
      </c>
      <c r="N2613">
        <v>24.136717000000001</v>
      </c>
      <c r="O2613">
        <v>292670000</v>
      </c>
      <c r="P2613">
        <v>5.8525182109999996</v>
      </c>
      <c r="Q2613">
        <v>6756.7529960000002</v>
      </c>
      <c r="R2613">
        <v>2.5</v>
      </c>
      <c r="S2613">
        <v>1285216</v>
      </c>
      <c r="T2613">
        <v>-9.1899669999999993</v>
      </c>
      <c r="U2613">
        <v>-75.015152</v>
      </c>
    </row>
    <row r="2614" spans="1:21">
      <c r="A2614" t="s">
        <v>146</v>
      </c>
      <c r="B2614">
        <v>2014</v>
      </c>
      <c r="C2614">
        <v>8856.4750000000004</v>
      </c>
      <c r="D2614">
        <v>53169.998169999999</v>
      </c>
      <c r="E2614">
        <v>20.41</v>
      </c>
      <c r="F2614">
        <v>0</v>
      </c>
      <c r="G2614">
        <v>23.06</v>
      </c>
      <c r="H2614">
        <v>53.048076999999999</v>
      </c>
      <c r="I2614">
        <v>136.19999999999999</v>
      </c>
      <c r="J2614">
        <v>28.56</v>
      </c>
      <c r="K2614">
        <v>26</v>
      </c>
      <c r="L2614">
        <v>92.919989999999999</v>
      </c>
      <c r="M2614">
        <v>73.7</v>
      </c>
      <c r="N2614">
        <v>23.940709999999999</v>
      </c>
      <c r="O2614">
        <v>279440000</v>
      </c>
      <c r="P2614">
        <v>2.382157372</v>
      </c>
      <c r="Q2614">
        <v>6672.8773730000003</v>
      </c>
      <c r="R2614">
        <v>2.57</v>
      </c>
      <c r="S2614">
        <v>1285216</v>
      </c>
      <c r="T2614">
        <v>-9.1899669999999993</v>
      </c>
      <c r="U2614">
        <v>-75.015152</v>
      </c>
    </row>
    <row r="2615" spans="1:21">
      <c r="A2615" t="s">
        <v>146</v>
      </c>
      <c r="B2615">
        <v>2015</v>
      </c>
      <c r="C2615">
        <v>9171.3559999999998</v>
      </c>
      <c r="D2615">
        <v>54549.999239999997</v>
      </c>
      <c r="E2615">
        <v>21.39</v>
      </c>
      <c r="F2615">
        <v>0</v>
      </c>
      <c r="G2615">
        <v>24.86</v>
      </c>
      <c r="H2615">
        <v>53.751350000000002</v>
      </c>
      <c r="I2615">
        <v>154.29</v>
      </c>
      <c r="J2615">
        <v>27.43</v>
      </c>
      <c r="K2615">
        <v>26</v>
      </c>
      <c r="L2615">
        <v>93.852180000000004</v>
      </c>
      <c r="M2615">
        <v>75.8</v>
      </c>
      <c r="N2615">
        <v>24.024495999999999</v>
      </c>
      <c r="O2615">
        <v>84640000</v>
      </c>
      <c r="P2615">
        <v>3.2522447720000001</v>
      </c>
      <c r="Q2615">
        <v>6229.1006740000003</v>
      </c>
      <c r="R2615">
        <v>2.57</v>
      </c>
      <c r="S2615">
        <v>1285216</v>
      </c>
      <c r="T2615">
        <v>-9.1899669999999993</v>
      </c>
      <c r="U2615">
        <v>-75.015152</v>
      </c>
    </row>
    <row r="2616" spans="1:21">
      <c r="A2616" t="s">
        <v>146</v>
      </c>
      <c r="B2616">
        <v>2016</v>
      </c>
      <c r="C2616">
        <v>9602.0290000000005</v>
      </c>
      <c r="D2616">
        <v>56860.000610000003</v>
      </c>
      <c r="E2616">
        <v>23.9</v>
      </c>
      <c r="F2616">
        <v>0</v>
      </c>
      <c r="G2616">
        <v>25.95</v>
      </c>
      <c r="H2616">
        <v>52.056170000000002</v>
      </c>
      <c r="I2616">
        <v>185.3</v>
      </c>
      <c r="J2616">
        <v>27.2</v>
      </c>
      <c r="K2616">
        <v>26</v>
      </c>
      <c r="L2616">
        <v>94.2</v>
      </c>
      <c r="M2616">
        <v>77.7</v>
      </c>
      <c r="N2616">
        <v>22.57668</v>
      </c>
      <c r="O2616">
        <v>102310000</v>
      </c>
      <c r="P2616">
        <v>3.953318715</v>
      </c>
      <c r="Q2616">
        <v>6204.9964570000002</v>
      </c>
      <c r="R2616">
        <v>2.57</v>
      </c>
      <c r="S2616">
        <v>1285216</v>
      </c>
      <c r="T2616">
        <v>-9.1899669999999993</v>
      </c>
      <c r="U2616">
        <v>-75.015152</v>
      </c>
    </row>
    <row r="2617" spans="1:21">
      <c r="A2617" t="s">
        <v>146</v>
      </c>
      <c r="B2617">
        <v>2017</v>
      </c>
      <c r="C2617">
        <v>9605.6200000000008</v>
      </c>
      <c r="D2617">
        <v>54270.000460000003</v>
      </c>
      <c r="E2617">
        <v>21.62</v>
      </c>
      <c r="F2617">
        <v>0</v>
      </c>
      <c r="G2617">
        <v>30.84</v>
      </c>
      <c r="H2617">
        <v>58.787647</v>
      </c>
      <c r="I2617">
        <v>189.85</v>
      </c>
      <c r="J2617">
        <v>27.59</v>
      </c>
      <c r="K2617">
        <v>26</v>
      </c>
      <c r="L2617">
        <v>94.8</v>
      </c>
      <c r="M2617">
        <v>79.599999999999994</v>
      </c>
      <c r="N2617">
        <v>26.171817999999998</v>
      </c>
      <c r="O2617">
        <v>548830000</v>
      </c>
      <c r="P2617">
        <v>2.5188354419999999</v>
      </c>
      <c r="Q2617">
        <v>6710.5076019999997</v>
      </c>
      <c r="R2617">
        <v>2.54</v>
      </c>
      <c r="S2617">
        <v>1285216</v>
      </c>
      <c r="T2617">
        <v>-9.1899669999999993</v>
      </c>
      <c r="U2617">
        <v>-75.015152</v>
      </c>
    </row>
    <row r="2618" spans="1:21">
      <c r="A2618" t="s">
        <v>146</v>
      </c>
      <c r="B2618">
        <v>2018</v>
      </c>
      <c r="C2618">
        <v>9887.7489999999998</v>
      </c>
      <c r="D2618">
        <v>54590.00015</v>
      </c>
      <c r="E2618">
        <v>21.4</v>
      </c>
      <c r="F2618">
        <v>0</v>
      </c>
      <c r="G2618">
        <v>33.28</v>
      </c>
      <c r="H2618">
        <v>60.863205000000001</v>
      </c>
      <c r="I2618">
        <v>194.51</v>
      </c>
      <c r="J2618">
        <v>27.89</v>
      </c>
      <c r="K2618">
        <v>26</v>
      </c>
      <c r="L2618">
        <v>95.2</v>
      </c>
      <c r="M2618">
        <v>81.5</v>
      </c>
      <c r="N2618">
        <v>26.795403</v>
      </c>
      <c r="O2618">
        <v>68750000</v>
      </c>
      <c r="P2618">
        <v>3.9691568699999999</v>
      </c>
      <c r="Q2618">
        <v>6957.7934109999997</v>
      </c>
      <c r="R2618">
        <v>2.56</v>
      </c>
      <c r="S2618">
        <v>1285216</v>
      </c>
      <c r="T2618">
        <v>-9.1899669999999993</v>
      </c>
      <c r="U2618">
        <v>-75.015152</v>
      </c>
    </row>
    <row r="2619" spans="1:21">
      <c r="A2619" t="s">
        <v>146</v>
      </c>
      <c r="B2619">
        <v>2019</v>
      </c>
      <c r="C2619">
        <v>9949.6319999999996</v>
      </c>
      <c r="D2619">
        <v>56750</v>
      </c>
      <c r="E2619">
        <v>22.16</v>
      </c>
      <c r="F2619">
        <v>0</v>
      </c>
      <c r="G2619">
        <v>34.409999999999997</v>
      </c>
      <c r="H2619">
        <v>60.827292999999997</v>
      </c>
      <c r="I2619">
        <v>203.26</v>
      </c>
      <c r="J2619">
        <v>27.12</v>
      </c>
      <c r="K2619">
        <v>26</v>
      </c>
      <c r="L2619">
        <v>95.551360000000003</v>
      </c>
      <c r="M2619">
        <v>83.25</v>
      </c>
      <c r="N2619">
        <v>26.621335999999999</v>
      </c>
      <c r="O2619">
        <v>1090000</v>
      </c>
      <c r="P2619">
        <v>2.2039747489999999</v>
      </c>
      <c r="Q2619">
        <v>7027.6122070000001</v>
      </c>
      <c r="R2619">
        <v>2.6</v>
      </c>
      <c r="S2619">
        <v>1285216</v>
      </c>
      <c r="T2619">
        <v>-9.1899669999999993</v>
      </c>
      <c r="U2619">
        <v>-75.015152</v>
      </c>
    </row>
    <row r="2620" spans="1:21">
      <c r="A2620" t="s">
        <v>146</v>
      </c>
      <c r="B2620">
        <v>2020</v>
      </c>
      <c r="C2620">
        <v>8365.4320000000007</v>
      </c>
      <c r="E2620">
        <v>19.100000000000001</v>
      </c>
      <c r="F2620">
        <v>0</v>
      </c>
      <c r="G2620">
        <v>33.72</v>
      </c>
      <c r="H2620">
        <v>63.839455000000001</v>
      </c>
      <c r="I2620">
        <v>201.09</v>
      </c>
      <c r="K2620">
        <v>26</v>
      </c>
      <c r="L2620">
        <v>99.311809999999994</v>
      </c>
      <c r="M2620">
        <v>85.1</v>
      </c>
      <c r="N2620">
        <v>30.744228</v>
      </c>
      <c r="P2620">
        <v>-11.14881188</v>
      </c>
      <c r="Q2620">
        <v>6126.8745399999998</v>
      </c>
      <c r="S2620">
        <v>1285216</v>
      </c>
      <c r="T2620">
        <v>-9.1899669999999993</v>
      </c>
      <c r="U2620">
        <v>-75.015152</v>
      </c>
    </row>
    <row r="2621" spans="1:21">
      <c r="A2621" t="s">
        <v>147</v>
      </c>
      <c r="B2621">
        <v>2000</v>
      </c>
      <c r="C2621">
        <v>3945.0947000000001</v>
      </c>
      <c r="D2621">
        <v>72100</v>
      </c>
      <c r="E2621">
        <v>24.29</v>
      </c>
      <c r="F2621">
        <v>0</v>
      </c>
      <c r="G2621">
        <v>19.37</v>
      </c>
      <c r="H2621">
        <v>44.365555000000001</v>
      </c>
      <c r="I2621">
        <v>48.53</v>
      </c>
      <c r="J2621">
        <v>33.42</v>
      </c>
      <c r="K2621">
        <v>368</v>
      </c>
      <c r="L2621">
        <v>74.661689999999993</v>
      </c>
      <c r="M2621">
        <v>37.9</v>
      </c>
      <c r="N2621">
        <v>18.595215</v>
      </c>
      <c r="O2621">
        <v>12130000</v>
      </c>
      <c r="P2621">
        <v>4.3825048339999997</v>
      </c>
      <c r="Q2621">
        <v>1072.8017520000001</v>
      </c>
      <c r="R2621">
        <v>4.72</v>
      </c>
      <c r="S2621">
        <v>300000</v>
      </c>
      <c r="T2621">
        <v>12.879721</v>
      </c>
      <c r="U2621">
        <v>121.774017</v>
      </c>
    </row>
    <row r="2622" spans="1:21">
      <c r="A2622" t="s">
        <v>147</v>
      </c>
      <c r="B2622">
        <v>2001</v>
      </c>
      <c r="C2622">
        <v>3776.7449000000001</v>
      </c>
      <c r="D2622">
        <v>70480</v>
      </c>
      <c r="E2622">
        <v>27.72</v>
      </c>
      <c r="F2622">
        <v>0</v>
      </c>
      <c r="G2622">
        <v>17.5</v>
      </c>
      <c r="H2622">
        <v>38.699688000000002</v>
      </c>
      <c r="I2622">
        <v>48.53</v>
      </c>
      <c r="J2622">
        <v>32.119999999999997</v>
      </c>
      <c r="K2622">
        <v>368</v>
      </c>
      <c r="L2622">
        <v>75.722945999999993</v>
      </c>
      <c r="M2622">
        <v>39.15</v>
      </c>
      <c r="N2622">
        <v>16.949202</v>
      </c>
      <c r="O2622">
        <v>30000</v>
      </c>
      <c r="P2622">
        <v>3.0492315090000002</v>
      </c>
      <c r="Q2622">
        <v>990.56599129999995</v>
      </c>
      <c r="R2622">
        <v>4.3600000000000003</v>
      </c>
      <c r="S2622">
        <v>300000</v>
      </c>
      <c r="T2622">
        <v>12.879721</v>
      </c>
      <c r="U2622">
        <v>121.774017</v>
      </c>
    </row>
    <row r="2623" spans="1:21">
      <c r="A2623" t="s">
        <v>147</v>
      </c>
      <c r="B2623">
        <v>2002</v>
      </c>
      <c r="C2623">
        <v>3717.366</v>
      </c>
      <c r="D2623">
        <v>71569.999689999997</v>
      </c>
      <c r="E2623">
        <v>29.29</v>
      </c>
      <c r="F2623">
        <v>0</v>
      </c>
      <c r="G2623">
        <v>17.22</v>
      </c>
      <c r="H2623">
        <v>37.024296</v>
      </c>
      <c r="I2623">
        <v>50.08</v>
      </c>
      <c r="J2623">
        <v>31.42</v>
      </c>
      <c r="K2623">
        <v>368</v>
      </c>
      <c r="L2623">
        <v>76.776619999999994</v>
      </c>
      <c r="M2623">
        <v>39.6</v>
      </c>
      <c r="N2623">
        <v>16.691974999999999</v>
      </c>
      <c r="O2623">
        <v>50390000</v>
      </c>
      <c r="P2623">
        <v>3.716255002</v>
      </c>
      <c r="Q2623">
        <v>1036.1583310000001</v>
      </c>
      <c r="R2623">
        <v>4.26</v>
      </c>
      <c r="S2623">
        <v>300000</v>
      </c>
      <c r="T2623">
        <v>12.879721</v>
      </c>
      <c r="U2623">
        <v>121.774017</v>
      </c>
    </row>
    <row r="2624" spans="1:21">
      <c r="A2624" t="s">
        <v>147</v>
      </c>
      <c r="B2624">
        <v>2003</v>
      </c>
      <c r="C2624">
        <v>3758.5122000000001</v>
      </c>
      <c r="D2624">
        <v>73629.99725</v>
      </c>
      <c r="E2624">
        <v>33.03</v>
      </c>
      <c r="F2624">
        <v>0</v>
      </c>
      <c r="G2624">
        <v>17.64</v>
      </c>
      <c r="H2624">
        <v>34.813499999999998</v>
      </c>
      <c r="I2624">
        <v>54.3</v>
      </c>
      <c r="J2624">
        <v>30.67</v>
      </c>
      <c r="K2624">
        <v>368</v>
      </c>
      <c r="L2624">
        <v>76.599999999999994</v>
      </c>
      <c r="M2624">
        <v>40.1</v>
      </c>
      <c r="N2624">
        <v>16.424408</v>
      </c>
      <c r="O2624">
        <v>29150000</v>
      </c>
      <c r="P2624">
        <v>5.0869111340000002</v>
      </c>
      <c r="Q2624">
        <v>1048.0082050000001</v>
      </c>
      <c r="R2624">
        <v>4.0599999999999996</v>
      </c>
      <c r="S2624">
        <v>300000</v>
      </c>
      <c r="T2624">
        <v>12.879721</v>
      </c>
      <c r="U2624">
        <v>121.774017</v>
      </c>
    </row>
    <row r="2625" spans="1:21">
      <c r="A2625" t="s">
        <v>147</v>
      </c>
      <c r="B2625">
        <v>2004</v>
      </c>
      <c r="C2625">
        <v>3771.797</v>
      </c>
      <c r="D2625">
        <v>75139.999389999997</v>
      </c>
      <c r="E2625">
        <v>34.83</v>
      </c>
      <c r="F2625">
        <v>0</v>
      </c>
      <c r="G2625">
        <v>18.82</v>
      </c>
      <c r="H2625">
        <v>35.079216000000002</v>
      </c>
      <c r="I2625">
        <v>53.26</v>
      </c>
      <c r="J2625">
        <v>29.96</v>
      </c>
      <c r="K2625">
        <v>368</v>
      </c>
      <c r="L2625">
        <v>87.6</v>
      </c>
      <c r="M2625">
        <v>40.9</v>
      </c>
      <c r="N2625">
        <v>16.852709000000001</v>
      </c>
      <c r="O2625">
        <v>5840000</v>
      </c>
      <c r="P2625">
        <v>6.5692285129999997</v>
      </c>
      <c r="Q2625">
        <v>1121.490006</v>
      </c>
      <c r="R2625">
        <v>3.78</v>
      </c>
      <c r="S2625">
        <v>300000</v>
      </c>
      <c r="T2625">
        <v>12.879721</v>
      </c>
      <c r="U2625">
        <v>121.774017</v>
      </c>
    </row>
    <row r="2626" spans="1:21">
      <c r="A2626" t="s">
        <v>147</v>
      </c>
      <c r="B2626">
        <v>2005</v>
      </c>
      <c r="C2626">
        <v>3713.3245000000002</v>
      </c>
      <c r="D2626">
        <v>76669.998170000006</v>
      </c>
      <c r="E2626">
        <v>35.94</v>
      </c>
      <c r="F2626">
        <v>0</v>
      </c>
      <c r="G2626">
        <v>18.25</v>
      </c>
      <c r="H2626">
        <v>33.677802999999997</v>
      </c>
      <c r="I2626">
        <v>52.65</v>
      </c>
      <c r="J2626">
        <v>31.17</v>
      </c>
      <c r="K2626">
        <v>368</v>
      </c>
      <c r="L2626">
        <v>79.915620000000004</v>
      </c>
      <c r="M2626">
        <v>40.9</v>
      </c>
      <c r="N2626">
        <v>16.317411</v>
      </c>
      <c r="O2626">
        <v>11820000</v>
      </c>
      <c r="P2626">
        <v>4.9425051179999997</v>
      </c>
      <c r="Q2626">
        <v>1244.348741</v>
      </c>
      <c r="R2626">
        <v>3.7</v>
      </c>
      <c r="S2626">
        <v>300000</v>
      </c>
      <c r="T2626">
        <v>12.879721</v>
      </c>
      <c r="U2626">
        <v>121.774017</v>
      </c>
    </row>
    <row r="2627" spans="1:21">
      <c r="A2627" t="s">
        <v>147</v>
      </c>
      <c r="B2627">
        <v>2006</v>
      </c>
      <c r="C2627">
        <v>3471.6637999999998</v>
      </c>
      <c r="D2627">
        <v>69470.001220000006</v>
      </c>
      <c r="E2627">
        <v>34.119999999999997</v>
      </c>
      <c r="F2627">
        <v>0</v>
      </c>
      <c r="G2627">
        <v>20.39</v>
      </c>
      <c r="H2627">
        <v>37.405982999999999</v>
      </c>
      <c r="I2627">
        <v>51.72</v>
      </c>
      <c r="J2627">
        <v>33.24</v>
      </c>
      <c r="K2627">
        <v>368</v>
      </c>
      <c r="L2627">
        <v>80.180000000000007</v>
      </c>
      <c r="M2627">
        <v>41.4</v>
      </c>
      <c r="N2627">
        <v>18.684961000000001</v>
      </c>
      <c r="O2627">
        <v>27510000</v>
      </c>
      <c r="P2627">
        <v>5.3164168219999999</v>
      </c>
      <c r="Q2627">
        <v>1452.438089</v>
      </c>
      <c r="R2627">
        <v>3.49</v>
      </c>
      <c r="S2627">
        <v>300000</v>
      </c>
      <c r="T2627">
        <v>12.879721</v>
      </c>
      <c r="U2627">
        <v>121.774017</v>
      </c>
    </row>
    <row r="2628" spans="1:21">
      <c r="A2628" t="s">
        <v>147</v>
      </c>
      <c r="B2628">
        <v>2007</v>
      </c>
      <c r="C2628">
        <v>3535.2363</v>
      </c>
      <c r="D2628">
        <v>73220.001220000006</v>
      </c>
      <c r="E2628">
        <v>38.29</v>
      </c>
      <c r="F2628">
        <v>0</v>
      </c>
      <c r="G2628">
        <v>18.8</v>
      </c>
      <c r="H2628">
        <v>32.930458000000002</v>
      </c>
      <c r="I2628">
        <v>50.86</v>
      </c>
      <c r="J2628">
        <v>32.57</v>
      </c>
      <c r="K2628">
        <v>368</v>
      </c>
      <c r="L2628">
        <v>82.013909999999996</v>
      </c>
      <c r="M2628">
        <v>40.9</v>
      </c>
      <c r="N2628">
        <v>16.430105000000001</v>
      </c>
      <c r="O2628">
        <v>167610000</v>
      </c>
      <c r="P2628">
        <v>6.5192915500000002</v>
      </c>
      <c r="Q2628">
        <v>1744.639979</v>
      </c>
      <c r="R2628">
        <v>3.33</v>
      </c>
      <c r="S2628">
        <v>300000</v>
      </c>
      <c r="T2628">
        <v>12.879721</v>
      </c>
      <c r="U2628">
        <v>121.774017</v>
      </c>
    </row>
    <row r="2629" spans="1:21">
      <c r="A2629" t="s">
        <v>147</v>
      </c>
      <c r="B2629">
        <v>2008</v>
      </c>
      <c r="C2629">
        <v>3587.5803000000001</v>
      </c>
      <c r="D2629">
        <v>75150.001529999994</v>
      </c>
      <c r="E2629">
        <v>37.75</v>
      </c>
      <c r="F2629">
        <v>0</v>
      </c>
      <c r="G2629">
        <v>20.56</v>
      </c>
      <c r="H2629">
        <v>35.259819999999998</v>
      </c>
      <c r="I2629">
        <v>50.06</v>
      </c>
      <c r="J2629">
        <v>33.909999999999997</v>
      </c>
      <c r="K2629">
        <v>368</v>
      </c>
      <c r="L2629">
        <v>83.3</v>
      </c>
      <c r="M2629">
        <v>40.799999999999997</v>
      </c>
      <c r="N2629">
        <v>17.313362000000001</v>
      </c>
      <c r="P2629">
        <v>4.3444873050000004</v>
      </c>
      <c r="Q2629">
        <v>1998.02692</v>
      </c>
      <c r="R2629">
        <v>3.35</v>
      </c>
      <c r="S2629">
        <v>300000</v>
      </c>
      <c r="T2629">
        <v>12.879721</v>
      </c>
      <c r="U2629">
        <v>121.774017</v>
      </c>
    </row>
    <row r="2630" spans="1:21">
      <c r="A2630" t="s">
        <v>147</v>
      </c>
      <c r="B2630">
        <v>2009</v>
      </c>
      <c r="C2630">
        <v>3563.5925000000002</v>
      </c>
      <c r="D2630">
        <v>76300.003049999999</v>
      </c>
      <c r="E2630">
        <v>39.1</v>
      </c>
      <c r="F2630">
        <v>0</v>
      </c>
      <c r="G2630">
        <v>20.260000000000002</v>
      </c>
      <c r="H2630">
        <v>34.130726000000003</v>
      </c>
      <c r="I2630">
        <v>49.67</v>
      </c>
      <c r="J2630">
        <v>33.979999999999997</v>
      </c>
      <c r="K2630">
        <v>368</v>
      </c>
      <c r="L2630">
        <v>84.3</v>
      </c>
      <c r="M2630">
        <v>40.9</v>
      </c>
      <c r="N2630">
        <v>16.679698999999999</v>
      </c>
      <c r="O2630">
        <v>3860000</v>
      </c>
      <c r="P2630">
        <v>1.4483230629999999</v>
      </c>
      <c r="Q2630">
        <v>1904.1963880000001</v>
      </c>
      <c r="R2630">
        <v>3.22</v>
      </c>
      <c r="S2630">
        <v>300000</v>
      </c>
      <c r="T2630">
        <v>12.879721</v>
      </c>
      <c r="U2630">
        <v>121.774017</v>
      </c>
    </row>
    <row r="2631" spans="1:21">
      <c r="A2631" t="s">
        <v>147</v>
      </c>
      <c r="B2631">
        <v>2010</v>
      </c>
      <c r="C2631">
        <v>3601.5785999999998</v>
      </c>
      <c r="D2631">
        <v>81930.000310000003</v>
      </c>
      <c r="E2631">
        <v>46.55</v>
      </c>
      <c r="F2631">
        <v>0</v>
      </c>
      <c r="G2631">
        <v>18.149999999999999</v>
      </c>
      <c r="H2631">
        <v>28.052551000000001</v>
      </c>
      <c r="I2631">
        <v>51.19</v>
      </c>
      <c r="J2631">
        <v>32.590000000000003</v>
      </c>
      <c r="K2631">
        <v>368</v>
      </c>
      <c r="L2631">
        <v>85.397644</v>
      </c>
      <c r="M2631">
        <v>40.700000000000003</v>
      </c>
      <c r="N2631">
        <v>14.187132</v>
      </c>
      <c r="O2631">
        <v>80870000</v>
      </c>
      <c r="P2631">
        <v>7.3344999599999996</v>
      </c>
      <c r="Q2631">
        <v>2217.4721530000002</v>
      </c>
      <c r="R2631">
        <v>3.14</v>
      </c>
      <c r="S2631">
        <v>300000</v>
      </c>
      <c r="T2631">
        <v>12.879721</v>
      </c>
      <c r="U2631">
        <v>121.774017</v>
      </c>
    </row>
    <row r="2632" spans="1:21">
      <c r="A2632" t="s">
        <v>147</v>
      </c>
      <c r="B2632">
        <v>2011</v>
      </c>
      <c r="C2632">
        <v>3608.6260000000002</v>
      </c>
      <c r="D2632">
        <v>82629.99725</v>
      </c>
      <c r="E2632">
        <v>49.04</v>
      </c>
      <c r="F2632">
        <v>0</v>
      </c>
      <c r="G2632">
        <v>20.09</v>
      </c>
      <c r="H2632">
        <v>29.06119</v>
      </c>
      <c r="I2632">
        <v>50.41</v>
      </c>
      <c r="J2632">
        <v>33.69</v>
      </c>
      <c r="K2632">
        <v>368</v>
      </c>
      <c r="L2632">
        <v>87.2</v>
      </c>
      <c r="M2632">
        <v>40.6</v>
      </c>
      <c r="N2632">
        <v>15.432299</v>
      </c>
      <c r="O2632">
        <v>810000</v>
      </c>
      <c r="P2632">
        <v>3.8582328270000001</v>
      </c>
      <c r="Q2632">
        <v>2450.735694</v>
      </c>
      <c r="R2632">
        <v>3.06</v>
      </c>
      <c r="S2632">
        <v>300000</v>
      </c>
      <c r="T2632">
        <v>12.879721</v>
      </c>
      <c r="U2632">
        <v>121.774017</v>
      </c>
    </row>
    <row r="2633" spans="1:21">
      <c r="A2633" t="s">
        <v>147</v>
      </c>
      <c r="B2633">
        <v>2012</v>
      </c>
      <c r="C2633">
        <v>3668.3667</v>
      </c>
      <c r="D2633">
        <v>86180.000310000003</v>
      </c>
      <c r="E2633">
        <v>51.82</v>
      </c>
      <c r="F2633">
        <v>0</v>
      </c>
      <c r="G2633">
        <v>21.06</v>
      </c>
      <c r="H2633">
        <v>28.896818</v>
      </c>
      <c r="I2633">
        <v>49.88</v>
      </c>
      <c r="J2633">
        <v>34.06</v>
      </c>
      <c r="K2633">
        <v>368</v>
      </c>
      <c r="L2633">
        <v>87.08</v>
      </c>
      <c r="M2633">
        <v>40.700000000000003</v>
      </c>
      <c r="N2633">
        <v>15.557658999999999</v>
      </c>
      <c r="O2633">
        <v>1300000</v>
      </c>
      <c r="P2633">
        <v>6.8969517109999998</v>
      </c>
      <c r="Q2633">
        <v>2694.3051089999999</v>
      </c>
      <c r="R2633">
        <v>2.99</v>
      </c>
      <c r="S2633">
        <v>300000</v>
      </c>
      <c r="T2633">
        <v>12.879721</v>
      </c>
      <c r="U2633">
        <v>121.774017</v>
      </c>
    </row>
    <row r="2634" spans="1:21">
      <c r="A2634" t="s">
        <v>147</v>
      </c>
      <c r="B2634">
        <v>2013</v>
      </c>
      <c r="C2634">
        <v>3865.761</v>
      </c>
      <c r="D2634">
        <v>95500</v>
      </c>
      <c r="E2634">
        <v>55.06</v>
      </c>
      <c r="F2634">
        <v>0</v>
      </c>
      <c r="G2634">
        <v>20.18</v>
      </c>
      <c r="H2634">
        <v>26.82084</v>
      </c>
      <c r="I2634">
        <v>49.12</v>
      </c>
      <c r="J2634">
        <v>33.049999999999997</v>
      </c>
      <c r="K2634">
        <v>368</v>
      </c>
      <c r="L2634">
        <v>87.5</v>
      </c>
      <c r="M2634">
        <v>40.9</v>
      </c>
      <c r="N2634">
        <v>13.8471365</v>
      </c>
      <c r="O2634">
        <v>53290000</v>
      </c>
      <c r="P2634">
        <v>6.7505313019999997</v>
      </c>
      <c r="Q2634">
        <v>2871.429701</v>
      </c>
      <c r="R2634">
        <v>2.89</v>
      </c>
      <c r="S2634">
        <v>300000</v>
      </c>
      <c r="T2634">
        <v>12.879721</v>
      </c>
      <c r="U2634">
        <v>121.774017</v>
      </c>
    </row>
    <row r="2635" spans="1:21">
      <c r="A2635" t="s">
        <v>147</v>
      </c>
      <c r="B2635">
        <v>2014</v>
      </c>
      <c r="C2635">
        <v>4002.7449000000001</v>
      </c>
      <c r="D2635">
        <v>101819.9997</v>
      </c>
      <c r="E2635">
        <v>57.07</v>
      </c>
      <c r="F2635">
        <v>0</v>
      </c>
      <c r="G2635">
        <v>20.18</v>
      </c>
      <c r="H2635">
        <v>26.122978</v>
      </c>
      <c r="I2635">
        <v>52.54</v>
      </c>
      <c r="J2635">
        <v>32.33</v>
      </c>
      <c r="K2635">
        <v>368</v>
      </c>
      <c r="L2635">
        <v>89.720370000000003</v>
      </c>
      <c r="M2635">
        <v>42</v>
      </c>
      <c r="N2635">
        <v>13.009114</v>
      </c>
      <c r="O2635">
        <v>9290000</v>
      </c>
      <c r="P2635">
        <v>6.3479874829999998</v>
      </c>
      <c r="Q2635">
        <v>2959.6454349999999</v>
      </c>
      <c r="R2635">
        <v>2.9</v>
      </c>
      <c r="S2635">
        <v>300000</v>
      </c>
      <c r="T2635">
        <v>12.879721</v>
      </c>
      <c r="U2635">
        <v>121.774017</v>
      </c>
    </row>
    <row r="2636" spans="1:21">
      <c r="A2636" t="s">
        <v>147</v>
      </c>
      <c r="B2636">
        <v>2015</v>
      </c>
      <c r="C2636">
        <v>4314.0645000000004</v>
      </c>
      <c r="D2636">
        <v>111010.0021</v>
      </c>
      <c r="E2636">
        <v>60.82</v>
      </c>
      <c r="F2636">
        <v>0</v>
      </c>
      <c r="G2636">
        <v>21.59</v>
      </c>
      <c r="H2636">
        <v>26.198277000000001</v>
      </c>
      <c r="I2636">
        <v>55.08</v>
      </c>
      <c r="J2636">
        <v>30.75</v>
      </c>
      <c r="K2636">
        <v>368</v>
      </c>
      <c r="L2636">
        <v>89.08</v>
      </c>
      <c r="M2636">
        <v>42.2</v>
      </c>
      <c r="N2636">
        <v>12.500741</v>
      </c>
      <c r="O2636">
        <v>22760000</v>
      </c>
      <c r="P2636">
        <v>6.3483097170000002</v>
      </c>
      <c r="Q2636">
        <v>3001.0431819999999</v>
      </c>
      <c r="R2636">
        <v>2.96</v>
      </c>
      <c r="S2636">
        <v>300000</v>
      </c>
      <c r="T2636">
        <v>12.879721</v>
      </c>
      <c r="U2636">
        <v>121.774017</v>
      </c>
    </row>
    <row r="2637" spans="1:21">
      <c r="A2637" t="s">
        <v>147</v>
      </c>
      <c r="B2637">
        <v>2016</v>
      </c>
      <c r="C2637">
        <v>4629.1176999999998</v>
      </c>
      <c r="D2637">
        <v>121959.9991</v>
      </c>
      <c r="E2637">
        <v>68.44</v>
      </c>
      <c r="F2637">
        <v>0</v>
      </c>
      <c r="G2637">
        <v>22.38</v>
      </c>
      <c r="H2637">
        <v>24.642149</v>
      </c>
      <c r="I2637">
        <v>60.51</v>
      </c>
      <c r="J2637">
        <v>28.45</v>
      </c>
      <c r="K2637">
        <v>368</v>
      </c>
      <c r="L2637">
        <v>92.066505000000006</v>
      </c>
      <c r="M2637">
        <v>43.3</v>
      </c>
      <c r="N2637">
        <v>11.97579</v>
      </c>
      <c r="O2637">
        <v>98890000</v>
      </c>
      <c r="P2637">
        <v>7.1494567499999997</v>
      </c>
      <c r="Q2637">
        <v>3073.6546859999999</v>
      </c>
      <c r="R2637">
        <v>2.93</v>
      </c>
      <c r="S2637">
        <v>300000</v>
      </c>
      <c r="T2637">
        <v>12.879721</v>
      </c>
      <c r="U2637">
        <v>121.774017</v>
      </c>
    </row>
    <row r="2638" spans="1:21">
      <c r="A2638" t="s">
        <v>147</v>
      </c>
      <c r="B2638">
        <v>2017</v>
      </c>
      <c r="C2638">
        <v>4989.8896000000004</v>
      </c>
      <c r="D2638">
        <v>133500</v>
      </c>
      <c r="E2638">
        <v>71.03</v>
      </c>
      <c r="F2638">
        <v>0</v>
      </c>
      <c r="G2638">
        <v>23.35</v>
      </c>
      <c r="H2638">
        <v>24.740411999999999</v>
      </c>
      <c r="I2638">
        <v>61.08</v>
      </c>
      <c r="J2638">
        <v>27.68</v>
      </c>
      <c r="K2638">
        <v>368</v>
      </c>
      <c r="L2638">
        <v>93</v>
      </c>
      <c r="M2638">
        <v>44.1</v>
      </c>
      <c r="N2638">
        <v>11.504091000000001</v>
      </c>
      <c r="O2638">
        <v>1510000</v>
      </c>
      <c r="P2638">
        <v>6.9309883259999996</v>
      </c>
      <c r="Q2638">
        <v>3123.2456419999999</v>
      </c>
      <c r="R2638">
        <v>2.89</v>
      </c>
      <c r="S2638">
        <v>300000</v>
      </c>
      <c r="T2638">
        <v>12.879721</v>
      </c>
      <c r="U2638">
        <v>121.774017</v>
      </c>
    </row>
    <row r="2639" spans="1:21">
      <c r="A2639" t="s">
        <v>147</v>
      </c>
      <c r="B2639">
        <v>2018</v>
      </c>
      <c r="C2639">
        <v>5040.6440000000002</v>
      </c>
      <c r="D2639">
        <v>138570.0073</v>
      </c>
      <c r="E2639">
        <v>76.05</v>
      </c>
      <c r="F2639">
        <v>0</v>
      </c>
      <c r="G2639">
        <v>23.73</v>
      </c>
      <c r="H2639">
        <v>23.782322000000001</v>
      </c>
      <c r="I2639">
        <v>61.82</v>
      </c>
      <c r="J2639">
        <v>27.51</v>
      </c>
      <c r="K2639">
        <v>368</v>
      </c>
      <c r="L2639">
        <v>94.448265000000006</v>
      </c>
      <c r="M2639">
        <v>45.4</v>
      </c>
      <c r="N2639">
        <v>11.201896</v>
      </c>
      <c r="O2639">
        <v>177920000</v>
      </c>
      <c r="P2639">
        <v>6.3414855709999998</v>
      </c>
      <c r="Q2639">
        <v>3252.1102740000001</v>
      </c>
      <c r="R2639">
        <v>2.81</v>
      </c>
      <c r="S2639">
        <v>300000</v>
      </c>
      <c r="T2639">
        <v>12.879721</v>
      </c>
      <c r="U2639">
        <v>121.774017</v>
      </c>
    </row>
    <row r="2640" spans="1:21">
      <c r="A2640" t="s">
        <v>147</v>
      </c>
      <c r="B2640">
        <v>2019</v>
      </c>
      <c r="C2640">
        <v>5104.3909999999996</v>
      </c>
      <c r="D2640">
        <v>145419.9982</v>
      </c>
      <c r="E2640">
        <v>83.3</v>
      </c>
      <c r="F2640">
        <v>0</v>
      </c>
      <c r="G2640">
        <v>22.78</v>
      </c>
      <c r="H2640">
        <v>21.474360000000001</v>
      </c>
      <c r="I2640">
        <v>62.55</v>
      </c>
      <c r="J2640">
        <v>26.73</v>
      </c>
      <c r="K2640">
        <v>368</v>
      </c>
      <c r="L2640">
        <v>95.645079999999993</v>
      </c>
      <c r="M2640">
        <v>46.5</v>
      </c>
      <c r="N2640">
        <v>10.227247999999999</v>
      </c>
      <c r="O2640">
        <v>2000000</v>
      </c>
      <c r="P2640">
        <v>6.1185256629999998</v>
      </c>
      <c r="Q2640">
        <v>3485.3408439999998</v>
      </c>
      <c r="R2640">
        <v>2.68</v>
      </c>
      <c r="S2640">
        <v>300000</v>
      </c>
      <c r="T2640">
        <v>12.879721</v>
      </c>
      <c r="U2640">
        <v>121.774017</v>
      </c>
    </row>
    <row r="2641" spans="1:21">
      <c r="A2641" t="s">
        <v>147</v>
      </c>
      <c r="B2641">
        <v>2020</v>
      </c>
      <c r="C2641">
        <v>4565.3383999999996</v>
      </c>
      <c r="E2641">
        <v>79.27</v>
      </c>
      <c r="F2641">
        <v>0</v>
      </c>
      <c r="G2641">
        <v>23.21</v>
      </c>
      <c r="H2641">
        <v>22.648320999999999</v>
      </c>
      <c r="I2641">
        <v>62.39</v>
      </c>
      <c r="K2641">
        <v>368</v>
      </c>
      <c r="L2641">
        <v>96.842383999999996</v>
      </c>
      <c r="M2641">
        <v>48</v>
      </c>
      <c r="N2641">
        <v>11.044729999999999</v>
      </c>
      <c r="P2641">
        <v>-9.5730298749999996</v>
      </c>
      <c r="Q2641">
        <v>3298.8295859999998</v>
      </c>
      <c r="S2641">
        <v>300000</v>
      </c>
      <c r="T2641">
        <v>12.879721</v>
      </c>
      <c r="U2641">
        <v>121.774017</v>
      </c>
    </row>
    <row r="2642" spans="1:21">
      <c r="A2642" t="s">
        <v>148</v>
      </c>
      <c r="B2642">
        <v>2000</v>
      </c>
      <c r="C2642">
        <v>26426.166000000001</v>
      </c>
      <c r="D2642">
        <v>295770</v>
      </c>
      <c r="E2642">
        <v>140.85</v>
      </c>
      <c r="F2642">
        <v>0</v>
      </c>
      <c r="G2642">
        <v>2.33</v>
      </c>
      <c r="H2642">
        <v>1.6273223000000001</v>
      </c>
      <c r="J2642">
        <v>6.93</v>
      </c>
      <c r="K2642">
        <v>124</v>
      </c>
      <c r="L2642">
        <v>100</v>
      </c>
      <c r="M2642">
        <v>100</v>
      </c>
      <c r="N2642">
        <v>0.68280169999999996</v>
      </c>
      <c r="P2642">
        <v>4.5610258960000003</v>
      </c>
      <c r="Q2642">
        <v>4501.4540669999997</v>
      </c>
      <c r="R2642">
        <v>5.98</v>
      </c>
      <c r="S2642">
        <v>312685</v>
      </c>
      <c r="T2642">
        <v>51.919438</v>
      </c>
      <c r="U2642">
        <v>19.145136000000001</v>
      </c>
    </row>
    <row r="2643" spans="1:21">
      <c r="A2643" t="s">
        <v>148</v>
      </c>
      <c r="B2643">
        <v>2001</v>
      </c>
      <c r="C2643">
        <v>26135.065999999999</v>
      </c>
      <c r="D2643">
        <v>293630</v>
      </c>
      <c r="E2643">
        <v>140.94</v>
      </c>
      <c r="F2643">
        <v>0</v>
      </c>
      <c r="G2643">
        <v>2.78</v>
      </c>
      <c r="H2643">
        <v>1.9343167999999999</v>
      </c>
      <c r="J2643">
        <v>7.29</v>
      </c>
      <c r="K2643">
        <v>124</v>
      </c>
      <c r="L2643">
        <v>100</v>
      </c>
      <c r="M2643">
        <v>100</v>
      </c>
      <c r="N2643">
        <v>0.82030499999999995</v>
      </c>
      <c r="P2643">
        <v>1.2584781389999999</v>
      </c>
      <c r="Q2643">
        <v>4991.2443579999999</v>
      </c>
      <c r="R2643">
        <v>5.94</v>
      </c>
      <c r="S2643">
        <v>312685</v>
      </c>
      <c r="T2643">
        <v>51.919438</v>
      </c>
      <c r="U2643">
        <v>19.145136000000001</v>
      </c>
    </row>
    <row r="2644" spans="1:21">
      <c r="A2644" t="s">
        <v>148</v>
      </c>
      <c r="B2644">
        <v>2002</v>
      </c>
      <c r="C2644">
        <v>25864.023000000001</v>
      </c>
      <c r="D2644">
        <v>287320.0073</v>
      </c>
      <c r="E2644">
        <v>139.72</v>
      </c>
      <c r="F2644">
        <v>0</v>
      </c>
      <c r="G2644">
        <v>2.77</v>
      </c>
      <c r="H2644">
        <v>1.9439960000000001</v>
      </c>
      <c r="J2644">
        <v>7.49</v>
      </c>
      <c r="K2644">
        <v>124</v>
      </c>
      <c r="L2644">
        <v>100</v>
      </c>
      <c r="M2644">
        <v>100</v>
      </c>
      <c r="N2644">
        <v>0.81965922999999996</v>
      </c>
      <c r="P2644">
        <v>2.0359000520000001</v>
      </c>
      <c r="Q2644">
        <v>5207.171421</v>
      </c>
      <c r="R2644">
        <v>5.76</v>
      </c>
      <c r="S2644">
        <v>312685</v>
      </c>
      <c r="T2644">
        <v>51.919438</v>
      </c>
      <c r="U2644">
        <v>19.145136000000001</v>
      </c>
    </row>
    <row r="2645" spans="1:21">
      <c r="A2645" t="s">
        <v>148</v>
      </c>
      <c r="B2645">
        <v>2003</v>
      </c>
      <c r="C2645">
        <v>26777.978999999999</v>
      </c>
      <c r="D2645">
        <v>297730.011</v>
      </c>
      <c r="E2645">
        <v>147.76</v>
      </c>
      <c r="F2645">
        <v>0</v>
      </c>
      <c r="G2645">
        <v>2.25</v>
      </c>
      <c r="H2645">
        <v>1.4999001000000001</v>
      </c>
      <c r="J2645">
        <v>7.29</v>
      </c>
      <c r="K2645">
        <v>124</v>
      </c>
      <c r="L2645">
        <v>100</v>
      </c>
      <c r="M2645">
        <v>100</v>
      </c>
      <c r="N2645">
        <v>0.6754677</v>
      </c>
      <c r="P2645">
        <v>3.4983962599999998</v>
      </c>
      <c r="Q2645">
        <v>5701.6022119999998</v>
      </c>
      <c r="R2645">
        <v>5.71</v>
      </c>
      <c r="S2645">
        <v>312685</v>
      </c>
      <c r="T2645">
        <v>51.919438</v>
      </c>
      <c r="U2645">
        <v>19.145136000000001</v>
      </c>
    </row>
    <row r="2646" spans="1:21">
      <c r="A2646" t="s">
        <v>148</v>
      </c>
      <c r="B2646">
        <v>2004</v>
      </c>
      <c r="C2646">
        <v>26977.344000000001</v>
      </c>
      <c r="D2646">
        <v>301850.0061</v>
      </c>
      <c r="E2646">
        <v>149.06</v>
      </c>
      <c r="F2646">
        <v>0</v>
      </c>
      <c r="G2646">
        <v>3.2</v>
      </c>
      <c r="H2646">
        <v>2.1016683999999999</v>
      </c>
      <c r="J2646">
        <v>7.31</v>
      </c>
      <c r="K2646">
        <v>124</v>
      </c>
      <c r="L2646">
        <v>100</v>
      </c>
      <c r="M2646">
        <v>100</v>
      </c>
      <c r="N2646">
        <v>0.89124243999999997</v>
      </c>
      <c r="P2646">
        <v>4.9828255930000003</v>
      </c>
      <c r="Q2646">
        <v>6681.3864720000001</v>
      </c>
      <c r="R2646">
        <v>5.46</v>
      </c>
      <c r="S2646">
        <v>312685</v>
      </c>
      <c r="T2646">
        <v>51.919438</v>
      </c>
      <c r="U2646">
        <v>19.145136000000001</v>
      </c>
    </row>
    <row r="2647" spans="1:21">
      <c r="A2647" t="s">
        <v>148</v>
      </c>
      <c r="B2647">
        <v>2005</v>
      </c>
      <c r="C2647">
        <v>27590.934000000001</v>
      </c>
      <c r="D2647">
        <v>301350.0061</v>
      </c>
      <c r="E2647">
        <v>151.19999999999999</v>
      </c>
      <c r="F2647">
        <v>0</v>
      </c>
      <c r="G2647">
        <v>3.85</v>
      </c>
      <c r="H2647">
        <v>2.4830700000000001</v>
      </c>
      <c r="J2647">
        <v>7.22</v>
      </c>
      <c r="K2647">
        <v>124</v>
      </c>
      <c r="L2647">
        <v>100</v>
      </c>
      <c r="M2647">
        <v>100</v>
      </c>
      <c r="N2647">
        <v>1.1354770000000001</v>
      </c>
      <c r="P2647">
        <v>3.5068497289999998</v>
      </c>
      <c r="Q2647">
        <v>8021.5057429999997</v>
      </c>
      <c r="R2647">
        <v>5.34</v>
      </c>
      <c r="S2647">
        <v>312685</v>
      </c>
      <c r="T2647">
        <v>51.919438</v>
      </c>
      <c r="U2647">
        <v>19.145136000000001</v>
      </c>
    </row>
    <row r="2648" spans="1:21">
      <c r="A2648" t="s">
        <v>148</v>
      </c>
      <c r="B2648">
        <v>2006</v>
      </c>
      <c r="C2648">
        <v>28976.988000000001</v>
      </c>
      <c r="D2648">
        <v>314089.9963</v>
      </c>
      <c r="E2648">
        <v>156.16</v>
      </c>
      <c r="F2648">
        <v>0</v>
      </c>
      <c r="G2648">
        <v>4.29</v>
      </c>
      <c r="H2648">
        <v>2.6737301000000002</v>
      </c>
      <c r="J2648">
        <v>7.18</v>
      </c>
      <c r="K2648">
        <v>124</v>
      </c>
      <c r="L2648">
        <v>100</v>
      </c>
      <c r="M2648">
        <v>100</v>
      </c>
      <c r="N2648">
        <v>1.2485812999999999</v>
      </c>
      <c r="P2648">
        <v>6.1311380729999998</v>
      </c>
      <c r="Q2648">
        <v>9035.4104669999997</v>
      </c>
      <c r="R2648">
        <v>5.29</v>
      </c>
      <c r="S2648">
        <v>312685</v>
      </c>
      <c r="T2648">
        <v>51.919438</v>
      </c>
      <c r="U2648">
        <v>19.145136000000001</v>
      </c>
    </row>
    <row r="2649" spans="1:21">
      <c r="A2649" t="s">
        <v>148</v>
      </c>
      <c r="B2649">
        <v>2007</v>
      </c>
      <c r="C2649">
        <v>28913.844000000001</v>
      </c>
      <c r="D2649">
        <v>313380.0049</v>
      </c>
      <c r="E2649">
        <v>153.08000000000001</v>
      </c>
      <c r="F2649">
        <v>0</v>
      </c>
      <c r="G2649">
        <v>5.43</v>
      </c>
      <c r="H2649">
        <v>3.4256516000000001</v>
      </c>
      <c r="J2649">
        <v>7.28</v>
      </c>
      <c r="K2649">
        <v>124</v>
      </c>
      <c r="L2649">
        <v>100</v>
      </c>
      <c r="M2649">
        <v>100</v>
      </c>
      <c r="N2649">
        <v>1.5623446999999999</v>
      </c>
      <c r="P2649">
        <v>7.0615434590000001</v>
      </c>
      <c r="Q2649">
        <v>11254.517390000001</v>
      </c>
      <c r="R2649">
        <v>4.92</v>
      </c>
      <c r="S2649">
        <v>312685</v>
      </c>
      <c r="T2649">
        <v>51.919438</v>
      </c>
      <c r="U2649">
        <v>19.145136000000001</v>
      </c>
    </row>
    <row r="2650" spans="1:21">
      <c r="A2650" t="s">
        <v>148</v>
      </c>
      <c r="B2650">
        <v>2008</v>
      </c>
      <c r="C2650">
        <v>29419.19</v>
      </c>
      <c r="D2650">
        <v>308329.9866</v>
      </c>
      <c r="E2650">
        <v>148.03</v>
      </c>
      <c r="F2650">
        <v>0</v>
      </c>
      <c r="G2650">
        <v>6.61</v>
      </c>
      <c r="H2650">
        <v>4.2744439999999999</v>
      </c>
      <c r="J2650">
        <v>8.01</v>
      </c>
      <c r="K2650">
        <v>124</v>
      </c>
      <c r="L2650">
        <v>100</v>
      </c>
      <c r="M2650">
        <v>100</v>
      </c>
      <c r="N2650">
        <v>2.2076112999999999</v>
      </c>
      <c r="P2650">
        <v>4.1999685900000001</v>
      </c>
      <c r="Q2650">
        <v>13996.025149999999</v>
      </c>
      <c r="R2650">
        <v>4.78</v>
      </c>
      <c r="S2650">
        <v>312685</v>
      </c>
      <c r="T2650">
        <v>51.919438</v>
      </c>
      <c r="U2650">
        <v>19.145136000000001</v>
      </c>
    </row>
    <row r="2651" spans="1:21">
      <c r="A2651" t="s">
        <v>148</v>
      </c>
      <c r="B2651">
        <v>2009</v>
      </c>
      <c r="C2651">
        <v>28364.893</v>
      </c>
      <c r="D2651">
        <v>297260.0098</v>
      </c>
      <c r="E2651">
        <v>142.4</v>
      </c>
      <c r="F2651">
        <v>0</v>
      </c>
      <c r="G2651">
        <v>8.69</v>
      </c>
      <c r="H2651">
        <v>5.7515387999999996</v>
      </c>
      <c r="J2651">
        <v>8.84</v>
      </c>
      <c r="K2651">
        <v>124</v>
      </c>
      <c r="L2651">
        <v>100</v>
      </c>
      <c r="M2651">
        <v>100</v>
      </c>
      <c r="N2651">
        <v>3.0658216</v>
      </c>
      <c r="P2651">
        <v>2.8321780369999998</v>
      </c>
      <c r="Q2651">
        <v>11526.05589</v>
      </c>
      <c r="R2651">
        <v>4.47</v>
      </c>
      <c r="S2651">
        <v>312685</v>
      </c>
      <c r="T2651">
        <v>51.919438</v>
      </c>
      <c r="U2651">
        <v>19.145136000000001</v>
      </c>
    </row>
    <row r="2652" spans="1:21">
      <c r="A2652" t="s">
        <v>148</v>
      </c>
      <c r="B2652">
        <v>2010</v>
      </c>
      <c r="C2652">
        <v>30213.855</v>
      </c>
      <c r="D2652">
        <v>313739.9902</v>
      </c>
      <c r="E2652">
        <v>146.12</v>
      </c>
      <c r="F2652">
        <v>0</v>
      </c>
      <c r="G2652">
        <v>10.88</v>
      </c>
      <c r="H2652">
        <v>6.9299363999999999</v>
      </c>
      <c r="J2652">
        <v>9.49</v>
      </c>
      <c r="K2652">
        <v>124</v>
      </c>
      <c r="L2652">
        <v>100</v>
      </c>
      <c r="M2652">
        <v>100</v>
      </c>
      <c r="N2652">
        <v>3.4536799999999999</v>
      </c>
      <c r="P2652">
        <v>3.7405212809999999</v>
      </c>
      <c r="Q2652">
        <v>12613.011</v>
      </c>
      <c r="R2652">
        <v>4.6100000000000003</v>
      </c>
      <c r="S2652">
        <v>312685</v>
      </c>
      <c r="T2652">
        <v>51.919438</v>
      </c>
      <c r="U2652">
        <v>19.145136000000001</v>
      </c>
    </row>
    <row r="2653" spans="1:21">
      <c r="A2653" t="s">
        <v>148</v>
      </c>
      <c r="B2653">
        <v>2011</v>
      </c>
      <c r="C2653">
        <v>30370.395</v>
      </c>
      <c r="D2653">
        <v>310589.9963</v>
      </c>
      <c r="E2653">
        <v>149.88</v>
      </c>
      <c r="F2653">
        <v>0</v>
      </c>
      <c r="G2653">
        <v>13.13</v>
      </c>
      <c r="H2653">
        <v>8.0547210000000007</v>
      </c>
      <c r="J2653">
        <v>10.44</v>
      </c>
      <c r="K2653">
        <v>124</v>
      </c>
      <c r="L2653">
        <v>100</v>
      </c>
      <c r="M2653">
        <v>100</v>
      </c>
      <c r="N2653">
        <v>4.0425886999999996</v>
      </c>
      <c r="P2653">
        <v>4.757635638</v>
      </c>
      <c r="Q2653">
        <v>13879.56099</v>
      </c>
      <c r="R2653">
        <v>4.42</v>
      </c>
      <c r="S2653">
        <v>312685</v>
      </c>
      <c r="T2653">
        <v>51.919438</v>
      </c>
      <c r="U2653">
        <v>19.145136000000001</v>
      </c>
    </row>
    <row r="2654" spans="1:21">
      <c r="A2654" t="s">
        <v>148</v>
      </c>
      <c r="B2654">
        <v>2012</v>
      </c>
      <c r="C2654">
        <v>29494.252</v>
      </c>
      <c r="D2654">
        <v>303350.0061</v>
      </c>
      <c r="E2654">
        <v>144.75</v>
      </c>
      <c r="F2654">
        <v>0</v>
      </c>
      <c r="G2654">
        <v>16.88</v>
      </c>
      <c r="H2654">
        <v>10.443604000000001</v>
      </c>
      <c r="J2654">
        <v>10.91</v>
      </c>
      <c r="K2654">
        <v>124</v>
      </c>
      <c r="L2654">
        <v>100</v>
      </c>
      <c r="M2654">
        <v>100</v>
      </c>
      <c r="N2654">
        <v>5.2285094000000001</v>
      </c>
      <c r="P2654">
        <v>1.324896305</v>
      </c>
      <c r="Q2654">
        <v>13097.270850000001</v>
      </c>
      <c r="R2654">
        <v>4.22</v>
      </c>
      <c r="S2654">
        <v>312685</v>
      </c>
      <c r="T2654">
        <v>51.919438</v>
      </c>
      <c r="U2654">
        <v>19.145136000000001</v>
      </c>
    </row>
    <row r="2655" spans="1:21">
      <c r="A2655" t="s">
        <v>148</v>
      </c>
      <c r="B2655">
        <v>2013</v>
      </c>
      <c r="C2655">
        <v>29578.532999999999</v>
      </c>
      <c r="D2655">
        <v>298299.9878</v>
      </c>
      <c r="E2655">
        <v>146.85</v>
      </c>
      <c r="F2655">
        <v>0</v>
      </c>
      <c r="G2655">
        <v>17.059999999999999</v>
      </c>
      <c r="H2655">
        <v>10.408151</v>
      </c>
      <c r="J2655">
        <v>11.41</v>
      </c>
      <c r="K2655">
        <v>124</v>
      </c>
      <c r="L2655">
        <v>100</v>
      </c>
      <c r="M2655">
        <v>100</v>
      </c>
      <c r="N2655">
        <v>5.1705626999999996</v>
      </c>
      <c r="P2655">
        <v>1.125763386</v>
      </c>
      <c r="Q2655">
        <v>13696.4663</v>
      </c>
      <c r="R2655">
        <v>4.17</v>
      </c>
      <c r="S2655">
        <v>312685</v>
      </c>
      <c r="T2655">
        <v>51.919438</v>
      </c>
      <c r="U2655">
        <v>19.145136000000001</v>
      </c>
    </row>
    <row r="2656" spans="1:21">
      <c r="A2656" t="s">
        <v>148</v>
      </c>
      <c r="B2656">
        <v>2014</v>
      </c>
      <c r="C2656">
        <v>28535.256000000001</v>
      </c>
      <c r="D2656">
        <v>285730.011</v>
      </c>
      <c r="E2656">
        <v>138.53</v>
      </c>
      <c r="F2656">
        <v>0</v>
      </c>
      <c r="G2656">
        <v>19.850000000000001</v>
      </c>
      <c r="H2656">
        <v>12.533148000000001</v>
      </c>
      <c r="J2656">
        <v>11.58</v>
      </c>
      <c r="K2656">
        <v>124</v>
      </c>
      <c r="L2656">
        <v>100</v>
      </c>
      <c r="M2656">
        <v>100</v>
      </c>
      <c r="N2656">
        <v>6.0559669999999999</v>
      </c>
      <c r="P2656">
        <v>3.3785817150000002</v>
      </c>
      <c r="Q2656">
        <v>14271.305850000001</v>
      </c>
      <c r="R2656">
        <v>3.89</v>
      </c>
      <c r="S2656">
        <v>312685</v>
      </c>
      <c r="T2656">
        <v>51.919438</v>
      </c>
      <c r="U2656">
        <v>19.145136000000001</v>
      </c>
    </row>
    <row r="2657" spans="1:21">
      <c r="A2657" t="s">
        <v>148</v>
      </c>
      <c r="B2657">
        <v>2015</v>
      </c>
      <c r="C2657">
        <v>28851.458999999999</v>
      </c>
      <c r="D2657">
        <v>289079.9866</v>
      </c>
      <c r="E2657">
        <v>141.55000000000001</v>
      </c>
      <c r="F2657">
        <v>0</v>
      </c>
      <c r="G2657">
        <v>22.69</v>
      </c>
      <c r="H2657">
        <v>13.815148000000001</v>
      </c>
      <c r="J2657">
        <v>11.87</v>
      </c>
      <c r="K2657">
        <v>124</v>
      </c>
      <c r="L2657">
        <v>100</v>
      </c>
      <c r="M2657">
        <v>100</v>
      </c>
      <c r="N2657">
        <v>6.5615110000000003</v>
      </c>
      <c r="P2657">
        <v>4.2363268500000002</v>
      </c>
      <c r="Q2657">
        <v>12578.49547</v>
      </c>
      <c r="R2657">
        <v>3.76</v>
      </c>
      <c r="S2657">
        <v>312685</v>
      </c>
      <c r="T2657">
        <v>51.919438</v>
      </c>
      <c r="U2657">
        <v>19.145136000000001</v>
      </c>
    </row>
    <row r="2658" spans="1:21">
      <c r="A2658" t="s">
        <v>148</v>
      </c>
      <c r="B2658">
        <v>2016</v>
      </c>
      <c r="C2658">
        <v>30122.61</v>
      </c>
      <c r="D2658">
        <v>299799.9878</v>
      </c>
      <c r="E2658">
        <v>143.28</v>
      </c>
      <c r="F2658">
        <v>0</v>
      </c>
      <c r="G2658">
        <v>22.81</v>
      </c>
      <c r="H2658">
        <v>13.733518999999999</v>
      </c>
      <c r="J2658">
        <v>11.34</v>
      </c>
      <c r="K2658">
        <v>124</v>
      </c>
      <c r="L2658">
        <v>100</v>
      </c>
      <c r="M2658">
        <v>100</v>
      </c>
      <c r="N2658">
        <v>6.0504946999999998</v>
      </c>
      <c r="P2658">
        <v>3.1417257780000001</v>
      </c>
      <c r="Q2658">
        <v>12447.43959</v>
      </c>
      <c r="R2658">
        <v>3.82</v>
      </c>
      <c r="S2658">
        <v>312685</v>
      </c>
      <c r="T2658">
        <v>51.919438</v>
      </c>
      <c r="U2658">
        <v>19.145136000000001</v>
      </c>
    </row>
    <row r="2659" spans="1:21">
      <c r="A2659" t="s">
        <v>148</v>
      </c>
      <c r="B2659">
        <v>2017</v>
      </c>
      <c r="C2659">
        <v>31295.421999999999</v>
      </c>
      <c r="D2659">
        <v>312859.98540000001</v>
      </c>
      <c r="E2659">
        <v>145.80000000000001</v>
      </c>
      <c r="F2659">
        <v>0</v>
      </c>
      <c r="G2659">
        <v>24.13</v>
      </c>
      <c r="H2659">
        <v>14.199965499999999</v>
      </c>
      <c r="J2659">
        <v>11.12</v>
      </c>
      <c r="K2659">
        <v>124</v>
      </c>
      <c r="L2659">
        <v>100</v>
      </c>
      <c r="M2659">
        <v>100</v>
      </c>
      <c r="N2659">
        <v>6.1909957000000002</v>
      </c>
      <c r="P2659">
        <v>4.8306560049999998</v>
      </c>
      <c r="Q2659">
        <v>13864.681759999999</v>
      </c>
      <c r="R2659">
        <v>3.81</v>
      </c>
      <c r="S2659">
        <v>312685</v>
      </c>
      <c r="T2659">
        <v>51.919438</v>
      </c>
      <c r="U2659">
        <v>19.145136000000001</v>
      </c>
    </row>
    <row r="2660" spans="1:21">
      <c r="A2660" t="s">
        <v>148</v>
      </c>
      <c r="B2660">
        <v>2018</v>
      </c>
      <c r="C2660">
        <v>31661.173999999999</v>
      </c>
      <c r="D2660">
        <v>311910.0037</v>
      </c>
      <c r="E2660">
        <v>147.87</v>
      </c>
      <c r="F2660">
        <v>0</v>
      </c>
      <c r="G2660">
        <v>21.62</v>
      </c>
      <c r="H2660">
        <v>12.755915</v>
      </c>
      <c r="J2660">
        <v>11.27</v>
      </c>
      <c r="K2660">
        <v>124</v>
      </c>
      <c r="L2660">
        <v>100</v>
      </c>
      <c r="M2660">
        <v>100</v>
      </c>
      <c r="N2660">
        <v>5.8507967000000001</v>
      </c>
      <c r="P2660">
        <v>5.3537033550000004</v>
      </c>
      <c r="Q2660">
        <v>15468.48222</v>
      </c>
      <c r="R2660">
        <v>3.68</v>
      </c>
      <c r="S2660">
        <v>312685</v>
      </c>
      <c r="T2660">
        <v>51.919438</v>
      </c>
      <c r="U2660">
        <v>19.145136000000001</v>
      </c>
    </row>
    <row r="2661" spans="1:21">
      <c r="A2661" t="s">
        <v>148</v>
      </c>
      <c r="B2661">
        <v>2019</v>
      </c>
      <c r="C2661">
        <v>30777.798999999999</v>
      </c>
      <c r="D2661">
        <v>295130.0049</v>
      </c>
      <c r="E2661">
        <v>137.58000000000001</v>
      </c>
      <c r="F2661">
        <v>0</v>
      </c>
      <c r="G2661">
        <v>25.46</v>
      </c>
      <c r="H2661">
        <v>15.615800999999999</v>
      </c>
      <c r="J2661">
        <v>12.18</v>
      </c>
      <c r="K2661">
        <v>124</v>
      </c>
      <c r="L2661">
        <v>100</v>
      </c>
      <c r="M2661">
        <v>100</v>
      </c>
      <c r="N2661">
        <v>6.989287</v>
      </c>
      <c r="P2661">
        <v>4.7449501559999998</v>
      </c>
      <c r="Q2661">
        <v>15732.20313</v>
      </c>
      <c r="R2661">
        <v>3.42</v>
      </c>
      <c r="S2661">
        <v>312685</v>
      </c>
      <c r="T2661">
        <v>51.919438</v>
      </c>
      <c r="U2661">
        <v>19.145136000000001</v>
      </c>
    </row>
    <row r="2662" spans="1:21">
      <c r="A2662" t="s">
        <v>148</v>
      </c>
      <c r="B2662">
        <v>2020</v>
      </c>
      <c r="C2662">
        <v>29514.133000000002</v>
      </c>
      <c r="E2662">
        <v>128.91</v>
      </c>
      <c r="F2662">
        <v>0</v>
      </c>
      <c r="G2662">
        <v>28.23</v>
      </c>
      <c r="H2662">
        <v>17.964872</v>
      </c>
      <c r="K2662">
        <v>124</v>
      </c>
      <c r="L2662">
        <v>100</v>
      </c>
      <c r="M2662">
        <v>100</v>
      </c>
      <c r="N2662">
        <v>7.7697419999999999</v>
      </c>
      <c r="P2662">
        <v>-2.5406586820000001</v>
      </c>
      <c r="Q2662">
        <v>15720.99466</v>
      </c>
      <c r="S2662">
        <v>312685</v>
      </c>
      <c r="T2662">
        <v>51.919438</v>
      </c>
      <c r="U2662">
        <v>19.145136000000001</v>
      </c>
    </row>
    <row r="2663" spans="1:21">
      <c r="A2663" t="s">
        <v>149</v>
      </c>
      <c r="B2663">
        <v>2000</v>
      </c>
      <c r="C2663">
        <v>28476.13</v>
      </c>
      <c r="D2663">
        <v>61660</v>
      </c>
      <c r="E2663">
        <v>30.51</v>
      </c>
      <c r="F2663">
        <v>0</v>
      </c>
      <c r="G2663">
        <v>12.87</v>
      </c>
      <c r="H2663">
        <v>29.668049</v>
      </c>
      <c r="J2663">
        <v>20.12</v>
      </c>
      <c r="K2663">
        <v>111</v>
      </c>
      <c r="L2663">
        <v>100</v>
      </c>
      <c r="M2663">
        <v>100</v>
      </c>
      <c r="N2663">
        <v>13.07334</v>
      </c>
      <c r="P2663">
        <v>3.8161780630000002</v>
      </c>
      <c r="Q2663">
        <v>11497.75346</v>
      </c>
      <c r="R2663">
        <v>3.29</v>
      </c>
      <c r="S2663">
        <v>92212</v>
      </c>
      <c r="T2663">
        <v>39.399872000000002</v>
      </c>
      <c r="U2663">
        <v>-8.2244539999999997</v>
      </c>
    </row>
    <row r="2664" spans="1:21">
      <c r="A2664" t="s">
        <v>149</v>
      </c>
      <c r="B2664">
        <v>2001</v>
      </c>
      <c r="C2664">
        <v>28699.384999999998</v>
      </c>
      <c r="D2664">
        <v>61380</v>
      </c>
      <c r="E2664">
        <v>30.43</v>
      </c>
      <c r="F2664">
        <v>0</v>
      </c>
      <c r="G2664">
        <v>15.74</v>
      </c>
      <c r="H2664">
        <v>34.091403999999997</v>
      </c>
      <c r="J2664">
        <v>20.83</v>
      </c>
      <c r="K2664">
        <v>111</v>
      </c>
      <c r="L2664">
        <v>100</v>
      </c>
      <c r="M2664">
        <v>100</v>
      </c>
      <c r="N2664">
        <v>15.646869000000001</v>
      </c>
      <c r="P2664">
        <v>1.9436722959999999</v>
      </c>
      <c r="Q2664">
        <v>11724.611500000001</v>
      </c>
      <c r="R2664">
        <v>3.26</v>
      </c>
      <c r="S2664">
        <v>92212</v>
      </c>
      <c r="T2664">
        <v>39.399872000000002</v>
      </c>
      <c r="U2664">
        <v>-8.2244539999999997</v>
      </c>
    </row>
    <row r="2665" spans="1:21">
      <c r="A2665" t="s">
        <v>149</v>
      </c>
      <c r="B2665">
        <v>2002</v>
      </c>
      <c r="C2665">
        <v>28321.011999999999</v>
      </c>
      <c r="D2665">
        <v>65599.998470000006</v>
      </c>
      <c r="E2665">
        <v>35.92</v>
      </c>
      <c r="F2665">
        <v>0</v>
      </c>
      <c r="G2665">
        <v>9.73</v>
      </c>
      <c r="H2665">
        <v>21.314346</v>
      </c>
      <c r="J2665">
        <v>18.28</v>
      </c>
      <c r="K2665">
        <v>111</v>
      </c>
      <c r="L2665">
        <v>100</v>
      </c>
      <c r="M2665">
        <v>100</v>
      </c>
      <c r="N2665">
        <v>9.7489559999999997</v>
      </c>
      <c r="P2665">
        <v>0.77092402400000004</v>
      </c>
      <c r="Q2665">
        <v>12875.32079</v>
      </c>
      <c r="R2665">
        <v>3.37</v>
      </c>
      <c r="S2665">
        <v>92212</v>
      </c>
      <c r="T2665">
        <v>39.399872000000002</v>
      </c>
      <c r="U2665">
        <v>-8.2244539999999997</v>
      </c>
    </row>
    <row r="2666" spans="1:21">
      <c r="A2666" t="s">
        <v>149</v>
      </c>
      <c r="B2666">
        <v>2003</v>
      </c>
      <c r="C2666">
        <v>28965.469000000001</v>
      </c>
      <c r="D2666">
        <v>60520.000460000003</v>
      </c>
      <c r="E2666">
        <v>28.82</v>
      </c>
      <c r="F2666">
        <v>0</v>
      </c>
      <c r="G2666">
        <v>17.7</v>
      </c>
      <c r="H2666">
        <v>38.048152999999999</v>
      </c>
      <c r="J2666">
        <v>22.09</v>
      </c>
      <c r="K2666">
        <v>111</v>
      </c>
      <c r="L2666">
        <v>100</v>
      </c>
      <c r="M2666">
        <v>100</v>
      </c>
      <c r="N2666">
        <v>17.057003000000002</v>
      </c>
      <c r="P2666">
        <v>-0.93052119300000002</v>
      </c>
      <c r="Q2666">
        <v>15762.97579</v>
      </c>
      <c r="R2666">
        <v>3.3</v>
      </c>
      <c r="S2666">
        <v>92212</v>
      </c>
      <c r="T2666">
        <v>39.399872000000002</v>
      </c>
      <c r="U2666">
        <v>-8.2244539999999997</v>
      </c>
    </row>
    <row r="2667" spans="1:21">
      <c r="A2667" t="s">
        <v>149</v>
      </c>
      <c r="B2667">
        <v>2004</v>
      </c>
      <c r="C2667">
        <v>28331.548999999999</v>
      </c>
      <c r="D2667">
        <v>62130.001069999998</v>
      </c>
      <c r="E2667">
        <v>32.51</v>
      </c>
      <c r="F2667">
        <v>0</v>
      </c>
      <c r="G2667">
        <v>12.31</v>
      </c>
      <c r="H2667">
        <v>27.465418</v>
      </c>
      <c r="J2667">
        <v>19.87</v>
      </c>
      <c r="K2667">
        <v>111</v>
      </c>
      <c r="L2667">
        <v>100</v>
      </c>
      <c r="M2667">
        <v>100</v>
      </c>
      <c r="N2667">
        <v>12.089573</v>
      </c>
      <c r="P2667">
        <v>1.788735682</v>
      </c>
      <c r="Q2667">
        <v>18031.00042</v>
      </c>
      <c r="R2667">
        <v>3.34</v>
      </c>
      <c r="S2667">
        <v>92212</v>
      </c>
      <c r="T2667">
        <v>39.399872000000002</v>
      </c>
      <c r="U2667">
        <v>-8.2244539999999997</v>
      </c>
    </row>
    <row r="2668" spans="1:21">
      <c r="A2668" t="s">
        <v>149</v>
      </c>
      <c r="B2668">
        <v>2005</v>
      </c>
      <c r="C2668">
        <v>28219.037</v>
      </c>
      <c r="D2668">
        <v>65470.001219999998</v>
      </c>
      <c r="E2668">
        <v>37.93</v>
      </c>
      <c r="F2668">
        <v>0</v>
      </c>
      <c r="G2668">
        <v>8.25</v>
      </c>
      <c r="H2668">
        <v>17.864875999999999</v>
      </c>
      <c r="J2668">
        <v>18.07</v>
      </c>
      <c r="K2668">
        <v>111</v>
      </c>
      <c r="L2668">
        <v>100</v>
      </c>
      <c r="M2668">
        <v>100</v>
      </c>
      <c r="N2668">
        <v>8.1156140000000008</v>
      </c>
      <c r="P2668">
        <v>0.78184821599999998</v>
      </c>
      <c r="Q2668">
        <v>18773.125359999998</v>
      </c>
      <c r="R2668">
        <v>3.39</v>
      </c>
      <c r="S2668">
        <v>92212</v>
      </c>
      <c r="T2668">
        <v>39.399872000000002</v>
      </c>
      <c r="U2668">
        <v>-8.2244539999999997</v>
      </c>
    </row>
    <row r="2669" spans="1:21">
      <c r="A2669" t="s">
        <v>149</v>
      </c>
      <c r="B2669">
        <v>2006</v>
      </c>
      <c r="C2669">
        <v>27957.99</v>
      </c>
      <c r="D2669">
        <v>60450.000760000003</v>
      </c>
      <c r="E2669">
        <v>32.85</v>
      </c>
      <c r="F2669">
        <v>0</v>
      </c>
      <c r="G2669">
        <v>15.72</v>
      </c>
      <c r="H2669">
        <v>32.365658000000003</v>
      </c>
      <c r="J2669">
        <v>22.33</v>
      </c>
      <c r="K2669">
        <v>111</v>
      </c>
      <c r="L2669">
        <v>100</v>
      </c>
      <c r="M2669">
        <v>100</v>
      </c>
      <c r="N2669">
        <v>15.572563000000001</v>
      </c>
      <c r="P2669">
        <v>1.625034176</v>
      </c>
      <c r="Q2669">
        <v>19822.846030000001</v>
      </c>
      <c r="R2669">
        <v>3.17</v>
      </c>
      <c r="S2669">
        <v>92212</v>
      </c>
      <c r="T2669">
        <v>39.399872000000002</v>
      </c>
      <c r="U2669">
        <v>-8.2244539999999997</v>
      </c>
    </row>
    <row r="2670" spans="1:21">
      <c r="A2670" t="s">
        <v>149</v>
      </c>
      <c r="B2670">
        <v>2007</v>
      </c>
      <c r="C2670">
        <v>28116.701000000001</v>
      </c>
      <c r="D2670">
        <v>58799.999239999997</v>
      </c>
      <c r="E2670">
        <v>30.68</v>
      </c>
      <c r="F2670">
        <v>0</v>
      </c>
      <c r="G2670">
        <v>16.21</v>
      </c>
      <c r="H2670">
        <v>34.570270000000001</v>
      </c>
      <c r="J2670">
        <v>23.15</v>
      </c>
      <c r="K2670">
        <v>111</v>
      </c>
      <c r="L2670">
        <v>100</v>
      </c>
      <c r="M2670">
        <v>100</v>
      </c>
      <c r="N2670">
        <v>16.143671000000001</v>
      </c>
      <c r="P2670">
        <v>2.5065796460000001</v>
      </c>
      <c r="Q2670">
        <v>22782.09462</v>
      </c>
      <c r="R2670">
        <v>3.12</v>
      </c>
      <c r="S2670">
        <v>92212</v>
      </c>
      <c r="T2670">
        <v>39.399872000000002</v>
      </c>
      <c r="U2670">
        <v>-8.2244539999999997</v>
      </c>
    </row>
    <row r="2671" spans="1:21">
      <c r="A2671" t="s">
        <v>149</v>
      </c>
      <c r="B2671">
        <v>2008</v>
      </c>
      <c r="C2671">
        <v>27100.384999999998</v>
      </c>
      <c r="D2671">
        <v>56840.00015</v>
      </c>
      <c r="E2671">
        <v>30.84</v>
      </c>
      <c r="F2671">
        <v>0</v>
      </c>
      <c r="G2671">
        <v>14.64</v>
      </c>
      <c r="H2671">
        <v>32.189976000000001</v>
      </c>
      <c r="J2671">
        <v>23.19</v>
      </c>
      <c r="K2671">
        <v>111</v>
      </c>
      <c r="L2671">
        <v>100</v>
      </c>
      <c r="M2671">
        <v>100</v>
      </c>
      <c r="N2671">
        <v>15.146782999999999</v>
      </c>
      <c r="P2671">
        <v>0.31924792499999999</v>
      </c>
      <c r="Q2671">
        <v>24847.545139999998</v>
      </c>
      <c r="R2671">
        <v>3.03</v>
      </c>
      <c r="S2671">
        <v>92212</v>
      </c>
      <c r="T2671">
        <v>39.399872000000002</v>
      </c>
      <c r="U2671">
        <v>-8.2244539999999997</v>
      </c>
    </row>
    <row r="2672" spans="1:21">
      <c r="A2672" t="s">
        <v>149</v>
      </c>
      <c r="B2672">
        <v>2009</v>
      </c>
      <c r="C2672">
        <v>27307.855</v>
      </c>
      <c r="D2672">
        <v>56299.999239999997</v>
      </c>
      <c r="E2672">
        <v>31.19</v>
      </c>
      <c r="F2672">
        <v>0</v>
      </c>
      <c r="G2672">
        <v>18.29</v>
      </c>
      <c r="H2672">
        <v>36.96443</v>
      </c>
      <c r="J2672">
        <v>24.9</v>
      </c>
      <c r="K2672">
        <v>111</v>
      </c>
      <c r="L2672">
        <v>100</v>
      </c>
      <c r="M2672">
        <v>100</v>
      </c>
      <c r="N2672">
        <v>18.849367000000001</v>
      </c>
      <c r="P2672">
        <v>-3.1220794199999999</v>
      </c>
      <c r="Q2672">
        <v>23059.797449999998</v>
      </c>
      <c r="R2672">
        <v>3.09</v>
      </c>
      <c r="S2672">
        <v>92212</v>
      </c>
      <c r="T2672">
        <v>39.399872000000002</v>
      </c>
      <c r="U2672">
        <v>-8.2244539999999997</v>
      </c>
    </row>
    <row r="2673" spans="1:21">
      <c r="A2673" t="s">
        <v>149</v>
      </c>
      <c r="B2673">
        <v>2010</v>
      </c>
      <c r="C2673">
        <v>28813.4</v>
      </c>
      <c r="D2673">
        <v>50939.998630000002</v>
      </c>
      <c r="E2673">
        <v>25.34</v>
      </c>
      <c r="F2673">
        <v>0</v>
      </c>
      <c r="G2673">
        <v>28.35</v>
      </c>
      <c r="H2673">
        <v>52.803130000000003</v>
      </c>
      <c r="J2673">
        <v>27.83</v>
      </c>
      <c r="K2673">
        <v>111</v>
      </c>
      <c r="L2673">
        <v>100</v>
      </c>
      <c r="M2673">
        <v>100</v>
      </c>
      <c r="N2673">
        <v>27.393208000000001</v>
      </c>
      <c r="P2673">
        <v>1.7376254760000001</v>
      </c>
      <c r="Q2673">
        <v>22498.690859999999</v>
      </c>
      <c r="R2673">
        <v>2.93</v>
      </c>
      <c r="S2673">
        <v>92212</v>
      </c>
      <c r="T2673">
        <v>39.399872000000002</v>
      </c>
      <c r="U2673">
        <v>-8.2244539999999997</v>
      </c>
    </row>
    <row r="2674" spans="1:21">
      <c r="A2674" t="s">
        <v>149</v>
      </c>
      <c r="B2674">
        <v>2011</v>
      </c>
      <c r="C2674">
        <v>27547.613000000001</v>
      </c>
      <c r="D2674">
        <v>49869.998930000002</v>
      </c>
      <c r="E2674">
        <v>27.77</v>
      </c>
      <c r="F2674">
        <v>0</v>
      </c>
      <c r="G2674">
        <v>24.11</v>
      </c>
      <c r="H2674">
        <v>46.472630000000002</v>
      </c>
      <c r="J2674">
        <v>27.22</v>
      </c>
      <c r="K2674">
        <v>111</v>
      </c>
      <c r="L2674">
        <v>100</v>
      </c>
      <c r="M2674">
        <v>100</v>
      </c>
      <c r="N2674">
        <v>24.511285999999998</v>
      </c>
      <c r="P2674">
        <v>-1.696164781</v>
      </c>
      <c r="Q2674">
        <v>23186.913130000001</v>
      </c>
      <c r="R2674">
        <v>2.89</v>
      </c>
      <c r="S2674">
        <v>92212</v>
      </c>
      <c r="T2674">
        <v>39.399872000000002</v>
      </c>
      <c r="U2674">
        <v>-8.2244539999999997</v>
      </c>
    </row>
    <row r="2675" spans="1:21">
      <c r="A2675" t="s">
        <v>149</v>
      </c>
      <c r="B2675">
        <v>2012</v>
      </c>
      <c r="C2675">
        <v>25259.119999999999</v>
      </c>
      <c r="D2675">
        <v>48220.001219999998</v>
      </c>
      <c r="E2675">
        <v>26.2</v>
      </c>
      <c r="F2675">
        <v>0</v>
      </c>
      <c r="G2675">
        <v>19.37</v>
      </c>
      <c r="H2675">
        <v>42.506039999999999</v>
      </c>
      <c r="J2675">
        <v>25.52</v>
      </c>
      <c r="K2675">
        <v>111</v>
      </c>
      <c r="L2675">
        <v>100</v>
      </c>
      <c r="M2675">
        <v>100</v>
      </c>
      <c r="N2675">
        <v>21.701543999999998</v>
      </c>
      <c r="P2675">
        <v>-4.0572936080000002</v>
      </c>
      <c r="Q2675">
        <v>20564.889859999999</v>
      </c>
      <c r="R2675">
        <v>2.83</v>
      </c>
      <c r="S2675">
        <v>92212</v>
      </c>
      <c r="T2675">
        <v>39.399872000000002</v>
      </c>
      <c r="U2675">
        <v>-8.2244539999999997</v>
      </c>
    </row>
    <row r="2676" spans="1:21">
      <c r="A2676" t="s">
        <v>149</v>
      </c>
      <c r="B2676">
        <v>2013</v>
      </c>
      <c r="C2676">
        <v>27884.04</v>
      </c>
      <c r="D2676">
        <v>46560.001369999998</v>
      </c>
      <c r="E2676">
        <v>21.06</v>
      </c>
      <c r="F2676">
        <v>0</v>
      </c>
      <c r="G2676">
        <v>29.47</v>
      </c>
      <c r="H2676">
        <v>58.32179</v>
      </c>
      <c r="J2676">
        <v>30.17</v>
      </c>
      <c r="K2676">
        <v>111</v>
      </c>
      <c r="L2676">
        <v>100</v>
      </c>
      <c r="M2676">
        <v>100</v>
      </c>
      <c r="N2676">
        <v>29.105732</v>
      </c>
      <c r="P2676">
        <v>-0.92264467500000003</v>
      </c>
      <c r="Q2676">
        <v>21647.041809999999</v>
      </c>
      <c r="R2676">
        <v>2.86</v>
      </c>
      <c r="S2676">
        <v>92212</v>
      </c>
      <c r="T2676">
        <v>39.399872000000002</v>
      </c>
      <c r="U2676">
        <v>-8.2244539999999997</v>
      </c>
    </row>
    <row r="2677" spans="1:21">
      <c r="A2677" t="s">
        <v>149</v>
      </c>
      <c r="B2677">
        <v>2014</v>
      </c>
      <c r="C2677">
        <v>28600.113000000001</v>
      </c>
      <c r="D2677">
        <v>45930.000310000003</v>
      </c>
      <c r="E2677">
        <v>20.39</v>
      </c>
      <c r="F2677">
        <v>0</v>
      </c>
      <c r="G2677">
        <v>31.57</v>
      </c>
      <c r="H2677">
        <v>60.758277999999997</v>
      </c>
      <c r="J2677">
        <v>30.46</v>
      </c>
      <c r="K2677">
        <v>111</v>
      </c>
      <c r="L2677">
        <v>100</v>
      </c>
      <c r="M2677">
        <v>100</v>
      </c>
      <c r="N2677">
        <v>30.292532000000001</v>
      </c>
      <c r="P2677">
        <v>0.79219030199999996</v>
      </c>
      <c r="Q2677">
        <v>22074.300759999998</v>
      </c>
      <c r="R2677">
        <v>2.8</v>
      </c>
      <c r="S2677">
        <v>92212</v>
      </c>
      <c r="T2677">
        <v>39.399872000000002</v>
      </c>
      <c r="U2677">
        <v>-8.2244539999999997</v>
      </c>
    </row>
    <row r="2678" spans="1:21">
      <c r="A2678" t="s">
        <v>149</v>
      </c>
      <c r="B2678">
        <v>2015</v>
      </c>
      <c r="C2678">
        <v>28096.076000000001</v>
      </c>
      <c r="D2678">
        <v>49849.998469999999</v>
      </c>
      <c r="E2678">
        <v>26.9</v>
      </c>
      <c r="F2678">
        <v>0</v>
      </c>
      <c r="G2678">
        <v>24.37</v>
      </c>
      <c r="H2678">
        <v>47.532670000000003</v>
      </c>
      <c r="J2678">
        <v>27.21</v>
      </c>
      <c r="K2678">
        <v>111</v>
      </c>
      <c r="L2678">
        <v>100</v>
      </c>
      <c r="M2678">
        <v>100</v>
      </c>
      <c r="N2678">
        <v>24.459372999999999</v>
      </c>
      <c r="P2678">
        <v>1.7920460460000001</v>
      </c>
      <c r="Q2678">
        <v>19242.366470000001</v>
      </c>
      <c r="R2678">
        <v>2.85</v>
      </c>
      <c r="S2678">
        <v>92212</v>
      </c>
      <c r="T2678">
        <v>39.399872000000002</v>
      </c>
      <c r="U2678">
        <v>-8.2244539999999997</v>
      </c>
    </row>
    <row r="2679" spans="1:21">
      <c r="A2679" t="s">
        <v>149</v>
      </c>
      <c r="B2679">
        <v>2016</v>
      </c>
      <c r="C2679">
        <v>30146.476999999999</v>
      </c>
      <c r="D2679">
        <v>48759.998319999999</v>
      </c>
      <c r="E2679">
        <v>26.83</v>
      </c>
      <c r="F2679">
        <v>0</v>
      </c>
      <c r="G2679">
        <v>32.299999999999997</v>
      </c>
      <c r="H2679">
        <v>54.625399999999999</v>
      </c>
      <c r="J2679">
        <v>29</v>
      </c>
      <c r="K2679">
        <v>111</v>
      </c>
      <c r="L2679">
        <v>100</v>
      </c>
      <c r="M2679">
        <v>100</v>
      </c>
      <c r="N2679">
        <v>29.276423000000001</v>
      </c>
      <c r="P2679">
        <v>2.0194853959999999</v>
      </c>
      <c r="Q2679">
        <v>19978.40121</v>
      </c>
      <c r="R2679">
        <v>2.78</v>
      </c>
      <c r="S2679">
        <v>92212</v>
      </c>
      <c r="T2679">
        <v>39.399872000000002</v>
      </c>
      <c r="U2679">
        <v>-8.2244539999999997</v>
      </c>
    </row>
    <row r="2680" spans="1:21">
      <c r="A2680" t="s">
        <v>149</v>
      </c>
      <c r="B2680">
        <v>2017</v>
      </c>
      <c r="C2680">
        <v>29287.125</v>
      </c>
      <c r="D2680">
        <v>53330.001830000001</v>
      </c>
      <c r="E2680">
        <v>35.119999999999997</v>
      </c>
      <c r="F2680">
        <v>0</v>
      </c>
      <c r="G2680">
        <v>22.58</v>
      </c>
      <c r="H2680">
        <v>39.133450000000003</v>
      </c>
      <c r="J2680">
        <v>24.42</v>
      </c>
      <c r="K2680">
        <v>111</v>
      </c>
      <c r="L2680">
        <v>100</v>
      </c>
      <c r="M2680">
        <v>100</v>
      </c>
      <c r="N2680">
        <v>21.441804999999999</v>
      </c>
      <c r="P2680">
        <v>3.5063452850000001</v>
      </c>
      <c r="Q2680">
        <v>21437.3475</v>
      </c>
      <c r="R2680">
        <v>2.8</v>
      </c>
      <c r="S2680">
        <v>92212</v>
      </c>
      <c r="T2680">
        <v>39.399872000000002</v>
      </c>
      <c r="U2680">
        <v>-8.2244539999999997</v>
      </c>
    </row>
    <row r="2681" spans="1:21">
      <c r="A2681" t="s">
        <v>149</v>
      </c>
      <c r="B2681">
        <v>2018</v>
      </c>
      <c r="C2681">
        <v>29893.375</v>
      </c>
      <c r="D2681">
        <v>49500</v>
      </c>
      <c r="E2681">
        <v>29</v>
      </c>
      <c r="F2681">
        <v>0</v>
      </c>
      <c r="G2681">
        <v>29.41</v>
      </c>
      <c r="H2681">
        <v>50.350966999999997</v>
      </c>
      <c r="J2681">
        <v>27.47</v>
      </c>
      <c r="K2681">
        <v>111</v>
      </c>
      <c r="L2681">
        <v>100</v>
      </c>
      <c r="M2681">
        <v>100</v>
      </c>
      <c r="N2681">
        <v>26.900106000000001</v>
      </c>
      <c r="P2681">
        <v>2.8493259339999999</v>
      </c>
      <c r="Q2681">
        <v>23551.048289999999</v>
      </c>
      <c r="R2681">
        <v>2.63</v>
      </c>
      <c r="S2681">
        <v>92212</v>
      </c>
      <c r="T2681">
        <v>39.399872000000002</v>
      </c>
      <c r="U2681">
        <v>-8.2244539999999997</v>
      </c>
    </row>
    <row r="2682" spans="1:21">
      <c r="A2682" t="s">
        <v>149</v>
      </c>
      <c r="B2682">
        <v>2019</v>
      </c>
      <c r="C2682">
        <v>28468.560000000001</v>
      </c>
      <c r="D2682">
        <v>44639.999389999997</v>
      </c>
      <c r="E2682">
        <v>24.32</v>
      </c>
      <c r="F2682">
        <v>0</v>
      </c>
      <c r="G2682">
        <v>27.41</v>
      </c>
      <c r="H2682">
        <v>52.986663999999998</v>
      </c>
      <c r="J2682">
        <v>28.19</v>
      </c>
      <c r="K2682">
        <v>111</v>
      </c>
      <c r="L2682">
        <v>100</v>
      </c>
      <c r="M2682">
        <v>100</v>
      </c>
      <c r="N2682">
        <v>26.401812</v>
      </c>
      <c r="P2682">
        <v>2.6827599210000002</v>
      </c>
      <c r="Q2682">
        <v>23330.817289999999</v>
      </c>
      <c r="R2682">
        <v>2.54</v>
      </c>
      <c r="S2682">
        <v>92212</v>
      </c>
      <c r="T2682">
        <v>39.399872000000002</v>
      </c>
      <c r="U2682">
        <v>-8.2244539999999997</v>
      </c>
    </row>
    <row r="2683" spans="1:21">
      <c r="A2683" t="s">
        <v>149</v>
      </c>
      <c r="B2683">
        <v>2020</v>
      </c>
      <c r="C2683">
        <v>25782.078000000001</v>
      </c>
      <c r="E2683">
        <v>21.43</v>
      </c>
      <c r="F2683">
        <v>0</v>
      </c>
      <c r="G2683">
        <v>30.11</v>
      </c>
      <c r="H2683">
        <v>58.420642999999998</v>
      </c>
      <c r="K2683">
        <v>111</v>
      </c>
      <c r="L2683">
        <v>100</v>
      </c>
      <c r="M2683">
        <v>100</v>
      </c>
      <c r="N2683">
        <v>31.723911000000001</v>
      </c>
      <c r="P2683">
        <v>-8.4424564279999998</v>
      </c>
      <c r="Q2683">
        <v>22176.296709999999</v>
      </c>
      <c r="S2683">
        <v>92212</v>
      </c>
      <c r="T2683">
        <v>39.399872000000002</v>
      </c>
      <c r="U2683">
        <v>-8.2244539999999997</v>
      </c>
    </row>
    <row r="2684" spans="1:21">
      <c r="A2684" t="s">
        <v>150</v>
      </c>
      <c r="B2684">
        <v>2000</v>
      </c>
      <c r="C2684">
        <v>33807.605000000003</v>
      </c>
      <c r="E2684">
        <v>21.66</v>
      </c>
      <c r="F2684">
        <v>0</v>
      </c>
      <c r="G2684">
        <v>0.15</v>
      </c>
      <c r="H2684">
        <v>0.68775797000000005</v>
      </c>
      <c r="I2684">
        <v>27.2</v>
      </c>
      <c r="J2684">
        <v>0.55000000000000004</v>
      </c>
      <c r="K2684">
        <v>368</v>
      </c>
      <c r="L2684">
        <v>100</v>
      </c>
      <c r="P2684">
        <v>3.2719645289999999</v>
      </c>
      <c r="Q2684">
        <v>16192.126969999999</v>
      </c>
      <c r="R2684">
        <v>0.11</v>
      </c>
      <c r="S2684">
        <v>9104</v>
      </c>
      <c r="T2684">
        <v>18.25</v>
      </c>
      <c r="U2684">
        <v>-66.5</v>
      </c>
    </row>
    <row r="2685" spans="1:21">
      <c r="A2685" t="s">
        <v>150</v>
      </c>
      <c r="B2685">
        <v>2001</v>
      </c>
      <c r="C2685">
        <v>36749.919999999998</v>
      </c>
      <c r="E2685">
        <v>22.17</v>
      </c>
      <c r="F2685">
        <v>0</v>
      </c>
      <c r="G2685">
        <v>0.13</v>
      </c>
      <c r="H2685">
        <v>0.58295965000000005</v>
      </c>
      <c r="I2685">
        <v>27.19</v>
      </c>
      <c r="J2685">
        <v>0.54</v>
      </c>
      <c r="K2685">
        <v>368</v>
      </c>
      <c r="L2685">
        <v>100</v>
      </c>
      <c r="P2685">
        <v>6.3134715549999996</v>
      </c>
      <c r="Q2685">
        <v>18123.198700000001</v>
      </c>
      <c r="R2685">
        <v>0.18</v>
      </c>
      <c r="S2685">
        <v>9104</v>
      </c>
      <c r="T2685">
        <v>18.25</v>
      </c>
      <c r="U2685">
        <v>-66.5</v>
      </c>
    </row>
    <row r="2686" spans="1:21">
      <c r="A2686" t="s">
        <v>150</v>
      </c>
      <c r="B2686">
        <v>2002</v>
      </c>
      <c r="C2686">
        <v>37742.36</v>
      </c>
      <c r="E2686">
        <v>23.06</v>
      </c>
      <c r="F2686">
        <v>0</v>
      </c>
      <c r="G2686">
        <v>0.11</v>
      </c>
      <c r="H2686">
        <v>0.47475182999999999</v>
      </c>
      <c r="I2686">
        <v>27.29</v>
      </c>
      <c r="J2686">
        <v>0.5</v>
      </c>
      <c r="K2686">
        <v>368</v>
      </c>
      <c r="L2686">
        <v>100</v>
      </c>
      <c r="P2686">
        <v>0.91645938400000004</v>
      </c>
      <c r="Q2686">
        <v>18731.45939</v>
      </c>
      <c r="R2686">
        <v>0.18</v>
      </c>
      <c r="S2686">
        <v>9104</v>
      </c>
      <c r="T2686">
        <v>18.25</v>
      </c>
      <c r="U2686">
        <v>-66.5</v>
      </c>
    </row>
    <row r="2687" spans="1:21">
      <c r="A2687" t="s">
        <v>150</v>
      </c>
      <c r="B2687">
        <v>2003</v>
      </c>
      <c r="C2687">
        <v>39338.19</v>
      </c>
      <c r="E2687">
        <v>23.83</v>
      </c>
      <c r="F2687">
        <v>0</v>
      </c>
      <c r="G2687">
        <v>0.1</v>
      </c>
      <c r="H2687">
        <v>0.41788547999999998</v>
      </c>
      <c r="I2687">
        <v>27.37</v>
      </c>
      <c r="J2687">
        <v>0.5</v>
      </c>
      <c r="K2687">
        <v>368</v>
      </c>
      <c r="L2687">
        <v>100</v>
      </c>
      <c r="P2687">
        <v>5.3419805000000001E-2</v>
      </c>
      <c r="Q2687">
        <v>19557.12025</v>
      </c>
      <c r="R2687">
        <v>0.21</v>
      </c>
      <c r="S2687">
        <v>9104</v>
      </c>
      <c r="T2687">
        <v>18.25</v>
      </c>
      <c r="U2687">
        <v>-66.5</v>
      </c>
    </row>
    <row r="2688" spans="1:21">
      <c r="A2688" t="s">
        <v>150</v>
      </c>
      <c r="B2688">
        <v>2004</v>
      </c>
      <c r="C2688">
        <v>40723.620000000003</v>
      </c>
      <c r="E2688">
        <v>23.99</v>
      </c>
      <c r="F2688">
        <v>0</v>
      </c>
      <c r="G2688">
        <v>0.14000000000000001</v>
      </c>
      <c r="H2688">
        <v>0.58019065999999997</v>
      </c>
      <c r="I2688">
        <v>27.4</v>
      </c>
      <c r="J2688">
        <v>0.5</v>
      </c>
      <c r="K2688">
        <v>368</v>
      </c>
      <c r="L2688">
        <v>100</v>
      </c>
      <c r="P2688">
        <v>8.748676927</v>
      </c>
      <c r="Q2688">
        <v>20988.992330000001</v>
      </c>
      <c r="R2688">
        <v>0.18</v>
      </c>
      <c r="S2688">
        <v>9104</v>
      </c>
      <c r="T2688">
        <v>18.25</v>
      </c>
      <c r="U2688">
        <v>-66.5</v>
      </c>
    </row>
    <row r="2689" spans="1:21">
      <c r="A2689" t="s">
        <v>150</v>
      </c>
      <c r="B2689">
        <v>2005</v>
      </c>
      <c r="C2689">
        <v>39564.49</v>
      </c>
      <c r="E2689">
        <v>24.82</v>
      </c>
      <c r="F2689">
        <v>0</v>
      </c>
      <c r="G2689">
        <v>0.14000000000000001</v>
      </c>
      <c r="H2689">
        <v>0.56089747000000001</v>
      </c>
      <c r="I2689">
        <v>38</v>
      </c>
      <c r="J2689">
        <v>0.56000000000000005</v>
      </c>
      <c r="K2689">
        <v>368</v>
      </c>
      <c r="L2689">
        <v>100</v>
      </c>
      <c r="P2689">
        <v>-1.9869387329999999</v>
      </c>
      <c r="Q2689">
        <v>21959.322700000001</v>
      </c>
      <c r="R2689">
        <v>0.18</v>
      </c>
      <c r="S2689">
        <v>9104</v>
      </c>
      <c r="T2689">
        <v>18.25</v>
      </c>
      <c r="U2689">
        <v>-66.5</v>
      </c>
    </row>
    <row r="2690" spans="1:21">
      <c r="A2690" t="s">
        <v>150</v>
      </c>
      <c r="B2690">
        <v>2006</v>
      </c>
      <c r="C2690">
        <v>36062.957000000002</v>
      </c>
      <c r="E2690">
        <v>23.69</v>
      </c>
      <c r="F2690">
        <v>0</v>
      </c>
      <c r="G2690">
        <v>0.14000000000000001</v>
      </c>
      <c r="H2690">
        <v>0.58749472999999997</v>
      </c>
      <c r="I2690">
        <v>39.19</v>
      </c>
      <c r="J2690">
        <v>0.48</v>
      </c>
      <c r="K2690">
        <v>368</v>
      </c>
      <c r="L2690">
        <v>100</v>
      </c>
      <c r="P2690">
        <v>-1.4094140239999999</v>
      </c>
      <c r="Q2690">
        <v>22935.941159999998</v>
      </c>
      <c r="R2690">
        <v>0.2</v>
      </c>
      <c r="S2690">
        <v>9104</v>
      </c>
      <c r="T2690">
        <v>18.25</v>
      </c>
      <c r="U2690">
        <v>-66.5</v>
      </c>
    </row>
    <row r="2691" spans="1:21">
      <c r="A2691" t="s">
        <v>150</v>
      </c>
      <c r="B2691">
        <v>2007</v>
      </c>
      <c r="C2691">
        <v>34952.593999999997</v>
      </c>
      <c r="E2691">
        <v>22.14</v>
      </c>
      <c r="F2691">
        <v>0</v>
      </c>
      <c r="G2691">
        <v>0.16</v>
      </c>
      <c r="H2691">
        <v>0.71748880000000004</v>
      </c>
      <c r="I2691">
        <v>45.35</v>
      </c>
      <c r="J2691">
        <v>0.49</v>
      </c>
      <c r="K2691">
        <v>368</v>
      </c>
      <c r="L2691">
        <v>100</v>
      </c>
      <c r="P2691">
        <v>-1.16280669</v>
      </c>
      <c r="Q2691">
        <v>23664.88235</v>
      </c>
      <c r="R2691">
        <v>0.21</v>
      </c>
      <c r="S2691">
        <v>9104</v>
      </c>
      <c r="T2691">
        <v>18.25</v>
      </c>
      <c r="U2691">
        <v>-66.5</v>
      </c>
    </row>
    <row r="2692" spans="1:21">
      <c r="A2692" t="s">
        <v>150</v>
      </c>
      <c r="B2692">
        <v>2008</v>
      </c>
      <c r="C2692">
        <v>32875.305</v>
      </c>
      <c r="E2692">
        <v>20.76</v>
      </c>
      <c r="F2692">
        <v>0</v>
      </c>
      <c r="G2692">
        <v>0.16</v>
      </c>
      <c r="H2692">
        <v>0.76481840000000001</v>
      </c>
      <c r="I2692">
        <v>43.24</v>
      </c>
      <c r="J2692">
        <v>0.51</v>
      </c>
      <c r="K2692">
        <v>368</v>
      </c>
      <c r="L2692">
        <v>100</v>
      </c>
      <c r="P2692">
        <v>-1.84413425</v>
      </c>
      <c r="Q2692">
        <v>24898.334589999999</v>
      </c>
      <c r="R2692">
        <v>0.23</v>
      </c>
      <c r="S2692">
        <v>9104</v>
      </c>
      <c r="T2692">
        <v>18.25</v>
      </c>
      <c r="U2692">
        <v>-66.5</v>
      </c>
    </row>
    <row r="2693" spans="1:21">
      <c r="A2693" t="s">
        <v>150</v>
      </c>
      <c r="B2693">
        <v>2009</v>
      </c>
      <c r="C2693">
        <v>30928.208999999999</v>
      </c>
      <c r="E2693">
        <v>20.53</v>
      </c>
      <c r="F2693">
        <v>0</v>
      </c>
      <c r="G2693">
        <v>0.17</v>
      </c>
      <c r="H2693">
        <v>0.82125599999999999</v>
      </c>
      <c r="I2693">
        <v>44.43</v>
      </c>
      <c r="J2693">
        <v>0.52</v>
      </c>
      <c r="K2693">
        <v>368</v>
      </c>
      <c r="L2693">
        <v>100</v>
      </c>
      <c r="P2693">
        <v>-1.9524251420000001</v>
      </c>
      <c r="Q2693">
        <v>25768.725890000002</v>
      </c>
      <c r="R2693">
        <v>0.22</v>
      </c>
      <c r="S2693">
        <v>9104</v>
      </c>
      <c r="T2693">
        <v>18.25</v>
      </c>
      <c r="U2693">
        <v>-66.5</v>
      </c>
    </row>
    <row r="2694" spans="1:21">
      <c r="A2694" t="s">
        <v>150</v>
      </c>
      <c r="B2694">
        <v>2010</v>
      </c>
      <c r="C2694">
        <v>26371.678</v>
      </c>
      <c r="E2694">
        <v>20.74</v>
      </c>
      <c r="F2694">
        <v>0</v>
      </c>
      <c r="G2694">
        <v>0.16</v>
      </c>
      <c r="H2694">
        <v>0.76555026000000004</v>
      </c>
      <c r="I2694">
        <v>43.1</v>
      </c>
      <c r="J2694">
        <v>0.69</v>
      </c>
      <c r="K2694">
        <v>368</v>
      </c>
      <c r="L2694">
        <v>100</v>
      </c>
      <c r="P2694">
        <v>-0.413254118</v>
      </c>
      <c r="Q2694">
        <v>26435.748790000001</v>
      </c>
      <c r="R2694">
        <v>0.23</v>
      </c>
      <c r="S2694">
        <v>9104</v>
      </c>
      <c r="T2694">
        <v>18.25</v>
      </c>
      <c r="U2694">
        <v>-66.5</v>
      </c>
    </row>
    <row r="2695" spans="1:21">
      <c r="A2695" t="s">
        <v>150</v>
      </c>
      <c r="B2695">
        <v>2011</v>
      </c>
      <c r="C2695">
        <v>28760.348000000002</v>
      </c>
      <c r="E2695">
        <v>19.87</v>
      </c>
      <c r="F2695">
        <v>0</v>
      </c>
      <c r="G2695">
        <v>0.15</v>
      </c>
      <c r="H2695">
        <v>0.74925076999999995</v>
      </c>
      <c r="I2695">
        <v>43.34</v>
      </c>
      <c r="J2695">
        <v>0.66</v>
      </c>
      <c r="K2695">
        <v>368</v>
      </c>
      <c r="L2695">
        <v>100</v>
      </c>
      <c r="P2695">
        <v>-0.358510628</v>
      </c>
      <c r="Q2695">
        <v>27278.88305</v>
      </c>
      <c r="R2695">
        <v>0.22</v>
      </c>
      <c r="S2695">
        <v>9104</v>
      </c>
      <c r="T2695">
        <v>18.25</v>
      </c>
      <c r="U2695">
        <v>-66.5</v>
      </c>
    </row>
    <row r="2696" spans="1:21">
      <c r="A2696" t="s">
        <v>150</v>
      </c>
      <c r="B2696">
        <v>2012</v>
      </c>
      <c r="C2696">
        <v>30574.373</v>
      </c>
      <c r="E2696">
        <v>21.08</v>
      </c>
      <c r="F2696">
        <v>0</v>
      </c>
      <c r="G2696">
        <v>0.12</v>
      </c>
      <c r="H2696">
        <v>0.56603769999999998</v>
      </c>
      <c r="I2696">
        <v>58.85</v>
      </c>
      <c r="J2696">
        <v>0.53</v>
      </c>
      <c r="K2696">
        <v>368</v>
      </c>
      <c r="L2696">
        <v>100</v>
      </c>
      <c r="P2696">
        <v>2.927511E-2</v>
      </c>
      <c r="Q2696">
        <v>27944.73389</v>
      </c>
      <c r="R2696">
        <v>0.39</v>
      </c>
      <c r="S2696">
        <v>9104</v>
      </c>
      <c r="T2696">
        <v>18.25</v>
      </c>
      <c r="U2696">
        <v>-66.5</v>
      </c>
    </row>
    <row r="2697" spans="1:21">
      <c r="A2697" t="s">
        <v>150</v>
      </c>
      <c r="B2697">
        <v>2013</v>
      </c>
      <c r="C2697">
        <v>27237.187999999998</v>
      </c>
      <c r="E2697">
        <v>20.2</v>
      </c>
      <c r="F2697">
        <v>0</v>
      </c>
      <c r="G2697">
        <v>0.28999999999999998</v>
      </c>
      <c r="H2697">
        <v>1.4153245999999999</v>
      </c>
      <c r="I2697">
        <v>80.23</v>
      </c>
      <c r="J2697">
        <v>1.38</v>
      </c>
      <c r="K2697">
        <v>368</v>
      </c>
      <c r="L2697">
        <v>100</v>
      </c>
      <c r="P2697">
        <v>-0.306826657</v>
      </c>
      <c r="Q2697">
        <v>28513.16574</v>
      </c>
      <c r="R2697">
        <v>0.47</v>
      </c>
      <c r="S2697">
        <v>9104</v>
      </c>
      <c r="T2697">
        <v>18.25</v>
      </c>
      <c r="U2697">
        <v>-66.5</v>
      </c>
    </row>
    <row r="2698" spans="1:21">
      <c r="A2698" t="s">
        <v>150</v>
      </c>
      <c r="B2698">
        <v>2014</v>
      </c>
      <c r="C2698">
        <v>26354.953000000001</v>
      </c>
      <c r="E2698">
        <v>20.07</v>
      </c>
      <c r="F2698">
        <v>0</v>
      </c>
      <c r="G2698">
        <v>0.35</v>
      </c>
      <c r="H2698">
        <v>1.7140058</v>
      </c>
      <c r="I2698">
        <v>85.72</v>
      </c>
      <c r="J2698">
        <v>1.65</v>
      </c>
      <c r="K2698">
        <v>368</v>
      </c>
      <c r="L2698">
        <v>100</v>
      </c>
      <c r="P2698">
        <v>-1.1903634540000001</v>
      </c>
      <c r="Q2698">
        <v>28981.457330000001</v>
      </c>
      <c r="R2698">
        <v>0.49</v>
      </c>
      <c r="S2698">
        <v>9104</v>
      </c>
      <c r="T2698">
        <v>18.25</v>
      </c>
      <c r="U2698">
        <v>-66.5</v>
      </c>
    </row>
    <row r="2699" spans="1:21">
      <c r="A2699" t="s">
        <v>150</v>
      </c>
      <c r="B2699">
        <v>2015</v>
      </c>
      <c r="C2699">
        <v>26833.928</v>
      </c>
      <c r="E2699">
        <v>20.03</v>
      </c>
      <c r="F2699">
        <v>0</v>
      </c>
      <c r="G2699">
        <v>0.38</v>
      </c>
      <c r="H2699">
        <v>1.8618325</v>
      </c>
      <c r="I2699">
        <v>93.57</v>
      </c>
      <c r="J2699">
        <v>1.86</v>
      </c>
      <c r="K2699">
        <v>368</v>
      </c>
      <c r="L2699">
        <v>100</v>
      </c>
      <c r="P2699">
        <v>-1.049443651</v>
      </c>
      <c r="Q2699">
        <v>29763.488300000001</v>
      </c>
      <c r="R2699">
        <v>0.47</v>
      </c>
      <c r="S2699">
        <v>9104</v>
      </c>
      <c r="T2699">
        <v>18.25</v>
      </c>
      <c r="U2699">
        <v>-66.5</v>
      </c>
    </row>
    <row r="2700" spans="1:21">
      <c r="A2700" t="s">
        <v>150</v>
      </c>
      <c r="B2700">
        <v>2016</v>
      </c>
      <c r="C2700">
        <v>25580.963</v>
      </c>
      <c r="E2700">
        <v>20.57</v>
      </c>
      <c r="F2700">
        <v>0</v>
      </c>
      <c r="G2700">
        <v>0.39</v>
      </c>
      <c r="H2700">
        <v>1.8606871</v>
      </c>
      <c r="I2700">
        <v>110.08</v>
      </c>
      <c r="J2700">
        <v>1.89</v>
      </c>
      <c r="K2700">
        <v>368</v>
      </c>
      <c r="L2700">
        <v>100</v>
      </c>
      <c r="P2700">
        <v>-1.2630029250000001</v>
      </c>
      <c r="Q2700">
        <v>30627.163400000001</v>
      </c>
      <c r="R2700">
        <v>0.53</v>
      </c>
      <c r="S2700">
        <v>9104</v>
      </c>
      <c r="T2700">
        <v>18.25</v>
      </c>
      <c r="U2700">
        <v>-66.5</v>
      </c>
    </row>
    <row r="2701" spans="1:21">
      <c r="A2701" t="s">
        <v>150</v>
      </c>
      <c r="B2701">
        <v>2017</v>
      </c>
      <c r="C2701">
        <v>25320.355</v>
      </c>
      <c r="E2701">
        <v>16.32</v>
      </c>
      <c r="F2701">
        <v>0</v>
      </c>
      <c r="G2701">
        <v>0.37</v>
      </c>
      <c r="H2701">
        <v>2.2168963000000002</v>
      </c>
      <c r="I2701">
        <v>116.69</v>
      </c>
      <c r="J2701">
        <v>2.2599999999999998</v>
      </c>
      <c r="K2701">
        <v>368</v>
      </c>
      <c r="L2701">
        <v>100</v>
      </c>
      <c r="P2701">
        <v>-2.8859547590000001</v>
      </c>
      <c r="Q2701">
        <v>31108.760569999999</v>
      </c>
      <c r="R2701">
        <v>0.42</v>
      </c>
      <c r="S2701">
        <v>9104</v>
      </c>
      <c r="T2701">
        <v>18.25</v>
      </c>
      <c r="U2701">
        <v>-66.5</v>
      </c>
    </row>
    <row r="2702" spans="1:21">
      <c r="A2702" t="s">
        <v>150</v>
      </c>
      <c r="B2702">
        <v>2018</v>
      </c>
      <c r="C2702">
        <v>25807.195</v>
      </c>
      <c r="E2702">
        <v>16.75</v>
      </c>
      <c r="F2702">
        <v>0</v>
      </c>
      <c r="G2702">
        <v>0.24</v>
      </c>
      <c r="H2702">
        <v>1.4125956</v>
      </c>
      <c r="I2702">
        <v>121.46</v>
      </c>
      <c r="J2702">
        <v>1.36</v>
      </c>
      <c r="K2702">
        <v>368</v>
      </c>
      <c r="L2702">
        <v>100</v>
      </c>
      <c r="P2702">
        <v>-4.1474747470000004</v>
      </c>
      <c r="Q2702">
        <v>31604.701509999999</v>
      </c>
      <c r="R2702">
        <v>0.55000000000000004</v>
      </c>
      <c r="S2702">
        <v>9104</v>
      </c>
      <c r="T2702">
        <v>18.25</v>
      </c>
      <c r="U2702">
        <v>-66.5</v>
      </c>
    </row>
    <row r="2703" spans="1:21">
      <c r="A2703" t="s">
        <v>150</v>
      </c>
      <c r="B2703">
        <v>2019</v>
      </c>
      <c r="C2703">
        <v>24532.93</v>
      </c>
      <c r="E2703">
        <v>16.8</v>
      </c>
      <c r="F2703">
        <v>0</v>
      </c>
      <c r="G2703">
        <v>0.46</v>
      </c>
      <c r="H2703">
        <v>2.6651216</v>
      </c>
      <c r="I2703">
        <v>126.27</v>
      </c>
      <c r="J2703">
        <v>2.42</v>
      </c>
      <c r="K2703">
        <v>368</v>
      </c>
      <c r="L2703">
        <v>100</v>
      </c>
      <c r="P2703">
        <v>1.484814635</v>
      </c>
      <c r="Q2703">
        <v>32850.548609999998</v>
      </c>
      <c r="R2703">
        <v>0.63</v>
      </c>
      <c r="S2703">
        <v>9104</v>
      </c>
      <c r="T2703">
        <v>18.25</v>
      </c>
      <c r="U2703">
        <v>-66.5</v>
      </c>
    </row>
    <row r="2704" spans="1:21">
      <c r="A2704" t="s">
        <v>150</v>
      </c>
      <c r="B2704">
        <v>2020</v>
      </c>
      <c r="C2704">
        <v>21459.73</v>
      </c>
      <c r="E2704">
        <v>16.670000000000002</v>
      </c>
      <c r="F2704">
        <v>0</v>
      </c>
      <c r="G2704">
        <v>0.47</v>
      </c>
      <c r="H2704">
        <v>2.7421237999999999</v>
      </c>
      <c r="I2704">
        <v>126.71</v>
      </c>
      <c r="K2704">
        <v>368</v>
      </c>
      <c r="L2704">
        <v>100</v>
      </c>
      <c r="P2704">
        <v>-3.903305193</v>
      </c>
      <c r="Q2704">
        <v>32290.921139999999</v>
      </c>
      <c r="S2704">
        <v>9104</v>
      </c>
      <c r="T2704">
        <v>18.25</v>
      </c>
      <c r="U2704">
        <v>-66.5</v>
      </c>
    </row>
    <row r="2705" spans="1:21">
      <c r="A2705" t="s">
        <v>151</v>
      </c>
      <c r="B2705">
        <v>2000</v>
      </c>
      <c r="C2705">
        <v>207755.62</v>
      </c>
      <c r="D2705">
        <v>28660</v>
      </c>
      <c r="E2705">
        <v>8.59</v>
      </c>
      <c r="F2705">
        <v>0</v>
      </c>
      <c r="G2705">
        <v>0</v>
      </c>
      <c r="H2705">
        <v>0</v>
      </c>
      <c r="I2705">
        <v>0</v>
      </c>
      <c r="J2705">
        <v>0.08</v>
      </c>
      <c r="K2705">
        <v>248</v>
      </c>
      <c r="L2705">
        <v>100</v>
      </c>
      <c r="M2705">
        <v>100</v>
      </c>
      <c r="N2705">
        <v>0</v>
      </c>
      <c r="Q2705">
        <v>29976.16763</v>
      </c>
      <c r="R2705">
        <v>8.92</v>
      </c>
      <c r="S2705">
        <v>11586</v>
      </c>
      <c r="T2705">
        <v>25.354825999999999</v>
      </c>
      <c r="U2705">
        <v>51.183883999999999</v>
      </c>
    </row>
    <row r="2706" spans="1:21">
      <c r="A2706" t="s">
        <v>151</v>
      </c>
      <c r="B2706">
        <v>2001</v>
      </c>
      <c r="C2706">
        <v>189988.27</v>
      </c>
      <c r="D2706">
        <v>28650</v>
      </c>
      <c r="E2706">
        <v>9.35</v>
      </c>
      <c r="F2706">
        <v>0</v>
      </c>
      <c r="G2706">
        <v>0</v>
      </c>
      <c r="H2706">
        <v>0</v>
      </c>
      <c r="I2706">
        <v>0</v>
      </c>
      <c r="J2706">
        <v>0.14000000000000001</v>
      </c>
      <c r="K2706">
        <v>248</v>
      </c>
      <c r="L2706">
        <v>100</v>
      </c>
      <c r="M2706">
        <v>100</v>
      </c>
      <c r="N2706">
        <v>0</v>
      </c>
      <c r="P2706">
        <v>3.8981866620000001</v>
      </c>
      <c r="Q2706">
        <v>28517.220840000002</v>
      </c>
      <c r="R2706">
        <v>9.49</v>
      </c>
      <c r="S2706">
        <v>11586</v>
      </c>
      <c r="T2706">
        <v>25.354825999999999</v>
      </c>
      <c r="U2706">
        <v>51.183883999999999</v>
      </c>
    </row>
    <row r="2707" spans="1:21">
      <c r="A2707" t="s">
        <v>151</v>
      </c>
      <c r="B2707">
        <v>2002</v>
      </c>
      <c r="C2707">
        <v>199143.97</v>
      </c>
      <c r="D2707">
        <v>32500</v>
      </c>
      <c r="E2707">
        <v>10.28</v>
      </c>
      <c r="F2707">
        <v>0</v>
      </c>
      <c r="G2707">
        <v>0</v>
      </c>
      <c r="H2707">
        <v>0</v>
      </c>
      <c r="I2707">
        <v>0</v>
      </c>
      <c r="J2707">
        <v>7.0000000000000007E-2</v>
      </c>
      <c r="K2707">
        <v>248</v>
      </c>
      <c r="L2707">
        <v>100</v>
      </c>
      <c r="M2707">
        <v>100</v>
      </c>
      <c r="N2707">
        <v>0</v>
      </c>
      <c r="P2707">
        <v>7.1821516799999996</v>
      </c>
      <c r="Q2707">
        <v>30214.670419999999</v>
      </c>
      <c r="R2707">
        <v>10.01</v>
      </c>
      <c r="S2707">
        <v>11586</v>
      </c>
      <c r="T2707">
        <v>25.354825999999999</v>
      </c>
      <c r="U2707">
        <v>51.183883999999999</v>
      </c>
    </row>
    <row r="2708" spans="1:21">
      <c r="A2708" t="s">
        <v>151</v>
      </c>
      <c r="B2708">
        <v>2003</v>
      </c>
      <c r="C2708">
        <v>217673.23</v>
      </c>
      <c r="D2708">
        <v>34740.001680000001</v>
      </c>
      <c r="E2708">
        <v>11.29</v>
      </c>
      <c r="F2708">
        <v>0</v>
      </c>
      <c r="G2708">
        <v>0</v>
      </c>
      <c r="H2708">
        <v>0</v>
      </c>
      <c r="I2708">
        <v>0</v>
      </c>
      <c r="J2708">
        <v>0.05</v>
      </c>
      <c r="K2708">
        <v>248</v>
      </c>
      <c r="L2708">
        <v>100</v>
      </c>
      <c r="M2708">
        <v>100</v>
      </c>
      <c r="N2708">
        <v>0</v>
      </c>
      <c r="P2708">
        <v>3.7199586770000002</v>
      </c>
      <c r="Q2708">
        <v>34517.603210000001</v>
      </c>
      <c r="R2708">
        <v>9.99</v>
      </c>
      <c r="S2708">
        <v>11586</v>
      </c>
      <c r="T2708">
        <v>25.354825999999999</v>
      </c>
      <c r="U2708">
        <v>51.183883999999999</v>
      </c>
    </row>
    <row r="2709" spans="1:21">
      <c r="A2709" t="s">
        <v>151</v>
      </c>
      <c r="B2709">
        <v>2004</v>
      </c>
      <c r="C2709">
        <v>253062.6</v>
      </c>
      <c r="D2709">
        <v>37069.999689999997</v>
      </c>
      <c r="E2709">
        <v>12.44</v>
      </c>
      <c r="F2709">
        <v>0</v>
      </c>
      <c r="G2709">
        <v>0</v>
      </c>
      <c r="H2709">
        <v>0</v>
      </c>
      <c r="I2709">
        <v>0</v>
      </c>
      <c r="J2709">
        <v>0.03</v>
      </c>
      <c r="K2709">
        <v>248</v>
      </c>
      <c r="L2709">
        <v>100</v>
      </c>
      <c r="M2709">
        <v>100</v>
      </c>
      <c r="N2709">
        <v>0</v>
      </c>
      <c r="P2709">
        <v>19.218915339999999</v>
      </c>
      <c r="Q2709">
        <v>42124.940840000003</v>
      </c>
      <c r="R2709">
        <v>9.8800000000000008</v>
      </c>
      <c r="S2709">
        <v>11586</v>
      </c>
      <c r="T2709">
        <v>25.354825999999999</v>
      </c>
      <c r="U2709">
        <v>51.183883999999999</v>
      </c>
    </row>
    <row r="2710" spans="1:21">
      <c r="A2710" t="s">
        <v>151</v>
      </c>
      <c r="B2710">
        <v>2005</v>
      </c>
      <c r="C2710">
        <v>262585.7</v>
      </c>
      <c r="D2710">
        <v>38540.000919999999</v>
      </c>
      <c r="E2710">
        <v>13.53</v>
      </c>
      <c r="F2710">
        <v>0</v>
      </c>
      <c r="G2710">
        <v>0</v>
      </c>
      <c r="H2710">
        <v>0</v>
      </c>
      <c r="I2710">
        <v>0</v>
      </c>
      <c r="J2710">
        <v>0.03</v>
      </c>
      <c r="K2710">
        <v>248</v>
      </c>
      <c r="L2710">
        <v>100</v>
      </c>
      <c r="M2710">
        <v>100</v>
      </c>
      <c r="N2710">
        <v>0</v>
      </c>
      <c r="P2710">
        <v>7.4927584830000002</v>
      </c>
      <c r="Q2710">
        <v>51455.950940000002</v>
      </c>
      <c r="R2710">
        <v>9.19</v>
      </c>
      <c r="S2710">
        <v>11586</v>
      </c>
      <c r="T2710">
        <v>25.354825999999999</v>
      </c>
      <c r="U2710">
        <v>51.183883999999999</v>
      </c>
    </row>
    <row r="2711" spans="1:21">
      <c r="A2711" t="s">
        <v>151</v>
      </c>
      <c r="B2711">
        <v>2006</v>
      </c>
      <c r="C2711">
        <v>230796</v>
      </c>
      <c r="D2711">
        <v>43770.000460000003</v>
      </c>
      <c r="E2711">
        <v>16.059999999999999</v>
      </c>
      <c r="F2711">
        <v>0</v>
      </c>
      <c r="G2711">
        <v>0</v>
      </c>
      <c r="H2711">
        <v>0</v>
      </c>
      <c r="I2711">
        <v>0</v>
      </c>
      <c r="J2711">
        <v>0.1</v>
      </c>
      <c r="K2711">
        <v>248</v>
      </c>
      <c r="L2711">
        <v>100</v>
      </c>
      <c r="M2711">
        <v>100</v>
      </c>
      <c r="N2711">
        <v>0</v>
      </c>
      <c r="P2711">
        <v>26.17024567</v>
      </c>
      <c r="Q2711">
        <v>59530.561000000002</v>
      </c>
      <c r="R2711">
        <v>8.56</v>
      </c>
      <c r="S2711">
        <v>11586</v>
      </c>
      <c r="T2711">
        <v>25.354825999999999</v>
      </c>
      <c r="U2711">
        <v>51.183883999999999</v>
      </c>
    </row>
    <row r="2712" spans="1:21">
      <c r="A2712" t="s">
        <v>151</v>
      </c>
      <c r="B2712">
        <v>2007</v>
      </c>
      <c r="C2712">
        <v>207280.52</v>
      </c>
      <c r="D2712">
        <v>49830.001830000001</v>
      </c>
      <c r="E2712">
        <v>18.29</v>
      </c>
      <c r="F2712">
        <v>0</v>
      </c>
      <c r="G2712">
        <v>0</v>
      </c>
      <c r="H2712">
        <v>0</v>
      </c>
      <c r="I2712">
        <v>0</v>
      </c>
      <c r="J2712">
        <v>7.0000000000000007E-2</v>
      </c>
      <c r="K2712">
        <v>248</v>
      </c>
      <c r="L2712">
        <v>100</v>
      </c>
      <c r="M2712">
        <v>100</v>
      </c>
      <c r="N2712">
        <v>0</v>
      </c>
      <c r="P2712">
        <v>17.985656819999999</v>
      </c>
      <c r="Q2712">
        <v>65421.376920000002</v>
      </c>
      <c r="R2712">
        <v>8.1999999999999993</v>
      </c>
      <c r="S2712">
        <v>11586</v>
      </c>
      <c r="T2712">
        <v>25.354825999999999</v>
      </c>
      <c r="U2712">
        <v>51.183883999999999</v>
      </c>
    </row>
    <row r="2713" spans="1:21">
      <c r="A2713" t="s">
        <v>151</v>
      </c>
      <c r="B2713">
        <v>2008</v>
      </c>
      <c r="C2713">
        <v>196001</v>
      </c>
      <c r="D2713">
        <v>53040.000919999999</v>
      </c>
      <c r="E2713">
        <v>20.32</v>
      </c>
      <c r="F2713">
        <v>0</v>
      </c>
      <c r="G2713">
        <v>0</v>
      </c>
      <c r="H2713">
        <v>0</v>
      </c>
      <c r="I2713">
        <v>0</v>
      </c>
      <c r="J2713">
        <v>0.11</v>
      </c>
      <c r="K2713">
        <v>248</v>
      </c>
      <c r="L2713">
        <v>100</v>
      </c>
      <c r="M2713">
        <v>100</v>
      </c>
      <c r="N2713">
        <v>0</v>
      </c>
      <c r="P2713">
        <v>17.663556360000001</v>
      </c>
      <c r="Q2713">
        <v>80234.190830000007</v>
      </c>
      <c r="R2713">
        <v>7.16</v>
      </c>
      <c r="S2713">
        <v>11586</v>
      </c>
      <c r="T2713">
        <v>25.354825999999999</v>
      </c>
      <c r="U2713">
        <v>51.183883999999999</v>
      </c>
    </row>
    <row r="2714" spans="1:21">
      <c r="A2714" t="s">
        <v>151</v>
      </c>
      <c r="B2714">
        <v>2009</v>
      </c>
      <c r="C2714">
        <v>178237.72</v>
      </c>
      <c r="D2714">
        <v>54069.999689999997</v>
      </c>
      <c r="E2714">
        <v>22.71</v>
      </c>
      <c r="F2714">
        <v>0</v>
      </c>
      <c r="G2714">
        <v>0</v>
      </c>
      <c r="H2714">
        <v>0</v>
      </c>
      <c r="I2714">
        <v>0</v>
      </c>
      <c r="J2714">
        <v>0.08</v>
      </c>
      <c r="K2714">
        <v>248</v>
      </c>
      <c r="L2714">
        <v>100</v>
      </c>
      <c r="M2714">
        <v>100</v>
      </c>
      <c r="N2714">
        <v>0</v>
      </c>
      <c r="P2714">
        <v>11.956561130000001</v>
      </c>
      <c r="Q2714">
        <v>59094.659180000002</v>
      </c>
      <c r="R2714">
        <v>6.82</v>
      </c>
      <c r="S2714">
        <v>11586</v>
      </c>
      <c r="T2714">
        <v>25.354825999999999</v>
      </c>
      <c r="U2714">
        <v>51.183883999999999</v>
      </c>
    </row>
    <row r="2715" spans="1:21">
      <c r="A2715" t="s">
        <v>151</v>
      </c>
      <c r="B2715">
        <v>2010</v>
      </c>
      <c r="C2715">
        <v>194843.92</v>
      </c>
      <c r="D2715">
        <v>60580.001830000001</v>
      </c>
      <c r="E2715">
        <v>26.46</v>
      </c>
      <c r="F2715">
        <v>0</v>
      </c>
      <c r="G2715">
        <v>0</v>
      </c>
      <c r="H2715">
        <v>0</v>
      </c>
      <c r="I2715">
        <v>0</v>
      </c>
      <c r="J2715">
        <v>0.13</v>
      </c>
      <c r="K2715">
        <v>248</v>
      </c>
      <c r="L2715">
        <v>100</v>
      </c>
      <c r="M2715">
        <v>100</v>
      </c>
      <c r="N2715">
        <v>0</v>
      </c>
      <c r="P2715">
        <v>19.592331529999999</v>
      </c>
      <c r="Q2715">
        <v>67403.087679999997</v>
      </c>
      <c r="R2715">
        <v>6.38</v>
      </c>
      <c r="S2715">
        <v>11586</v>
      </c>
      <c r="T2715">
        <v>25.354825999999999</v>
      </c>
      <c r="U2715">
        <v>51.183883999999999</v>
      </c>
    </row>
    <row r="2716" spans="1:21">
      <c r="A2716" t="s">
        <v>151</v>
      </c>
      <c r="B2716">
        <v>2011</v>
      </c>
      <c r="C2716">
        <v>216384.27</v>
      </c>
      <c r="D2716">
        <v>68190.002439999997</v>
      </c>
      <c r="E2716">
        <v>28.87</v>
      </c>
      <c r="F2716">
        <v>0</v>
      </c>
      <c r="G2716">
        <v>0.01</v>
      </c>
      <c r="H2716">
        <v>3.4626039999999997E-2</v>
      </c>
      <c r="I2716">
        <v>18.989999999999998</v>
      </c>
      <c r="J2716">
        <v>0.15</v>
      </c>
      <c r="K2716">
        <v>248</v>
      </c>
      <c r="L2716">
        <v>100</v>
      </c>
      <c r="M2716">
        <v>100</v>
      </c>
      <c r="N2716">
        <v>9.4600409999999996E-2</v>
      </c>
      <c r="P2716">
        <v>13.37517641</v>
      </c>
      <c r="Q2716">
        <v>82409.941649999993</v>
      </c>
      <c r="R2716">
        <v>5.3</v>
      </c>
      <c r="S2716">
        <v>11586</v>
      </c>
      <c r="T2716">
        <v>25.354825999999999</v>
      </c>
      <c r="U2716">
        <v>51.183883999999999</v>
      </c>
    </row>
    <row r="2717" spans="1:21">
      <c r="A2717" t="s">
        <v>151</v>
      </c>
      <c r="B2717">
        <v>2012</v>
      </c>
      <c r="C2717">
        <v>232316.58</v>
      </c>
      <c r="D2717">
        <v>75080.001829999994</v>
      </c>
      <c r="E2717">
        <v>32.700000000000003</v>
      </c>
      <c r="F2717">
        <v>0</v>
      </c>
      <c r="G2717">
        <v>0.01</v>
      </c>
      <c r="H2717">
        <v>3.0571692000000001E-2</v>
      </c>
      <c r="I2717">
        <v>17.61</v>
      </c>
      <c r="J2717">
        <v>0.04</v>
      </c>
      <c r="K2717">
        <v>248</v>
      </c>
      <c r="L2717">
        <v>100</v>
      </c>
      <c r="M2717">
        <v>100</v>
      </c>
      <c r="N2717">
        <v>8.3422070000000001E-2</v>
      </c>
      <c r="P2717">
        <v>4.7300118439999999</v>
      </c>
      <c r="Q2717">
        <v>85075.986539999998</v>
      </c>
      <c r="R2717">
        <v>6.97</v>
      </c>
      <c r="S2717">
        <v>11586</v>
      </c>
      <c r="T2717">
        <v>25.354825999999999</v>
      </c>
      <c r="U2717">
        <v>51.183883999999999</v>
      </c>
    </row>
    <row r="2718" spans="1:21">
      <c r="A2718" t="s">
        <v>151</v>
      </c>
      <c r="B2718">
        <v>2013</v>
      </c>
      <c r="C2718">
        <v>236185.81</v>
      </c>
      <c r="D2718">
        <v>76169.998170000006</v>
      </c>
      <c r="E2718">
        <v>32.65</v>
      </c>
      <c r="F2718">
        <v>0</v>
      </c>
      <c r="G2718">
        <v>0.01</v>
      </c>
      <c r="H2718">
        <v>3.0618494E-2</v>
      </c>
      <c r="I2718">
        <v>17.239999999999998</v>
      </c>
      <c r="J2718">
        <v>0.04</v>
      </c>
      <c r="K2718">
        <v>248</v>
      </c>
      <c r="L2718">
        <v>100</v>
      </c>
      <c r="M2718">
        <v>100</v>
      </c>
      <c r="N2718">
        <v>7.8361990000000006E-2</v>
      </c>
      <c r="P2718">
        <v>5.5560406430000002</v>
      </c>
      <c r="Q2718">
        <v>85050.684340000007</v>
      </c>
      <c r="R2718">
        <v>7.05</v>
      </c>
      <c r="S2718">
        <v>11586</v>
      </c>
      <c r="T2718">
        <v>25.354825999999999</v>
      </c>
      <c r="U2718">
        <v>51.183883999999999</v>
      </c>
    </row>
    <row r="2719" spans="1:21">
      <c r="A2719" t="s">
        <v>151</v>
      </c>
      <c r="B2719">
        <v>2014</v>
      </c>
      <c r="C2719">
        <v>234538.38</v>
      </c>
      <c r="D2719">
        <v>81660.003660000002</v>
      </c>
      <c r="E2719">
        <v>36.46</v>
      </c>
      <c r="F2719">
        <v>0</v>
      </c>
      <c r="G2719">
        <v>0.02</v>
      </c>
      <c r="H2719">
        <v>5.4824560000000001E-2</v>
      </c>
      <c r="I2719">
        <v>17.07</v>
      </c>
      <c r="J2719">
        <v>0.05</v>
      </c>
      <c r="K2719">
        <v>248</v>
      </c>
      <c r="L2719">
        <v>100</v>
      </c>
      <c r="M2719">
        <v>100</v>
      </c>
      <c r="N2719">
        <v>7.3975669999999993E-2</v>
      </c>
      <c r="P2719">
        <v>5.3343232919999997</v>
      </c>
      <c r="Q2719">
        <v>83858.340460000007</v>
      </c>
      <c r="R2719">
        <v>6.6</v>
      </c>
      <c r="S2719">
        <v>11586</v>
      </c>
      <c r="T2719">
        <v>25.354825999999999</v>
      </c>
      <c r="U2719">
        <v>51.183883999999999</v>
      </c>
    </row>
    <row r="2720" spans="1:21">
      <c r="A2720" t="s">
        <v>151</v>
      </c>
      <c r="B2720">
        <v>2015</v>
      </c>
      <c r="C2720">
        <v>245271.83</v>
      </c>
      <c r="D2720">
        <v>84779.998779999994</v>
      </c>
      <c r="E2720">
        <v>39.11</v>
      </c>
      <c r="F2720">
        <v>0</v>
      </c>
      <c r="G2720">
        <v>0.03</v>
      </c>
      <c r="H2720">
        <v>7.6647930000000003E-2</v>
      </c>
      <c r="I2720">
        <v>16.36</v>
      </c>
      <c r="J2720">
        <v>0.05</v>
      </c>
      <c r="K2720">
        <v>248</v>
      </c>
      <c r="L2720">
        <v>100</v>
      </c>
      <c r="M2720">
        <v>100</v>
      </c>
      <c r="N2720">
        <v>6.486393E-2</v>
      </c>
      <c r="P2720">
        <v>4.7533457239999999</v>
      </c>
      <c r="Q2720">
        <v>63039.112630000003</v>
      </c>
      <c r="R2720">
        <v>6.32</v>
      </c>
      <c r="S2720">
        <v>11586</v>
      </c>
      <c r="T2720">
        <v>25.354825999999999</v>
      </c>
      <c r="U2720">
        <v>51.183883999999999</v>
      </c>
    </row>
    <row r="2721" spans="1:21">
      <c r="A2721" t="s">
        <v>151</v>
      </c>
      <c r="B2721">
        <v>2016</v>
      </c>
      <c r="C2721">
        <v>223248.58</v>
      </c>
      <c r="D2721">
        <v>86919.998170000006</v>
      </c>
      <c r="E2721">
        <v>39.880000000000003</v>
      </c>
      <c r="F2721">
        <v>0</v>
      </c>
      <c r="G2721">
        <v>0.03</v>
      </c>
      <c r="H2721">
        <v>7.5169130000000001E-2</v>
      </c>
      <c r="I2721">
        <v>16.239999999999998</v>
      </c>
      <c r="J2721">
        <v>0.06</v>
      </c>
      <c r="K2721">
        <v>248</v>
      </c>
      <c r="L2721">
        <v>100</v>
      </c>
      <c r="M2721">
        <v>100</v>
      </c>
      <c r="N2721">
        <v>6.7143969999999997E-2</v>
      </c>
      <c r="P2721">
        <v>3.064191884</v>
      </c>
      <c r="Q2721">
        <v>57162.968009999997</v>
      </c>
      <c r="R2721">
        <v>5.88</v>
      </c>
      <c r="S2721">
        <v>11586</v>
      </c>
      <c r="T2721">
        <v>25.354825999999999</v>
      </c>
      <c r="U2721">
        <v>51.183883999999999</v>
      </c>
    </row>
    <row r="2722" spans="1:21">
      <c r="A2722" t="s">
        <v>151</v>
      </c>
      <c r="B2722">
        <v>2017</v>
      </c>
      <c r="C2722">
        <v>206889.17</v>
      </c>
      <c r="D2722">
        <v>87540.000920000006</v>
      </c>
      <c r="E2722">
        <v>42.94</v>
      </c>
      <c r="F2722">
        <v>0</v>
      </c>
      <c r="G2722">
        <v>0.03</v>
      </c>
      <c r="H2722">
        <v>6.9816149999999993E-2</v>
      </c>
      <c r="I2722">
        <v>15.82</v>
      </c>
      <c r="J2722">
        <v>7.0000000000000007E-2</v>
      </c>
      <c r="K2722">
        <v>248</v>
      </c>
      <c r="L2722">
        <v>100</v>
      </c>
      <c r="M2722">
        <v>100</v>
      </c>
      <c r="N2722">
        <v>6.9316009999999997E-2</v>
      </c>
      <c r="P2722">
        <v>-1.4976047020000001</v>
      </c>
      <c r="Q2722">
        <v>59124.867270000002</v>
      </c>
      <c r="R2722">
        <v>6.8</v>
      </c>
      <c r="S2722">
        <v>11586</v>
      </c>
      <c r="T2722">
        <v>25.354825999999999</v>
      </c>
      <c r="U2722">
        <v>51.183883999999999</v>
      </c>
    </row>
    <row r="2723" spans="1:21">
      <c r="A2723" t="s">
        <v>151</v>
      </c>
      <c r="B2723">
        <v>2018</v>
      </c>
      <c r="C2723">
        <v>202570.3</v>
      </c>
      <c r="D2723">
        <v>86419.998170000006</v>
      </c>
      <c r="E2723">
        <v>45.16</v>
      </c>
      <c r="F2723">
        <v>0</v>
      </c>
      <c r="G2723">
        <v>0.02</v>
      </c>
      <c r="H2723">
        <v>4.4267374999999998E-2</v>
      </c>
      <c r="I2723">
        <v>15.49</v>
      </c>
      <c r="J2723">
        <v>0.05</v>
      </c>
      <c r="K2723">
        <v>248</v>
      </c>
      <c r="L2723">
        <v>100</v>
      </c>
      <c r="M2723">
        <v>100</v>
      </c>
      <c r="N2723">
        <v>6.9368139999999995E-2</v>
      </c>
      <c r="P2723">
        <v>1.234872202</v>
      </c>
      <c r="Q2723">
        <v>65907.948439999993</v>
      </c>
      <c r="R2723">
        <v>6.46</v>
      </c>
      <c r="S2723">
        <v>11586</v>
      </c>
      <c r="T2723">
        <v>25.354825999999999</v>
      </c>
      <c r="U2723">
        <v>51.183883999999999</v>
      </c>
    </row>
    <row r="2724" spans="1:21">
      <c r="A2724" t="s">
        <v>151</v>
      </c>
      <c r="B2724">
        <v>2019</v>
      </c>
      <c r="C2724">
        <v>208021.3</v>
      </c>
      <c r="D2724">
        <v>91970.001220000006</v>
      </c>
      <c r="E2724">
        <v>46.98</v>
      </c>
      <c r="F2724">
        <v>0</v>
      </c>
      <c r="G2724">
        <v>0.03</v>
      </c>
      <c r="H2724">
        <v>6.3816209999999998E-2</v>
      </c>
      <c r="I2724">
        <v>15.22</v>
      </c>
      <c r="J2724">
        <v>0.04</v>
      </c>
      <c r="K2724">
        <v>248</v>
      </c>
      <c r="L2724">
        <v>100</v>
      </c>
      <c r="M2724">
        <v>100</v>
      </c>
      <c r="N2724">
        <v>6.641917E-2</v>
      </c>
      <c r="P2724">
        <v>0.68824096000000001</v>
      </c>
      <c r="Q2724">
        <v>62276.428690000001</v>
      </c>
      <c r="R2724">
        <v>6.79</v>
      </c>
      <c r="S2724">
        <v>11586</v>
      </c>
      <c r="T2724">
        <v>25.354825999999999</v>
      </c>
      <c r="U2724">
        <v>51.183883999999999</v>
      </c>
    </row>
    <row r="2725" spans="1:21">
      <c r="A2725" t="s">
        <v>151</v>
      </c>
      <c r="B2725">
        <v>2020</v>
      </c>
      <c r="C2725">
        <v>184074.56</v>
      </c>
      <c r="E2725">
        <v>44.63</v>
      </c>
      <c r="F2725">
        <v>0</v>
      </c>
      <c r="G2725">
        <v>0.02</v>
      </c>
      <c r="H2725">
        <v>4.4792829999999999E-2</v>
      </c>
      <c r="I2725">
        <v>14.96</v>
      </c>
      <c r="K2725">
        <v>248</v>
      </c>
      <c r="L2725">
        <v>100</v>
      </c>
      <c r="M2725">
        <v>100</v>
      </c>
      <c r="N2725">
        <v>7.5696630000000001E-2</v>
      </c>
      <c r="P2725">
        <v>-3.5576039989999999</v>
      </c>
      <c r="Q2725">
        <v>50124.38594</v>
      </c>
      <c r="S2725">
        <v>11586</v>
      </c>
      <c r="T2725">
        <v>25.354825999999999</v>
      </c>
      <c r="U2725">
        <v>51.183883999999999</v>
      </c>
    </row>
    <row r="2726" spans="1:21">
      <c r="A2726" t="s">
        <v>152</v>
      </c>
      <c r="B2726">
        <v>2000</v>
      </c>
      <c r="C2726">
        <v>19175.828000000001</v>
      </c>
      <c r="D2726">
        <v>89020</v>
      </c>
      <c r="E2726">
        <v>31.32</v>
      </c>
      <c r="F2726">
        <v>5.46</v>
      </c>
      <c r="G2726">
        <v>14.78</v>
      </c>
      <c r="H2726">
        <v>39.255234000000002</v>
      </c>
      <c r="J2726">
        <v>16.37</v>
      </c>
      <c r="K2726">
        <v>84</v>
      </c>
      <c r="L2726">
        <v>100</v>
      </c>
      <c r="M2726">
        <v>72.400000000000006</v>
      </c>
      <c r="N2726">
        <v>10.396162</v>
      </c>
      <c r="P2726">
        <v>2.461263459</v>
      </c>
      <c r="Q2726">
        <v>1659.9076399999999</v>
      </c>
      <c r="R2726">
        <v>5.58</v>
      </c>
      <c r="S2726">
        <v>238391</v>
      </c>
      <c r="T2726">
        <v>45.943161000000003</v>
      </c>
      <c r="U2726">
        <v>24.966760000000001</v>
      </c>
    </row>
    <row r="2727" spans="1:21">
      <c r="A2727" t="s">
        <v>152</v>
      </c>
      <c r="B2727">
        <v>2001</v>
      </c>
      <c r="C2727">
        <v>19502.388999999999</v>
      </c>
      <c r="D2727">
        <v>95230</v>
      </c>
      <c r="E2727">
        <v>33.18</v>
      </c>
      <c r="F2727">
        <v>5.45</v>
      </c>
      <c r="G2727">
        <v>14.92</v>
      </c>
      <c r="H2727">
        <v>38.03922</v>
      </c>
      <c r="J2727">
        <v>13.39</v>
      </c>
      <c r="K2727">
        <v>84</v>
      </c>
      <c r="L2727">
        <v>100</v>
      </c>
      <c r="M2727">
        <v>73.400000000000006</v>
      </c>
      <c r="N2727">
        <v>10.312889</v>
      </c>
      <c r="P2727">
        <v>5.2181362570000003</v>
      </c>
      <c r="Q2727">
        <v>1825.179805</v>
      </c>
      <c r="R2727">
        <v>5.4</v>
      </c>
      <c r="S2727">
        <v>238391</v>
      </c>
      <c r="T2727">
        <v>45.943161000000003</v>
      </c>
      <c r="U2727">
        <v>24.966760000000001</v>
      </c>
    </row>
    <row r="2728" spans="1:21">
      <c r="A2728" t="s">
        <v>152</v>
      </c>
      <c r="B2728">
        <v>2002</v>
      </c>
      <c r="C2728">
        <v>20380.363000000001</v>
      </c>
      <c r="D2728">
        <v>93739.997860000003</v>
      </c>
      <c r="E2728">
        <v>32.86</v>
      </c>
      <c r="F2728">
        <v>5.51</v>
      </c>
      <c r="G2728">
        <v>16.05</v>
      </c>
      <c r="H2728">
        <v>39.617789999999999</v>
      </c>
      <c r="J2728">
        <v>14.4</v>
      </c>
      <c r="K2728">
        <v>84</v>
      </c>
      <c r="L2728">
        <v>100</v>
      </c>
      <c r="M2728">
        <v>74.2</v>
      </c>
      <c r="N2728">
        <v>10.615109</v>
      </c>
      <c r="P2728">
        <v>5.7029916500000004</v>
      </c>
      <c r="Q2728">
        <v>2119.8826730000001</v>
      </c>
      <c r="R2728">
        <v>5.28</v>
      </c>
      <c r="S2728">
        <v>238391</v>
      </c>
      <c r="T2728">
        <v>45.943161000000003</v>
      </c>
      <c r="U2728">
        <v>24.966760000000001</v>
      </c>
    </row>
    <row r="2729" spans="1:21">
      <c r="A2729" t="s">
        <v>152</v>
      </c>
      <c r="B2729">
        <v>2003</v>
      </c>
      <c r="C2729">
        <v>20540.846000000001</v>
      </c>
      <c r="D2729">
        <v>98139.999389999997</v>
      </c>
      <c r="E2729">
        <v>36.67</v>
      </c>
      <c r="F2729">
        <v>4.91</v>
      </c>
      <c r="G2729">
        <v>13.26</v>
      </c>
      <c r="H2729">
        <v>33.132750000000001</v>
      </c>
      <c r="J2729">
        <v>15.67</v>
      </c>
      <c r="K2729">
        <v>84</v>
      </c>
      <c r="L2729">
        <v>100</v>
      </c>
      <c r="M2729">
        <v>75.599999999999994</v>
      </c>
      <c r="N2729">
        <v>8.7167829999999995</v>
      </c>
      <c r="P2729">
        <v>2.341147329</v>
      </c>
      <c r="Q2729">
        <v>2679.4119099999998</v>
      </c>
      <c r="R2729">
        <v>5.38</v>
      </c>
      <c r="S2729">
        <v>238391</v>
      </c>
      <c r="T2729">
        <v>45.943161000000003</v>
      </c>
      <c r="U2729">
        <v>24.966760000000001</v>
      </c>
    </row>
    <row r="2730" spans="1:21">
      <c r="A2730" t="s">
        <v>152</v>
      </c>
      <c r="B2730">
        <v>2004</v>
      </c>
      <c r="C2730">
        <v>21481.434000000001</v>
      </c>
      <c r="D2730">
        <v>95349.998470000006</v>
      </c>
      <c r="E2730">
        <v>34.43</v>
      </c>
      <c r="F2730">
        <v>5.55</v>
      </c>
      <c r="G2730">
        <v>16.510000000000002</v>
      </c>
      <c r="H2730">
        <v>39.051160000000003</v>
      </c>
      <c r="J2730">
        <v>17.28</v>
      </c>
      <c r="K2730">
        <v>84</v>
      </c>
      <c r="L2730">
        <v>100</v>
      </c>
      <c r="M2730">
        <v>77</v>
      </c>
      <c r="N2730">
        <v>10.407817</v>
      </c>
      <c r="P2730">
        <v>10.42811302</v>
      </c>
      <c r="Q2730">
        <v>3494.9445169999999</v>
      </c>
      <c r="R2730">
        <v>4.74</v>
      </c>
      <c r="S2730">
        <v>238391</v>
      </c>
      <c r="T2730">
        <v>45.943161000000003</v>
      </c>
      <c r="U2730">
        <v>24.966760000000001</v>
      </c>
    </row>
    <row r="2731" spans="1:21">
      <c r="A2731" t="s">
        <v>152</v>
      </c>
      <c r="B2731">
        <v>2005</v>
      </c>
      <c r="C2731">
        <v>21728.15</v>
      </c>
      <c r="D2731">
        <v>94709.999079999994</v>
      </c>
      <c r="E2731">
        <v>33.64</v>
      </c>
      <c r="F2731">
        <v>5.55</v>
      </c>
      <c r="G2731">
        <v>20.22</v>
      </c>
      <c r="H2731">
        <v>43.376536999999999</v>
      </c>
      <c r="J2731">
        <v>18.47</v>
      </c>
      <c r="K2731">
        <v>84</v>
      </c>
      <c r="L2731">
        <v>100</v>
      </c>
      <c r="M2731">
        <v>78</v>
      </c>
      <c r="N2731">
        <v>12.629432</v>
      </c>
      <c r="P2731">
        <v>4.6681480510000002</v>
      </c>
      <c r="Q2731">
        <v>4617.929016</v>
      </c>
      <c r="R2731">
        <v>4.51</v>
      </c>
      <c r="S2731">
        <v>238391</v>
      </c>
      <c r="T2731">
        <v>45.943161000000003</v>
      </c>
      <c r="U2731">
        <v>24.966760000000001</v>
      </c>
    </row>
    <row r="2732" spans="1:21">
      <c r="A2732" t="s">
        <v>152</v>
      </c>
      <c r="B2732">
        <v>2006</v>
      </c>
      <c r="C2732">
        <v>22364.223000000002</v>
      </c>
      <c r="D2732">
        <v>99260.002139999997</v>
      </c>
      <c r="E2732">
        <v>38.71</v>
      </c>
      <c r="F2732">
        <v>5.63</v>
      </c>
      <c r="G2732">
        <v>18.36</v>
      </c>
      <c r="H2732">
        <v>38.261561999999998</v>
      </c>
      <c r="J2732">
        <v>17.39</v>
      </c>
      <c r="K2732">
        <v>84</v>
      </c>
      <c r="L2732">
        <v>100</v>
      </c>
      <c r="M2732">
        <v>79.099999999999994</v>
      </c>
      <c r="N2732">
        <v>11.172654</v>
      </c>
      <c r="P2732">
        <v>8.0288110760000002</v>
      </c>
      <c r="Q2732">
        <v>5757.4964289999998</v>
      </c>
      <c r="R2732">
        <v>4.32</v>
      </c>
      <c r="S2732">
        <v>238391</v>
      </c>
      <c r="T2732">
        <v>45.943161000000003</v>
      </c>
      <c r="U2732">
        <v>24.966760000000001</v>
      </c>
    </row>
    <row r="2733" spans="1:21">
      <c r="A2733" t="s">
        <v>152</v>
      </c>
      <c r="B2733">
        <v>2007</v>
      </c>
      <c r="C2733">
        <v>21750.25</v>
      </c>
      <c r="D2733">
        <v>96730.003360000002</v>
      </c>
      <c r="E2733">
        <v>37.96</v>
      </c>
      <c r="F2733">
        <v>7.71</v>
      </c>
      <c r="G2733">
        <v>16.010000000000002</v>
      </c>
      <c r="H2733">
        <v>38.45655</v>
      </c>
      <c r="J2733">
        <v>18.16</v>
      </c>
      <c r="K2733">
        <v>84</v>
      </c>
      <c r="L2733">
        <v>100</v>
      </c>
      <c r="M2733">
        <v>80.2</v>
      </c>
      <c r="N2733">
        <v>10.032531000000001</v>
      </c>
      <c r="P2733">
        <v>7.2338077439999999</v>
      </c>
      <c r="Q2733">
        <v>8360.1663210000006</v>
      </c>
      <c r="R2733">
        <v>4.01</v>
      </c>
      <c r="S2733">
        <v>238391</v>
      </c>
      <c r="T2733">
        <v>45.943161000000003</v>
      </c>
      <c r="U2733">
        <v>24.966760000000001</v>
      </c>
    </row>
    <row r="2734" spans="1:21">
      <c r="A2734" t="s">
        <v>152</v>
      </c>
      <c r="B2734">
        <v>2008</v>
      </c>
      <c r="C2734">
        <v>21966.107</v>
      </c>
      <c r="D2734">
        <v>95419.998170000006</v>
      </c>
      <c r="E2734">
        <v>36.5</v>
      </c>
      <c r="F2734">
        <v>11.23</v>
      </c>
      <c r="G2734">
        <v>17.22</v>
      </c>
      <c r="H2734">
        <v>43.802930000000003</v>
      </c>
      <c r="J2734">
        <v>20.399999999999999</v>
      </c>
      <c r="K2734">
        <v>84</v>
      </c>
      <c r="L2734">
        <v>100</v>
      </c>
      <c r="M2734">
        <v>81.5</v>
      </c>
      <c r="N2734">
        <v>10.699506</v>
      </c>
      <c r="P2734">
        <v>9.3074671710000008</v>
      </c>
      <c r="Q2734">
        <v>10435.04398</v>
      </c>
      <c r="R2734">
        <v>3.66</v>
      </c>
      <c r="S2734">
        <v>238391</v>
      </c>
      <c r="T2734">
        <v>45.943161000000003</v>
      </c>
      <c r="U2734">
        <v>24.966760000000001</v>
      </c>
    </row>
    <row r="2735" spans="1:21">
      <c r="A2735" t="s">
        <v>152</v>
      </c>
      <c r="B2735">
        <v>2009</v>
      </c>
      <c r="C2735">
        <v>19314.918000000001</v>
      </c>
      <c r="D2735">
        <v>80709.999079999994</v>
      </c>
      <c r="E2735">
        <v>30.43</v>
      </c>
      <c r="F2735">
        <v>11.75</v>
      </c>
      <c r="G2735">
        <v>15.55</v>
      </c>
      <c r="H2735">
        <v>47.289104000000002</v>
      </c>
      <c r="J2735">
        <v>22.14</v>
      </c>
      <c r="K2735">
        <v>84</v>
      </c>
      <c r="L2735">
        <v>100</v>
      </c>
      <c r="M2735">
        <v>82.1</v>
      </c>
      <c r="N2735">
        <v>10.989452</v>
      </c>
      <c r="P2735">
        <v>-5.5173944080000004</v>
      </c>
      <c r="Q2735">
        <v>8548.1186720000005</v>
      </c>
      <c r="R2735">
        <v>3.4</v>
      </c>
      <c r="S2735">
        <v>238391</v>
      </c>
      <c r="T2735">
        <v>45.943161000000003</v>
      </c>
      <c r="U2735">
        <v>24.966760000000001</v>
      </c>
    </row>
    <row r="2736" spans="1:21">
      <c r="A2736" t="s">
        <v>152</v>
      </c>
      <c r="B2736">
        <v>2010</v>
      </c>
      <c r="C2736">
        <v>19617.842000000001</v>
      </c>
      <c r="D2736">
        <v>77620.00275</v>
      </c>
      <c r="E2736">
        <v>28.69</v>
      </c>
      <c r="F2736">
        <v>11.62</v>
      </c>
      <c r="G2736">
        <v>20.3</v>
      </c>
      <c r="H2736">
        <v>52.664577000000001</v>
      </c>
      <c r="J2736">
        <v>24.07</v>
      </c>
      <c r="K2736">
        <v>84</v>
      </c>
      <c r="L2736">
        <v>100</v>
      </c>
      <c r="M2736">
        <v>83.2</v>
      </c>
      <c r="N2736">
        <v>14.136739</v>
      </c>
      <c r="P2736">
        <v>-3.90123628</v>
      </c>
      <c r="Q2736">
        <v>8214.0768929999995</v>
      </c>
      <c r="R2736">
        <v>3.56</v>
      </c>
      <c r="S2736">
        <v>238391</v>
      </c>
      <c r="T2736">
        <v>45.943161000000003</v>
      </c>
      <c r="U2736">
        <v>24.966760000000001</v>
      </c>
    </row>
    <row r="2737" spans="1:21">
      <c r="A2737" t="s">
        <v>152</v>
      </c>
      <c r="B2737">
        <v>2011</v>
      </c>
      <c r="C2737">
        <v>20211.151999999998</v>
      </c>
      <c r="D2737">
        <v>84059.997560000003</v>
      </c>
      <c r="E2737">
        <v>33.93</v>
      </c>
      <c r="F2737">
        <v>11.75</v>
      </c>
      <c r="G2737">
        <v>16.32</v>
      </c>
      <c r="H2737">
        <v>45.274192999999997</v>
      </c>
      <c r="J2737">
        <v>21.09</v>
      </c>
      <c r="K2737">
        <v>84</v>
      </c>
      <c r="L2737">
        <v>100</v>
      </c>
      <c r="M2737">
        <v>84.3</v>
      </c>
      <c r="N2737">
        <v>11.0333395</v>
      </c>
      <c r="P2737">
        <v>1.9060677070000001</v>
      </c>
      <c r="Q2737">
        <v>9099.2175389999993</v>
      </c>
      <c r="R2737">
        <v>3.57</v>
      </c>
      <c r="S2737">
        <v>238391</v>
      </c>
      <c r="T2737">
        <v>45.943161000000003</v>
      </c>
      <c r="U2737">
        <v>24.966760000000001</v>
      </c>
    </row>
    <row r="2738" spans="1:21">
      <c r="A2738" t="s">
        <v>152</v>
      </c>
      <c r="B2738">
        <v>2012</v>
      </c>
      <c r="C2738">
        <v>19514.234</v>
      </c>
      <c r="D2738">
        <v>81849.998470000006</v>
      </c>
      <c r="E2738">
        <v>32.380000000000003</v>
      </c>
      <c r="F2738">
        <v>11.47</v>
      </c>
      <c r="G2738">
        <v>14.93</v>
      </c>
      <c r="H2738">
        <v>44.913240000000002</v>
      </c>
      <c r="J2738">
        <v>21.53</v>
      </c>
      <c r="K2738">
        <v>84</v>
      </c>
      <c r="L2738">
        <v>100</v>
      </c>
      <c r="M2738">
        <v>84.8</v>
      </c>
      <c r="N2738">
        <v>10.439118000000001</v>
      </c>
      <c r="P2738">
        <v>2.0406651309999999</v>
      </c>
      <c r="Q2738">
        <v>8507.1047749999998</v>
      </c>
      <c r="R2738">
        <v>3.41</v>
      </c>
      <c r="S2738">
        <v>238391</v>
      </c>
      <c r="T2738">
        <v>45.943161000000003</v>
      </c>
      <c r="U2738">
        <v>24.966760000000001</v>
      </c>
    </row>
    <row r="2739" spans="1:21">
      <c r="A2739" t="s">
        <v>152</v>
      </c>
      <c r="B2739">
        <v>2013</v>
      </c>
      <c r="C2739">
        <v>18270.228999999999</v>
      </c>
      <c r="D2739">
        <v>72089.996339999998</v>
      </c>
      <c r="E2739">
        <v>26.78</v>
      </c>
      <c r="F2739">
        <v>11.62</v>
      </c>
      <c r="G2739">
        <v>20.149999999999999</v>
      </c>
      <c r="H2739">
        <v>54.261313999999999</v>
      </c>
      <c r="J2739">
        <v>23.07</v>
      </c>
      <c r="K2739">
        <v>84</v>
      </c>
      <c r="L2739">
        <v>100</v>
      </c>
      <c r="M2739">
        <v>85.3</v>
      </c>
      <c r="N2739">
        <v>14.889094</v>
      </c>
      <c r="P2739">
        <v>3.7709623040000002</v>
      </c>
      <c r="Q2739">
        <v>9547.8521509999991</v>
      </c>
      <c r="R2739">
        <v>3</v>
      </c>
      <c r="S2739">
        <v>238391</v>
      </c>
      <c r="T2739">
        <v>45.943161000000003</v>
      </c>
      <c r="U2739">
        <v>24.966760000000001</v>
      </c>
    </row>
    <row r="2740" spans="1:21">
      <c r="A2740" t="s">
        <v>152</v>
      </c>
      <c r="B2740">
        <v>2014</v>
      </c>
      <c r="C2740">
        <v>19029.294999999998</v>
      </c>
      <c r="D2740">
        <v>71540.000920000006</v>
      </c>
      <c r="E2740">
        <v>26.39</v>
      </c>
      <c r="F2740">
        <v>11.68</v>
      </c>
      <c r="G2740">
        <v>27.12</v>
      </c>
      <c r="H2740">
        <v>59.518329999999999</v>
      </c>
      <c r="J2740">
        <v>24.31</v>
      </c>
      <c r="K2740">
        <v>84</v>
      </c>
      <c r="L2740">
        <v>100</v>
      </c>
      <c r="M2740">
        <v>85.8</v>
      </c>
      <c r="N2740">
        <v>17.897145999999999</v>
      </c>
      <c r="P2740">
        <v>3.6087236530000002</v>
      </c>
      <c r="Q2740">
        <v>10043.677449999999</v>
      </c>
      <c r="R2740">
        <v>2.86</v>
      </c>
      <c r="S2740">
        <v>238391</v>
      </c>
      <c r="T2740">
        <v>45.943161000000003</v>
      </c>
      <c r="U2740">
        <v>24.966760000000001</v>
      </c>
    </row>
    <row r="2741" spans="1:21">
      <c r="A2741" t="s">
        <v>152</v>
      </c>
      <c r="B2741">
        <v>2015</v>
      </c>
      <c r="C2741">
        <v>19213.440999999999</v>
      </c>
      <c r="D2741">
        <v>73319.999689999997</v>
      </c>
      <c r="E2741">
        <v>28.09</v>
      </c>
      <c r="F2741">
        <v>11.64</v>
      </c>
      <c r="G2741">
        <v>26.19</v>
      </c>
      <c r="H2741">
        <v>57.387749999999997</v>
      </c>
      <c r="J2741">
        <v>23.67</v>
      </c>
      <c r="K2741">
        <v>84</v>
      </c>
      <c r="L2741">
        <v>100</v>
      </c>
      <c r="M2741">
        <v>86.2</v>
      </c>
      <c r="N2741">
        <v>18.517510999999999</v>
      </c>
      <c r="P2741">
        <v>2.9536740369999999</v>
      </c>
      <c r="Q2741">
        <v>8969.148921</v>
      </c>
      <c r="R2741">
        <v>2.8</v>
      </c>
      <c r="S2741">
        <v>238391</v>
      </c>
      <c r="T2741">
        <v>45.943161000000003</v>
      </c>
      <c r="U2741">
        <v>24.966760000000001</v>
      </c>
    </row>
    <row r="2742" spans="1:21">
      <c r="A2742" t="s">
        <v>152</v>
      </c>
      <c r="B2742">
        <v>2016</v>
      </c>
      <c r="C2742">
        <v>19323.846000000001</v>
      </c>
      <c r="D2742">
        <v>71589.996339999998</v>
      </c>
      <c r="E2742">
        <v>26.33</v>
      </c>
      <c r="F2742">
        <v>11.29</v>
      </c>
      <c r="G2742">
        <v>26.97</v>
      </c>
      <c r="H2742">
        <v>59.235176000000003</v>
      </c>
      <c r="J2742">
        <v>24.4</v>
      </c>
      <c r="K2742">
        <v>84</v>
      </c>
      <c r="L2742">
        <v>99.1</v>
      </c>
      <c r="M2742">
        <v>86.5</v>
      </c>
      <c r="N2742">
        <v>18.943086999999998</v>
      </c>
      <c r="P2742">
        <v>4.7029977470000004</v>
      </c>
      <c r="Q2742">
        <v>9548.5874029999995</v>
      </c>
      <c r="R2742">
        <v>2.67</v>
      </c>
      <c r="S2742">
        <v>238391</v>
      </c>
      <c r="T2742">
        <v>45.943161000000003</v>
      </c>
      <c r="U2742">
        <v>24.966760000000001</v>
      </c>
    </row>
    <row r="2743" spans="1:21">
      <c r="A2743" t="s">
        <v>152</v>
      </c>
      <c r="B2743">
        <v>2017</v>
      </c>
      <c r="C2743">
        <v>19747.190999999999</v>
      </c>
      <c r="D2743">
        <v>74209.999079999994</v>
      </c>
      <c r="E2743">
        <v>28.15</v>
      </c>
      <c r="F2743">
        <v>11.51</v>
      </c>
      <c r="G2743">
        <v>24.29</v>
      </c>
      <c r="H2743">
        <v>55.981236000000003</v>
      </c>
      <c r="J2743">
        <v>23.35</v>
      </c>
      <c r="K2743">
        <v>84</v>
      </c>
      <c r="L2743">
        <v>100</v>
      </c>
      <c r="M2743">
        <v>87.1</v>
      </c>
      <c r="N2743">
        <v>16.684114000000001</v>
      </c>
      <c r="P2743">
        <v>7.3194485289999998</v>
      </c>
      <c r="Q2743">
        <v>10807.009169999999</v>
      </c>
      <c r="R2743">
        <v>2.61</v>
      </c>
      <c r="S2743">
        <v>238391</v>
      </c>
      <c r="T2743">
        <v>45.943161000000003</v>
      </c>
      <c r="U2743">
        <v>24.966760000000001</v>
      </c>
    </row>
    <row r="2744" spans="1:21">
      <c r="A2744" t="s">
        <v>152</v>
      </c>
      <c r="B2744">
        <v>2018</v>
      </c>
      <c r="C2744">
        <v>20218.59</v>
      </c>
      <c r="D2744">
        <v>75190.002439999997</v>
      </c>
      <c r="E2744">
        <v>26.87</v>
      </c>
      <c r="F2744">
        <v>11.38</v>
      </c>
      <c r="G2744">
        <v>26.19</v>
      </c>
      <c r="H2744">
        <v>58.302295999999998</v>
      </c>
      <c r="J2744">
        <v>23.03</v>
      </c>
      <c r="K2744">
        <v>84</v>
      </c>
      <c r="L2744">
        <v>100</v>
      </c>
      <c r="M2744">
        <v>87.1</v>
      </c>
      <c r="N2744">
        <v>17.542227</v>
      </c>
      <c r="P2744">
        <v>4.4745237749999998</v>
      </c>
      <c r="Q2744">
        <v>12398.98198</v>
      </c>
      <c r="R2744">
        <v>2.52</v>
      </c>
      <c r="S2744">
        <v>238391</v>
      </c>
      <c r="T2744">
        <v>45.943161000000003</v>
      </c>
      <c r="U2744">
        <v>24.966760000000001</v>
      </c>
    </row>
    <row r="2745" spans="1:21">
      <c r="A2745" t="s">
        <v>152</v>
      </c>
      <c r="B2745">
        <v>2019</v>
      </c>
      <c r="C2745">
        <v>19839.046999999999</v>
      </c>
      <c r="D2745">
        <v>73949.996950000001</v>
      </c>
      <c r="E2745">
        <v>23.27</v>
      </c>
      <c r="F2745">
        <v>11.28</v>
      </c>
      <c r="G2745">
        <v>24.63</v>
      </c>
      <c r="H2745">
        <v>60.679282999999998</v>
      </c>
      <c r="J2745">
        <v>23.54</v>
      </c>
      <c r="K2745">
        <v>84</v>
      </c>
      <c r="L2745">
        <v>100</v>
      </c>
      <c r="M2745">
        <v>87.7</v>
      </c>
      <c r="N2745">
        <v>16.837948000000001</v>
      </c>
      <c r="P2745">
        <v>4.1882603410000003</v>
      </c>
      <c r="Q2745">
        <v>12899.34611</v>
      </c>
      <c r="R2745">
        <v>2.38</v>
      </c>
      <c r="S2745">
        <v>238391</v>
      </c>
      <c r="T2745">
        <v>45.943161000000003</v>
      </c>
      <c r="U2745">
        <v>24.966760000000001</v>
      </c>
    </row>
    <row r="2746" spans="1:21">
      <c r="A2746" t="s">
        <v>152</v>
      </c>
      <c r="B2746">
        <v>2020</v>
      </c>
      <c r="C2746">
        <v>18998.812000000002</v>
      </c>
      <c r="E2746">
        <v>19.54</v>
      </c>
      <c r="F2746">
        <v>11.47</v>
      </c>
      <c r="G2746">
        <v>24.61</v>
      </c>
      <c r="H2746">
        <v>64.868759999999995</v>
      </c>
      <c r="K2746">
        <v>84</v>
      </c>
      <c r="L2746">
        <v>100</v>
      </c>
      <c r="M2746">
        <v>87.7</v>
      </c>
      <c r="N2746">
        <v>17.579640000000001</v>
      </c>
      <c r="P2746">
        <v>-3.9304540569999999</v>
      </c>
      <c r="Q2746">
        <v>12896.08862</v>
      </c>
      <c r="S2746">
        <v>238391</v>
      </c>
      <c r="T2746">
        <v>45.943161000000003</v>
      </c>
      <c r="U2746">
        <v>24.966760000000001</v>
      </c>
    </row>
    <row r="2747" spans="1:21">
      <c r="A2747" t="s">
        <v>153</v>
      </c>
      <c r="B2747">
        <v>2000</v>
      </c>
      <c r="C2747">
        <v>357.73410000000001</v>
      </c>
      <c r="D2747">
        <v>540</v>
      </c>
      <c r="E2747">
        <v>0</v>
      </c>
      <c r="F2747">
        <v>0</v>
      </c>
      <c r="G2747">
        <v>0.11</v>
      </c>
      <c r="H2747">
        <v>100</v>
      </c>
      <c r="I2747">
        <v>5.18</v>
      </c>
      <c r="J2747">
        <v>86.78</v>
      </c>
      <c r="K2747">
        <v>525</v>
      </c>
      <c r="L2747">
        <v>6.2</v>
      </c>
      <c r="M2747">
        <v>0.2</v>
      </c>
      <c r="O2747">
        <v>150000</v>
      </c>
      <c r="P2747">
        <v>8.37091824</v>
      </c>
      <c r="Q2747">
        <v>260.6011858</v>
      </c>
      <c r="R2747">
        <v>7.8</v>
      </c>
      <c r="S2747">
        <v>26338</v>
      </c>
      <c r="T2747">
        <v>-1.9402779999999999</v>
      </c>
      <c r="U2747">
        <v>29.873888000000001</v>
      </c>
    </row>
    <row r="2748" spans="1:21">
      <c r="A2748" t="s">
        <v>153</v>
      </c>
      <c r="B2748">
        <v>2001</v>
      </c>
      <c r="C2748">
        <v>347.05887000000001</v>
      </c>
      <c r="D2748">
        <v>560</v>
      </c>
      <c r="E2748">
        <v>0</v>
      </c>
      <c r="F2748">
        <v>0</v>
      </c>
      <c r="G2748">
        <v>0.09</v>
      </c>
      <c r="H2748">
        <v>99.999989999999997</v>
      </c>
      <c r="I2748">
        <v>4.99</v>
      </c>
      <c r="J2748">
        <v>86.89</v>
      </c>
      <c r="K2748">
        <v>525</v>
      </c>
      <c r="L2748">
        <v>4.5723159999999998</v>
      </c>
      <c r="M2748">
        <v>0.2</v>
      </c>
      <c r="P2748">
        <v>8.4845641359999995</v>
      </c>
      <c r="Q2748">
        <v>238.7812778</v>
      </c>
      <c r="R2748">
        <v>7.19</v>
      </c>
      <c r="S2748">
        <v>26338</v>
      </c>
      <c r="T2748">
        <v>-1.9402779999999999</v>
      </c>
      <c r="U2748">
        <v>29.873888000000001</v>
      </c>
    </row>
    <row r="2749" spans="1:21">
      <c r="A2749" t="s">
        <v>153</v>
      </c>
      <c r="B2749">
        <v>2002</v>
      </c>
      <c r="C2749">
        <v>348.55500000000001</v>
      </c>
      <c r="D2749">
        <v>560.00000239999997</v>
      </c>
      <c r="E2749">
        <v>0</v>
      </c>
      <c r="F2749">
        <v>0</v>
      </c>
      <c r="G2749">
        <v>0.1</v>
      </c>
      <c r="H2749">
        <v>100</v>
      </c>
      <c r="I2749">
        <v>4.88</v>
      </c>
      <c r="J2749">
        <v>87.13</v>
      </c>
      <c r="K2749">
        <v>525</v>
      </c>
      <c r="L2749">
        <v>5.9328580000000004</v>
      </c>
      <c r="M2749">
        <v>0.2</v>
      </c>
      <c r="P2749">
        <v>13.192072659999999</v>
      </c>
      <c r="Q2749">
        <v>233.15126359999999</v>
      </c>
      <c r="R2749">
        <v>6.35</v>
      </c>
      <c r="S2749">
        <v>26338</v>
      </c>
      <c r="T2749">
        <v>-1.9402779999999999</v>
      </c>
      <c r="U2749">
        <v>29.873888000000001</v>
      </c>
    </row>
    <row r="2750" spans="1:21">
      <c r="A2750" t="s">
        <v>153</v>
      </c>
      <c r="B2750">
        <v>2003</v>
      </c>
      <c r="C2750">
        <v>338.95260000000002</v>
      </c>
      <c r="D2750">
        <v>550.0000119</v>
      </c>
      <c r="E2750">
        <v>0</v>
      </c>
      <c r="F2750">
        <v>0</v>
      </c>
      <c r="G2750">
        <v>0.12</v>
      </c>
      <c r="H2750">
        <v>100</v>
      </c>
      <c r="I2750">
        <v>4.8</v>
      </c>
      <c r="J2750">
        <v>87.3</v>
      </c>
      <c r="K2750">
        <v>525</v>
      </c>
      <c r="L2750">
        <v>7.2881646</v>
      </c>
      <c r="M2750">
        <v>0.2</v>
      </c>
      <c r="P2750">
        <v>2.2023655309999999</v>
      </c>
      <c r="Q2750">
        <v>249.74331309999999</v>
      </c>
      <c r="R2750">
        <v>6.2</v>
      </c>
      <c r="S2750">
        <v>26338</v>
      </c>
      <c r="T2750">
        <v>-1.9402779999999999</v>
      </c>
      <c r="U2750">
        <v>29.873888000000001</v>
      </c>
    </row>
    <row r="2751" spans="1:21">
      <c r="A2751" t="s">
        <v>153</v>
      </c>
      <c r="B2751">
        <v>2004</v>
      </c>
      <c r="C2751">
        <v>318.32060000000001</v>
      </c>
      <c r="D2751">
        <v>560.00000239999997</v>
      </c>
      <c r="E2751">
        <v>0.01</v>
      </c>
      <c r="F2751">
        <v>0</v>
      </c>
      <c r="G2751">
        <v>0.08</v>
      </c>
      <c r="H2751">
        <v>88.888885000000002</v>
      </c>
      <c r="I2751">
        <v>4.74</v>
      </c>
      <c r="J2751">
        <v>87.55</v>
      </c>
      <c r="K2751">
        <v>525</v>
      </c>
      <c r="L2751">
        <v>8.6405849999999997</v>
      </c>
      <c r="M2751">
        <v>0.1</v>
      </c>
      <c r="P2751">
        <v>7.4476796759999999</v>
      </c>
      <c r="Q2751">
        <v>273.63369030000001</v>
      </c>
      <c r="R2751">
        <v>5.77</v>
      </c>
      <c r="S2751">
        <v>26338</v>
      </c>
      <c r="T2751">
        <v>-1.9402779999999999</v>
      </c>
      <c r="U2751">
        <v>29.873888000000001</v>
      </c>
    </row>
    <row r="2752" spans="1:21">
      <c r="A2752" t="s">
        <v>153</v>
      </c>
      <c r="B2752">
        <v>2005</v>
      </c>
      <c r="C2752">
        <v>300.62256000000002</v>
      </c>
      <c r="D2752">
        <v>550.0000119</v>
      </c>
      <c r="E2752">
        <v>0.04</v>
      </c>
      <c r="F2752">
        <v>0</v>
      </c>
      <c r="G2752">
        <v>0.06</v>
      </c>
      <c r="H2752">
        <v>60</v>
      </c>
      <c r="I2752">
        <v>4.6500000000000004</v>
      </c>
      <c r="J2752">
        <v>89.25</v>
      </c>
      <c r="K2752">
        <v>525</v>
      </c>
      <c r="L2752">
        <v>4.8</v>
      </c>
      <c r="M2752">
        <v>0.2</v>
      </c>
      <c r="O2752">
        <v>8140000</v>
      </c>
      <c r="P2752">
        <v>9.3778994250000007</v>
      </c>
      <c r="Q2752">
        <v>331.69011339999997</v>
      </c>
      <c r="R2752">
        <v>6.95</v>
      </c>
      <c r="S2752">
        <v>26338</v>
      </c>
      <c r="T2752">
        <v>-1.9402779999999999</v>
      </c>
      <c r="U2752">
        <v>29.873888000000001</v>
      </c>
    </row>
    <row r="2753" spans="1:21">
      <c r="A2753" t="s">
        <v>153</v>
      </c>
      <c r="B2753">
        <v>2006</v>
      </c>
      <c r="C2753">
        <v>283.97528</v>
      </c>
      <c r="D2753">
        <v>550.0000119</v>
      </c>
      <c r="E2753">
        <v>0.12</v>
      </c>
      <c r="F2753">
        <v>0</v>
      </c>
      <c r="G2753">
        <v>0.04</v>
      </c>
      <c r="H2753">
        <v>25</v>
      </c>
      <c r="I2753">
        <v>4.51</v>
      </c>
      <c r="J2753">
        <v>90.59</v>
      </c>
      <c r="K2753">
        <v>525</v>
      </c>
      <c r="L2753">
        <v>11.346226</v>
      </c>
      <c r="M2753">
        <v>0.2</v>
      </c>
      <c r="O2753">
        <v>540000</v>
      </c>
      <c r="P2753">
        <v>9.2270778740000008</v>
      </c>
      <c r="Q2753">
        <v>366.89439240000002</v>
      </c>
      <c r="R2753">
        <v>6.54</v>
      </c>
      <c r="S2753">
        <v>26338</v>
      </c>
      <c r="T2753">
        <v>-1.9402779999999999</v>
      </c>
      <c r="U2753">
        <v>29.873888000000001</v>
      </c>
    </row>
    <row r="2754" spans="1:21">
      <c r="A2754" t="s">
        <v>153</v>
      </c>
      <c r="B2754">
        <v>2007</v>
      </c>
      <c r="C2754">
        <v>282.62943000000001</v>
      </c>
      <c r="D2754">
        <v>579.99998330000005</v>
      </c>
      <c r="E2754">
        <v>0.11</v>
      </c>
      <c r="F2754">
        <v>0</v>
      </c>
      <c r="G2754">
        <v>0.04</v>
      </c>
      <c r="H2754">
        <v>26.666665999999999</v>
      </c>
      <c r="I2754">
        <v>4.4400000000000004</v>
      </c>
      <c r="J2754">
        <v>90.31</v>
      </c>
      <c r="K2754">
        <v>525</v>
      </c>
      <c r="L2754">
        <v>12.704503000000001</v>
      </c>
      <c r="M2754">
        <v>0.2</v>
      </c>
      <c r="O2754">
        <v>20650000</v>
      </c>
      <c r="P2754">
        <v>7.6332812079999997</v>
      </c>
      <c r="Q2754">
        <v>438.66418449999998</v>
      </c>
      <c r="R2754">
        <v>6.31</v>
      </c>
      <c r="S2754">
        <v>26338</v>
      </c>
      <c r="T2754">
        <v>-1.9402779999999999</v>
      </c>
      <c r="U2754">
        <v>29.873888000000001</v>
      </c>
    </row>
    <row r="2755" spans="1:21">
      <c r="A2755" t="s">
        <v>153</v>
      </c>
      <c r="B2755">
        <v>2008</v>
      </c>
      <c r="C2755">
        <v>289.52339999999998</v>
      </c>
      <c r="D2755">
        <v>560.00000239999997</v>
      </c>
      <c r="E2755">
        <v>0.11</v>
      </c>
      <c r="F2755">
        <v>0</v>
      </c>
      <c r="G2755">
        <v>7.0000000000000007E-2</v>
      </c>
      <c r="H2755">
        <v>38.888885000000002</v>
      </c>
      <c r="I2755">
        <v>4.32</v>
      </c>
      <c r="J2755">
        <v>90.63</v>
      </c>
      <c r="K2755">
        <v>525</v>
      </c>
      <c r="L2755">
        <v>6</v>
      </c>
      <c r="M2755">
        <v>0.2</v>
      </c>
      <c r="O2755">
        <v>26610000</v>
      </c>
      <c r="P2755">
        <v>11.161243239999999</v>
      </c>
      <c r="Q2755">
        <v>543.54535650000003</v>
      </c>
      <c r="R2755">
        <v>5.88</v>
      </c>
      <c r="S2755">
        <v>26338</v>
      </c>
      <c r="T2755">
        <v>-1.9402779999999999</v>
      </c>
      <c r="U2755">
        <v>29.873888000000001</v>
      </c>
    </row>
    <row r="2756" spans="1:21">
      <c r="A2756" t="s">
        <v>153</v>
      </c>
      <c r="B2756">
        <v>2009</v>
      </c>
      <c r="C2756">
        <v>297.06317000000001</v>
      </c>
      <c r="D2756">
        <v>589.99997380000002</v>
      </c>
      <c r="E2756">
        <v>0.14000000000000001</v>
      </c>
      <c r="F2756">
        <v>0</v>
      </c>
      <c r="G2756">
        <v>0.1</v>
      </c>
      <c r="H2756">
        <v>41.666668000000001</v>
      </c>
      <c r="I2756">
        <v>4.2300000000000004</v>
      </c>
      <c r="J2756">
        <v>90.54</v>
      </c>
      <c r="K2756">
        <v>525</v>
      </c>
      <c r="L2756">
        <v>15.445461</v>
      </c>
      <c r="M2756">
        <v>0.2</v>
      </c>
      <c r="O2756">
        <v>23370000</v>
      </c>
      <c r="P2756">
        <v>6.2482599289999996</v>
      </c>
      <c r="Q2756">
        <v>579.72661500000004</v>
      </c>
      <c r="R2756">
        <v>5.73</v>
      </c>
      <c r="S2756">
        <v>26338</v>
      </c>
      <c r="T2756">
        <v>-1.9402779999999999</v>
      </c>
      <c r="U2756">
        <v>29.873888000000001</v>
      </c>
    </row>
    <row r="2757" spans="1:21">
      <c r="A2757" t="s">
        <v>153</v>
      </c>
      <c r="B2757">
        <v>2010</v>
      </c>
      <c r="C2757">
        <v>324.94382000000002</v>
      </c>
      <c r="D2757">
        <v>600.00002380000001</v>
      </c>
      <c r="E2757">
        <v>0.16</v>
      </c>
      <c r="F2757">
        <v>0</v>
      </c>
      <c r="G2757">
        <v>0.11</v>
      </c>
      <c r="H2757">
        <v>40.740738</v>
      </c>
      <c r="I2757">
        <v>5.05</v>
      </c>
      <c r="J2757">
        <v>90.66</v>
      </c>
      <c r="K2757">
        <v>525</v>
      </c>
      <c r="L2757">
        <v>9.6999999999999993</v>
      </c>
      <c r="M2757">
        <v>0.2</v>
      </c>
      <c r="O2757">
        <v>2120000</v>
      </c>
      <c r="P2757">
        <v>7.3346561079999999</v>
      </c>
      <c r="Q2757">
        <v>609.724917</v>
      </c>
      <c r="R2757">
        <v>5.55</v>
      </c>
      <c r="S2757">
        <v>26338</v>
      </c>
      <c r="T2757">
        <v>-1.9402779999999999</v>
      </c>
      <c r="U2757">
        <v>29.873888000000001</v>
      </c>
    </row>
    <row r="2758" spans="1:21">
      <c r="A2758" t="s">
        <v>153</v>
      </c>
      <c r="B2758">
        <v>2011</v>
      </c>
      <c r="C2758">
        <v>351.94574</v>
      </c>
      <c r="D2758">
        <v>680.00000720000003</v>
      </c>
      <c r="E2758">
        <v>0.18</v>
      </c>
      <c r="F2758">
        <v>0</v>
      </c>
      <c r="G2758">
        <v>0.13</v>
      </c>
      <c r="H2758">
        <v>41.935482</v>
      </c>
      <c r="I2758">
        <v>5.48</v>
      </c>
      <c r="J2758">
        <v>89.64</v>
      </c>
      <c r="K2758">
        <v>525</v>
      </c>
      <c r="L2758">
        <v>10.8</v>
      </c>
      <c r="M2758">
        <v>0.3</v>
      </c>
      <c r="O2758">
        <v>6470000</v>
      </c>
      <c r="P2758">
        <v>7.9584060460000003</v>
      </c>
      <c r="Q2758">
        <v>668.49467219999997</v>
      </c>
      <c r="R2758">
        <v>5.37</v>
      </c>
      <c r="S2758">
        <v>26338</v>
      </c>
      <c r="T2758">
        <v>-1.9402779999999999</v>
      </c>
      <c r="U2758">
        <v>29.873888000000001</v>
      </c>
    </row>
    <row r="2759" spans="1:21">
      <c r="A2759" t="s">
        <v>153</v>
      </c>
      <c r="B2759">
        <v>2012</v>
      </c>
      <c r="C2759">
        <v>376.87761999999998</v>
      </c>
      <c r="D2759">
        <v>750</v>
      </c>
      <c r="E2759">
        <v>0.2</v>
      </c>
      <c r="F2759">
        <v>0</v>
      </c>
      <c r="G2759">
        <v>0.14000000000000001</v>
      </c>
      <c r="H2759">
        <v>41.176470000000002</v>
      </c>
      <c r="I2759">
        <v>5.48</v>
      </c>
      <c r="J2759">
        <v>88.78</v>
      </c>
      <c r="K2759">
        <v>525</v>
      </c>
      <c r="L2759">
        <v>17.5</v>
      </c>
      <c r="M2759">
        <v>0.3</v>
      </c>
      <c r="O2759">
        <v>720000</v>
      </c>
      <c r="P2759">
        <v>8.6415001690000004</v>
      </c>
      <c r="Q2759">
        <v>725.16977029999998</v>
      </c>
      <c r="R2759">
        <v>5.14</v>
      </c>
      <c r="S2759">
        <v>26338</v>
      </c>
      <c r="T2759">
        <v>-1.9402779999999999</v>
      </c>
      <c r="U2759">
        <v>29.873888000000001</v>
      </c>
    </row>
    <row r="2760" spans="1:21">
      <c r="A2760" t="s">
        <v>153</v>
      </c>
      <c r="B2760">
        <v>2013</v>
      </c>
      <c r="C2760">
        <v>390.73227000000003</v>
      </c>
      <c r="D2760">
        <v>810.00000239999997</v>
      </c>
      <c r="E2760">
        <v>0.23</v>
      </c>
      <c r="F2760">
        <v>0</v>
      </c>
      <c r="G2760">
        <v>0.15</v>
      </c>
      <c r="H2760">
        <v>39.473686000000001</v>
      </c>
      <c r="I2760">
        <v>5.73</v>
      </c>
      <c r="J2760">
        <v>88.47</v>
      </c>
      <c r="K2760">
        <v>525</v>
      </c>
      <c r="L2760">
        <v>15.2</v>
      </c>
      <c r="M2760">
        <v>0.4</v>
      </c>
      <c r="O2760">
        <v>96720000</v>
      </c>
      <c r="P2760">
        <v>4.719854196</v>
      </c>
      <c r="Q2760">
        <v>722.89432850000003</v>
      </c>
      <c r="R2760">
        <v>5.08</v>
      </c>
      <c r="S2760">
        <v>26338</v>
      </c>
      <c r="T2760">
        <v>-1.9402779999999999</v>
      </c>
      <c r="U2760">
        <v>29.873888000000001</v>
      </c>
    </row>
    <row r="2761" spans="1:21">
      <c r="A2761" t="s">
        <v>153</v>
      </c>
      <c r="B2761">
        <v>2014</v>
      </c>
      <c r="C2761">
        <v>403.42975000000001</v>
      </c>
      <c r="D2761">
        <v>860.00001429999998</v>
      </c>
      <c r="E2761">
        <v>0.26</v>
      </c>
      <c r="F2761">
        <v>0</v>
      </c>
      <c r="G2761">
        <v>0.21</v>
      </c>
      <c r="H2761">
        <v>44.68085</v>
      </c>
      <c r="I2761">
        <v>6.96</v>
      </c>
      <c r="J2761">
        <v>87.95</v>
      </c>
      <c r="K2761">
        <v>525</v>
      </c>
      <c r="L2761">
        <v>19.8</v>
      </c>
      <c r="M2761">
        <v>0.5</v>
      </c>
      <c r="O2761">
        <v>48480000</v>
      </c>
      <c r="P2761">
        <v>6.1671667010000002</v>
      </c>
      <c r="Q2761">
        <v>743.55903799999999</v>
      </c>
      <c r="R2761">
        <v>4.87</v>
      </c>
      <c r="S2761">
        <v>26338</v>
      </c>
      <c r="T2761">
        <v>-1.9402779999999999</v>
      </c>
      <c r="U2761">
        <v>29.873888000000001</v>
      </c>
    </row>
    <row r="2762" spans="1:21">
      <c r="A2762" t="s">
        <v>153</v>
      </c>
      <c r="B2762">
        <v>2015</v>
      </c>
      <c r="C2762">
        <v>436.21359999999999</v>
      </c>
      <c r="D2762">
        <v>980.00001910000003</v>
      </c>
      <c r="E2762">
        <v>0.28000000000000003</v>
      </c>
      <c r="F2762">
        <v>0</v>
      </c>
      <c r="G2762">
        <v>0.3</v>
      </c>
      <c r="H2762">
        <v>51.724144000000003</v>
      </c>
      <c r="I2762">
        <v>9.6</v>
      </c>
      <c r="J2762">
        <v>86.31</v>
      </c>
      <c r="K2762">
        <v>525</v>
      </c>
      <c r="L2762">
        <v>22.8</v>
      </c>
      <c r="M2762">
        <v>0.6</v>
      </c>
      <c r="P2762">
        <v>8.8568443549999998</v>
      </c>
      <c r="Q2762">
        <v>751.07739260000005</v>
      </c>
      <c r="R2762">
        <v>4.58</v>
      </c>
      <c r="S2762">
        <v>26338</v>
      </c>
      <c r="T2762">
        <v>-1.9402779999999999</v>
      </c>
      <c r="U2762">
        <v>29.873888000000001</v>
      </c>
    </row>
    <row r="2763" spans="1:21">
      <c r="A2763" t="s">
        <v>153</v>
      </c>
      <c r="B2763">
        <v>2016</v>
      </c>
      <c r="C2763">
        <v>429.51796999999999</v>
      </c>
      <c r="D2763">
        <v>1159.999967</v>
      </c>
      <c r="E2763">
        <v>0.36</v>
      </c>
      <c r="F2763">
        <v>0</v>
      </c>
      <c r="G2763">
        <v>0.31</v>
      </c>
      <c r="H2763">
        <v>46.268653999999998</v>
      </c>
      <c r="I2763">
        <v>10.14</v>
      </c>
      <c r="J2763">
        <v>86.23</v>
      </c>
      <c r="K2763">
        <v>525</v>
      </c>
      <c r="L2763">
        <v>29.37</v>
      </c>
      <c r="M2763">
        <v>0.9</v>
      </c>
      <c r="O2763">
        <v>41630000</v>
      </c>
      <c r="P2763">
        <v>5.9707442979999996</v>
      </c>
      <c r="Q2763">
        <v>744.76074879999999</v>
      </c>
      <c r="R2763">
        <v>4.3499999999999996</v>
      </c>
      <c r="S2763">
        <v>26338</v>
      </c>
      <c r="T2763">
        <v>-1.9402779999999999</v>
      </c>
      <c r="U2763">
        <v>29.873888000000001</v>
      </c>
    </row>
    <row r="2764" spans="1:21">
      <c r="A2764" t="s">
        <v>153</v>
      </c>
      <c r="B2764">
        <v>2017</v>
      </c>
      <c r="C2764">
        <v>458.82094999999998</v>
      </c>
      <c r="D2764">
        <v>1190.000057</v>
      </c>
      <c r="E2764">
        <v>0.4</v>
      </c>
      <c r="F2764">
        <v>0</v>
      </c>
      <c r="G2764">
        <v>0.36</v>
      </c>
      <c r="H2764">
        <v>47.368423</v>
      </c>
      <c r="I2764">
        <v>10.59</v>
      </c>
      <c r="J2764">
        <v>85.98</v>
      </c>
      <c r="K2764">
        <v>525</v>
      </c>
      <c r="L2764">
        <v>34.1</v>
      </c>
      <c r="M2764">
        <v>1.1000000000000001</v>
      </c>
      <c r="O2764">
        <v>81040000</v>
      </c>
      <c r="P2764">
        <v>3.9762896940000001</v>
      </c>
      <c r="Q2764">
        <v>772.3169891</v>
      </c>
      <c r="R2764">
        <v>4.28</v>
      </c>
      <c r="S2764">
        <v>26338</v>
      </c>
      <c r="T2764">
        <v>-1.9402779999999999</v>
      </c>
      <c r="U2764">
        <v>29.873888000000001</v>
      </c>
    </row>
    <row r="2765" spans="1:21">
      <c r="A2765" t="s">
        <v>153</v>
      </c>
      <c r="B2765">
        <v>2018</v>
      </c>
      <c r="C2765">
        <v>491.12625000000003</v>
      </c>
      <c r="D2765">
        <v>1289.9999620000001</v>
      </c>
      <c r="E2765">
        <v>0.49</v>
      </c>
      <c r="F2765">
        <v>0</v>
      </c>
      <c r="G2765">
        <v>0.37</v>
      </c>
      <c r="H2765">
        <v>43.023254000000001</v>
      </c>
      <c r="I2765">
        <v>10.61</v>
      </c>
      <c r="J2765">
        <v>84.5</v>
      </c>
      <c r="K2765">
        <v>525</v>
      </c>
      <c r="L2765">
        <v>36.968150000000001</v>
      </c>
      <c r="M2765">
        <v>1.4</v>
      </c>
      <c r="O2765">
        <v>15840000</v>
      </c>
      <c r="P2765">
        <v>8.5794245409999998</v>
      </c>
      <c r="Q2765">
        <v>783.63716280000006</v>
      </c>
      <c r="R2765">
        <v>4.01</v>
      </c>
      <c r="S2765">
        <v>26338</v>
      </c>
      <c r="T2765">
        <v>-1.9402779999999999</v>
      </c>
      <c r="U2765">
        <v>29.873888000000001</v>
      </c>
    </row>
    <row r="2766" spans="1:21">
      <c r="A2766" t="s">
        <v>153</v>
      </c>
      <c r="B2766">
        <v>2019</v>
      </c>
      <c r="C2766">
        <v>525.5729</v>
      </c>
      <c r="D2766">
        <v>1330.000043</v>
      </c>
      <c r="E2766">
        <v>0.55000000000000004</v>
      </c>
      <c r="F2766">
        <v>0</v>
      </c>
      <c r="G2766">
        <v>0.47</v>
      </c>
      <c r="H2766">
        <v>46.078434000000001</v>
      </c>
      <c r="I2766">
        <v>11.2</v>
      </c>
      <c r="J2766">
        <v>77.86</v>
      </c>
      <c r="K2766">
        <v>525</v>
      </c>
      <c r="L2766">
        <v>40.368606999999997</v>
      </c>
      <c r="M2766">
        <v>1.9</v>
      </c>
      <c r="O2766">
        <v>1560000</v>
      </c>
      <c r="P2766">
        <v>9.4606824819999993</v>
      </c>
      <c r="Q2766">
        <v>820.14928859999998</v>
      </c>
      <c r="R2766">
        <v>3.94</v>
      </c>
      <c r="S2766">
        <v>26338</v>
      </c>
      <c r="T2766">
        <v>-1.9402779999999999</v>
      </c>
      <c r="U2766">
        <v>29.873888000000001</v>
      </c>
    </row>
    <row r="2767" spans="1:21">
      <c r="A2767" t="s">
        <v>153</v>
      </c>
      <c r="B2767">
        <v>2020</v>
      </c>
      <c r="C2767">
        <v>496.89819999999997</v>
      </c>
      <c r="E2767">
        <v>0.32</v>
      </c>
      <c r="F2767">
        <v>0</v>
      </c>
      <c r="G2767">
        <v>0.59</v>
      </c>
      <c r="H2767">
        <v>64.835160000000002</v>
      </c>
      <c r="I2767">
        <v>10.92</v>
      </c>
      <c r="K2767">
        <v>525</v>
      </c>
      <c r="L2767">
        <v>46.6</v>
      </c>
      <c r="M2767">
        <v>2.4</v>
      </c>
      <c r="P2767">
        <v>-3.3554721220000001</v>
      </c>
      <c r="Q2767">
        <v>797.85552070000006</v>
      </c>
      <c r="S2767">
        <v>26338</v>
      </c>
      <c r="T2767">
        <v>-1.9402779999999999</v>
      </c>
      <c r="U2767">
        <v>29.873888000000001</v>
      </c>
    </row>
    <row r="2768" spans="1:21">
      <c r="A2768" t="s">
        <v>154</v>
      </c>
      <c r="B2768">
        <v>2000</v>
      </c>
      <c r="C2768">
        <v>16953.34</v>
      </c>
      <c r="E2768">
        <v>0.09</v>
      </c>
      <c r="F2768">
        <v>0</v>
      </c>
      <c r="G2768">
        <v>0</v>
      </c>
      <c r="H2768">
        <v>0</v>
      </c>
      <c r="I2768">
        <v>0</v>
      </c>
      <c r="J2768">
        <v>26.64</v>
      </c>
      <c r="K2768">
        <v>205</v>
      </c>
      <c r="L2768">
        <v>95.281540000000007</v>
      </c>
      <c r="M2768">
        <v>100</v>
      </c>
      <c r="R2768">
        <v>3.09</v>
      </c>
      <c r="S2768">
        <v>261</v>
      </c>
      <c r="T2768">
        <v>17.357821999999999</v>
      </c>
      <c r="U2768">
        <v>-62.782997999999999</v>
      </c>
    </row>
    <row r="2769" spans="1:21">
      <c r="A2769" t="s">
        <v>154</v>
      </c>
      <c r="B2769">
        <v>2001</v>
      </c>
      <c r="C2769">
        <v>17325.974999999999</v>
      </c>
      <c r="E2769">
        <v>0.09</v>
      </c>
      <c r="F2769">
        <v>0</v>
      </c>
      <c r="G2769">
        <v>0</v>
      </c>
      <c r="H2769">
        <v>0</v>
      </c>
      <c r="I2769">
        <v>0</v>
      </c>
      <c r="J2769">
        <v>26.28</v>
      </c>
      <c r="K2769">
        <v>205</v>
      </c>
      <c r="L2769">
        <v>93.53</v>
      </c>
      <c r="M2769">
        <v>100</v>
      </c>
      <c r="R2769">
        <v>3.02</v>
      </c>
      <c r="S2769">
        <v>261</v>
      </c>
      <c r="T2769">
        <v>17.357821999999999</v>
      </c>
      <c r="U2769">
        <v>-62.782997999999999</v>
      </c>
    </row>
    <row r="2770" spans="1:21">
      <c r="A2770" t="s">
        <v>154</v>
      </c>
      <c r="B2770">
        <v>2002</v>
      </c>
      <c r="C2770">
        <v>18841.998</v>
      </c>
      <c r="E2770">
        <v>0.1</v>
      </c>
      <c r="F2770">
        <v>0</v>
      </c>
      <c r="G2770">
        <v>0</v>
      </c>
      <c r="H2770">
        <v>0</v>
      </c>
      <c r="I2770">
        <v>0</v>
      </c>
      <c r="J2770">
        <v>24.59</v>
      </c>
      <c r="K2770">
        <v>205</v>
      </c>
      <c r="L2770">
        <v>95.803184999999999</v>
      </c>
      <c r="M2770">
        <v>100</v>
      </c>
      <c r="R2770">
        <v>3.23</v>
      </c>
      <c r="S2770">
        <v>261</v>
      </c>
      <c r="T2770">
        <v>17.357821999999999</v>
      </c>
      <c r="U2770">
        <v>-62.782997999999999</v>
      </c>
    </row>
    <row r="2771" spans="1:21">
      <c r="A2771" t="s">
        <v>154</v>
      </c>
      <c r="B2771">
        <v>2003</v>
      </c>
      <c r="C2771">
        <v>18804.081999999999</v>
      </c>
      <c r="E2771">
        <v>0.12</v>
      </c>
      <c r="F2771">
        <v>0</v>
      </c>
      <c r="G2771">
        <v>0</v>
      </c>
      <c r="H2771">
        <v>0</v>
      </c>
      <c r="I2771">
        <v>0</v>
      </c>
      <c r="J2771">
        <v>26.62</v>
      </c>
      <c r="K2771">
        <v>205</v>
      </c>
      <c r="L2771">
        <v>96.054985000000002</v>
      </c>
      <c r="M2771">
        <v>100</v>
      </c>
      <c r="R2771">
        <v>3.44</v>
      </c>
      <c r="S2771">
        <v>261</v>
      </c>
      <c r="T2771">
        <v>17.357821999999999</v>
      </c>
      <c r="U2771">
        <v>-62.782997999999999</v>
      </c>
    </row>
    <row r="2772" spans="1:21">
      <c r="A2772" t="s">
        <v>154</v>
      </c>
      <c r="B2772">
        <v>2004</v>
      </c>
      <c r="C2772">
        <v>20273.662</v>
      </c>
      <c r="E2772">
        <v>0.12</v>
      </c>
      <c r="F2772">
        <v>0</v>
      </c>
      <c r="G2772">
        <v>0</v>
      </c>
      <c r="H2772">
        <v>0</v>
      </c>
      <c r="I2772">
        <v>0</v>
      </c>
      <c r="J2772">
        <v>22.22</v>
      </c>
      <c r="K2772">
        <v>205</v>
      </c>
      <c r="L2772">
        <v>96.303894</v>
      </c>
      <c r="M2772">
        <v>100</v>
      </c>
      <c r="R2772">
        <v>3.49</v>
      </c>
      <c r="S2772">
        <v>261</v>
      </c>
      <c r="T2772">
        <v>17.357821999999999</v>
      </c>
      <c r="U2772">
        <v>-62.782997999999999</v>
      </c>
    </row>
    <row r="2773" spans="1:21">
      <c r="A2773" t="s">
        <v>154</v>
      </c>
      <c r="B2773">
        <v>2005</v>
      </c>
      <c r="C2773">
        <v>18827.416000000001</v>
      </c>
      <c r="E2773">
        <v>0.13</v>
      </c>
      <c r="F2773">
        <v>0</v>
      </c>
      <c r="G2773">
        <v>0</v>
      </c>
      <c r="H2773">
        <v>0</v>
      </c>
      <c r="I2773">
        <v>0</v>
      </c>
      <c r="J2773">
        <v>25.58</v>
      </c>
      <c r="K2773">
        <v>205</v>
      </c>
      <c r="L2773">
        <v>96.552269999999993</v>
      </c>
      <c r="M2773">
        <v>100</v>
      </c>
      <c r="R2773">
        <v>2.98</v>
      </c>
      <c r="S2773">
        <v>261</v>
      </c>
      <c r="T2773">
        <v>17.357821999999999</v>
      </c>
      <c r="U2773">
        <v>-62.782997999999999</v>
      </c>
    </row>
    <row r="2774" spans="1:21">
      <c r="A2774" t="s">
        <v>154</v>
      </c>
      <c r="B2774">
        <v>2006</v>
      </c>
      <c r="C2774">
        <v>19448.726999999999</v>
      </c>
      <c r="E2774">
        <v>0.13</v>
      </c>
      <c r="F2774">
        <v>0</v>
      </c>
      <c r="G2774">
        <v>0</v>
      </c>
      <c r="H2774">
        <v>0</v>
      </c>
      <c r="I2774">
        <v>0</v>
      </c>
      <c r="J2774">
        <v>0.01</v>
      </c>
      <c r="K2774">
        <v>205</v>
      </c>
      <c r="L2774">
        <v>96.802520000000001</v>
      </c>
      <c r="M2774">
        <v>100</v>
      </c>
      <c r="R2774">
        <v>2.54</v>
      </c>
      <c r="S2774">
        <v>261</v>
      </c>
      <c r="T2774">
        <v>17.357821999999999</v>
      </c>
      <c r="U2774">
        <v>-62.782997999999999</v>
      </c>
    </row>
    <row r="2775" spans="1:21">
      <c r="A2775" t="s">
        <v>154</v>
      </c>
      <c r="B2775">
        <v>2007</v>
      </c>
      <c r="C2775">
        <v>20502.655999999999</v>
      </c>
      <c r="E2775">
        <v>0.16</v>
      </c>
      <c r="F2775">
        <v>0</v>
      </c>
      <c r="G2775">
        <v>0</v>
      </c>
      <c r="H2775">
        <v>0</v>
      </c>
      <c r="I2775">
        <v>0</v>
      </c>
      <c r="J2775">
        <v>0.01</v>
      </c>
      <c r="K2775">
        <v>205</v>
      </c>
      <c r="L2775">
        <v>97.057289999999995</v>
      </c>
      <c r="M2775">
        <v>100</v>
      </c>
      <c r="R2775">
        <v>2.67</v>
      </c>
      <c r="S2775">
        <v>261</v>
      </c>
      <c r="T2775">
        <v>17.357821999999999</v>
      </c>
      <c r="U2775">
        <v>-62.782997999999999</v>
      </c>
    </row>
    <row r="2776" spans="1:21">
      <c r="A2776" t="s">
        <v>154</v>
      </c>
      <c r="B2776">
        <v>2008</v>
      </c>
      <c r="C2776">
        <v>20417.77</v>
      </c>
      <c r="E2776">
        <v>0.17</v>
      </c>
      <c r="F2776">
        <v>0</v>
      </c>
      <c r="G2776">
        <v>0</v>
      </c>
      <c r="H2776">
        <v>0</v>
      </c>
      <c r="I2776">
        <v>0</v>
      </c>
      <c r="J2776">
        <v>0.01</v>
      </c>
      <c r="K2776">
        <v>205</v>
      </c>
      <c r="L2776">
        <v>97.319289999999995</v>
      </c>
      <c r="M2776">
        <v>100</v>
      </c>
      <c r="O2776">
        <v>360000</v>
      </c>
      <c r="R2776">
        <v>2.5099999999999998</v>
      </c>
      <c r="S2776">
        <v>261</v>
      </c>
      <c r="T2776">
        <v>17.357821999999999</v>
      </c>
      <c r="U2776">
        <v>-62.782997999999999</v>
      </c>
    </row>
    <row r="2777" spans="1:21">
      <c r="A2777" t="s">
        <v>154</v>
      </c>
      <c r="B2777">
        <v>2009</v>
      </c>
      <c r="C2777">
        <v>20836.157999999999</v>
      </c>
      <c r="E2777">
        <v>0.17</v>
      </c>
      <c r="F2777">
        <v>0</v>
      </c>
      <c r="G2777">
        <v>0</v>
      </c>
      <c r="H2777">
        <v>0</v>
      </c>
      <c r="I2777">
        <v>0</v>
      </c>
      <c r="J2777">
        <v>0.01</v>
      </c>
      <c r="K2777">
        <v>205</v>
      </c>
      <c r="L2777">
        <v>97.591224999999994</v>
      </c>
      <c r="M2777">
        <v>100</v>
      </c>
      <c r="R2777">
        <v>2.68</v>
      </c>
      <c r="S2777">
        <v>261</v>
      </c>
      <c r="T2777">
        <v>17.357821999999999</v>
      </c>
      <c r="U2777">
        <v>-62.782997999999999</v>
      </c>
    </row>
    <row r="2778" spans="1:21">
      <c r="A2778" t="s">
        <v>154</v>
      </c>
      <c r="B2778">
        <v>2010</v>
      </c>
      <c r="C2778">
        <v>20931.088</v>
      </c>
      <c r="E2778">
        <v>0.18</v>
      </c>
      <c r="F2778">
        <v>0</v>
      </c>
      <c r="G2778">
        <v>0</v>
      </c>
      <c r="H2778">
        <v>0</v>
      </c>
      <c r="I2778">
        <v>44.89</v>
      </c>
      <c r="J2778">
        <v>0.97</v>
      </c>
      <c r="K2778">
        <v>205</v>
      </c>
      <c r="L2778">
        <v>99.843389999999999</v>
      </c>
      <c r="M2778">
        <v>100</v>
      </c>
      <c r="R2778">
        <v>2.73</v>
      </c>
      <c r="S2778">
        <v>261</v>
      </c>
      <c r="T2778">
        <v>17.357821999999999</v>
      </c>
      <c r="U2778">
        <v>-62.782997999999999</v>
      </c>
    </row>
    <row r="2779" spans="1:21">
      <c r="A2779" t="s">
        <v>154</v>
      </c>
      <c r="B2779">
        <v>2011</v>
      </c>
      <c r="C2779">
        <v>21851.84</v>
      </c>
      <c r="E2779">
        <v>0.18</v>
      </c>
      <c r="F2779">
        <v>0</v>
      </c>
      <c r="G2779">
        <v>0</v>
      </c>
      <c r="H2779">
        <v>0</v>
      </c>
      <c r="I2779">
        <v>44.9</v>
      </c>
      <c r="J2779">
        <v>0.92</v>
      </c>
      <c r="K2779">
        <v>205</v>
      </c>
      <c r="L2779">
        <v>100</v>
      </c>
      <c r="M2779">
        <v>100</v>
      </c>
      <c r="O2779">
        <v>18410000</v>
      </c>
      <c r="R2779">
        <v>2.77</v>
      </c>
      <c r="S2779">
        <v>261</v>
      </c>
      <c r="T2779">
        <v>17.357821999999999</v>
      </c>
      <c r="U2779">
        <v>-62.782997999999999</v>
      </c>
    </row>
    <row r="2780" spans="1:21">
      <c r="A2780" t="s">
        <v>154</v>
      </c>
      <c r="B2780">
        <v>2012</v>
      </c>
      <c r="C2780">
        <v>21675.412</v>
      </c>
      <c r="E2780">
        <v>0.19</v>
      </c>
      <c r="F2780">
        <v>0</v>
      </c>
      <c r="G2780">
        <v>0.01</v>
      </c>
      <c r="H2780">
        <v>5</v>
      </c>
      <c r="I2780">
        <v>44.51</v>
      </c>
      <c r="J2780">
        <v>1.31</v>
      </c>
      <c r="K2780">
        <v>205</v>
      </c>
      <c r="L2780">
        <v>100</v>
      </c>
      <c r="M2780">
        <v>100</v>
      </c>
      <c r="R2780">
        <v>2.78</v>
      </c>
      <c r="S2780">
        <v>261</v>
      </c>
      <c r="T2780">
        <v>17.357821999999999</v>
      </c>
      <c r="U2780">
        <v>-62.782997999999999</v>
      </c>
    </row>
    <row r="2781" spans="1:21">
      <c r="A2781" t="s">
        <v>154</v>
      </c>
      <c r="B2781">
        <v>2013</v>
      </c>
      <c r="C2781">
        <v>21579.866999999998</v>
      </c>
      <c r="E2781">
        <v>0.2</v>
      </c>
      <c r="F2781">
        <v>0</v>
      </c>
      <c r="G2781">
        <v>0.01</v>
      </c>
      <c r="H2781">
        <v>4.7619046999999997</v>
      </c>
      <c r="I2781">
        <v>50.87</v>
      </c>
      <c r="J2781">
        <v>1.38</v>
      </c>
      <c r="K2781">
        <v>205</v>
      </c>
      <c r="L2781">
        <v>100</v>
      </c>
      <c r="M2781">
        <v>100</v>
      </c>
      <c r="R2781">
        <v>2.64</v>
      </c>
      <c r="S2781">
        <v>261</v>
      </c>
      <c r="T2781">
        <v>17.357821999999999</v>
      </c>
      <c r="U2781">
        <v>-62.782997999999999</v>
      </c>
    </row>
    <row r="2782" spans="1:21">
      <c r="A2782" t="s">
        <v>154</v>
      </c>
      <c r="B2782">
        <v>2014</v>
      </c>
      <c r="C2782">
        <v>21838.453000000001</v>
      </c>
      <c r="E2782">
        <v>0.2</v>
      </c>
      <c r="F2782">
        <v>0</v>
      </c>
      <c r="G2782">
        <v>0.01</v>
      </c>
      <c r="H2782">
        <v>4.7619046999999997</v>
      </c>
      <c r="I2782">
        <v>71.69</v>
      </c>
      <c r="J2782">
        <v>1.63</v>
      </c>
      <c r="K2782">
        <v>205</v>
      </c>
      <c r="L2782">
        <v>100</v>
      </c>
      <c r="M2782">
        <v>100</v>
      </c>
      <c r="R2782">
        <v>2.5299999999999998</v>
      </c>
      <c r="S2782">
        <v>261</v>
      </c>
      <c r="T2782">
        <v>17.357821999999999</v>
      </c>
      <c r="U2782">
        <v>-62.782997999999999</v>
      </c>
    </row>
    <row r="2783" spans="1:21">
      <c r="A2783" t="s">
        <v>154</v>
      </c>
      <c r="B2783">
        <v>2015</v>
      </c>
      <c r="C2783">
        <v>22357.986000000001</v>
      </c>
      <c r="E2783">
        <v>0.19</v>
      </c>
      <c r="F2783">
        <v>0</v>
      </c>
      <c r="G2783">
        <v>0.01</v>
      </c>
      <c r="H2783">
        <v>5</v>
      </c>
      <c r="I2783">
        <v>71.09</v>
      </c>
      <c r="J2783">
        <v>1.63</v>
      </c>
      <c r="K2783">
        <v>205</v>
      </c>
      <c r="L2783">
        <v>100</v>
      </c>
      <c r="M2783">
        <v>100</v>
      </c>
      <c r="R2783">
        <v>2.56</v>
      </c>
      <c r="S2783">
        <v>261</v>
      </c>
      <c r="T2783">
        <v>17.357821999999999</v>
      </c>
      <c r="U2783">
        <v>-62.782997999999999</v>
      </c>
    </row>
    <row r="2784" spans="1:21">
      <c r="A2784" t="s">
        <v>154</v>
      </c>
      <c r="B2784">
        <v>2016</v>
      </c>
      <c r="C2784">
        <v>22948.984</v>
      </c>
      <c r="E2784">
        <v>0.2</v>
      </c>
      <c r="F2784">
        <v>0</v>
      </c>
      <c r="G2784">
        <v>0.01</v>
      </c>
      <c r="H2784">
        <v>4.7619046999999997</v>
      </c>
      <c r="I2784">
        <v>80.19</v>
      </c>
      <c r="J2784">
        <v>1.68</v>
      </c>
      <c r="K2784">
        <v>205</v>
      </c>
      <c r="L2784">
        <v>100</v>
      </c>
      <c r="M2784">
        <v>100</v>
      </c>
      <c r="R2784">
        <v>2.56</v>
      </c>
      <c r="S2784">
        <v>261</v>
      </c>
      <c r="T2784">
        <v>17.357821999999999</v>
      </c>
      <c r="U2784">
        <v>-62.782997999999999</v>
      </c>
    </row>
    <row r="2785" spans="1:21">
      <c r="A2785" t="s">
        <v>154</v>
      </c>
      <c r="B2785">
        <v>2017</v>
      </c>
      <c r="C2785">
        <v>22939.45</v>
      </c>
      <c r="E2785">
        <v>0.21</v>
      </c>
      <c r="F2785">
        <v>0</v>
      </c>
      <c r="G2785">
        <v>0</v>
      </c>
      <c r="H2785">
        <v>0</v>
      </c>
      <c r="I2785">
        <v>79.56</v>
      </c>
      <c r="J2785">
        <v>1.6</v>
      </c>
      <c r="K2785">
        <v>205</v>
      </c>
      <c r="L2785">
        <v>100</v>
      </c>
      <c r="M2785">
        <v>100</v>
      </c>
      <c r="R2785">
        <v>2.63</v>
      </c>
      <c r="S2785">
        <v>261</v>
      </c>
      <c r="T2785">
        <v>17.357821999999999</v>
      </c>
      <c r="U2785">
        <v>-62.782997999999999</v>
      </c>
    </row>
    <row r="2786" spans="1:21">
      <c r="A2786" t="s">
        <v>154</v>
      </c>
      <c r="B2786">
        <v>2018</v>
      </c>
      <c r="C2786">
        <v>23219.201000000001</v>
      </c>
      <c r="E2786">
        <v>0.21</v>
      </c>
      <c r="F2786">
        <v>0</v>
      </c>
      <c r="G2786">
        <v>0.01</v>
      </c>
      <c r="H2786">
        <v>4.5454545</v>
      </c>
      <c r="I2786">
        <v>78.95</v>
      </c>
      <c r="J2786">
        <v>1.6</v>
      </c>
      <c r="K2786">
        <v>205</v>
      </c>
      <c r="L2786">
        <v>100</v>
      </c>
      <c r="M2786">
        <v>100</v>
      </c>
      <c r="R2786">
        <v>2.59</v>
      </c>
      <c r="S2786">
        <v>261</v>
      </c>
      <c r="T2786">
        <v>17.357821999999999</v>
      </c>
      <c r="U2786">
        <v>-62.782997999999999</v>
      </c>
    </row>
    <row r="2787" spans="1:21">
      <c r="A2787" t="s">
        <v>154</v>
      </c>
      <c r="B2787">
        <v>2019</v>
      </c>
      <c r="C2787">
        <v>23235.219000000001</v>
      </c>
      <c r="E2787">
        <v>0.21</v>
      </c>
      <c r="F2787">
        <v>0</v>
      </c>
      <c r="G2787">
        <v>0.01</v>
      </c>
      <c r="H2787">
        <v>4.5454545</v>
      </c>
      <c r="I2787">
        <v>78.36</v>
      </c>
      <c r="J2787">
        <v>1.58</v>
      </c>
      <c r="K2787">
        <v>205</v>
      </c>
      <c r="L2787">
        <v>100</v>
      </c>
      <c r="M2787">
        <v>100</v>
      </c>
      <c r="R2787">
        <v>2.58</v>
      </c>
      <c r="S2787">
        <v>261</v>
      </c>
      <c r="T2787">
        <v>17.357821999999999</v>
      </c>
      <c r="U2787">
        <v>-62.782997999999999</v>
      </c>
    </row>
    <row r="2788" spans="1:21">
      <c r="A2788" t="s">
        <v>154</v>
      </c>
      <c r="B2788">
        <v>2020</v>
      </c>
      <c r="C2788">
        <v>19642.782999999999</v>
      </c>
      <c r="E2788">
        <v>0.2</v>
      </c>
      <c r="F2788">
        <v>0</v>
      </c>
      <c r="G2788">
        <v>0.01</v>
      </c>
      <c r="H2788">
        <v>4.7619046999999997</v>
      </c>
      <c r="I2788">
        <v>77.83</v>
      </c>
      <c r="K2788">
        <v>205</v>
      </c>
      <c r="L2788">
        <v>100</v>
      </c>
      <c r="M2788">
        <v>100</v>
      </c>
      <c r="S2788">
        <v>261</v>
      </c>
      <c r="T2788">
        <v>17.357821999999999</v>
      </c>
      <c r="U2788">
        <v>-62.782997999999999</v>
      </c>
    </row>
    <row r="2789" spans="1:21">
      <c r="A2789" t="s">
        <v>155</v>
      </c>
      <c r="B2789">
        <v>2000</v>
      </c>
      <c r="C2789">
        <v>9184.1939999999995</v>
      </c>
      <c r="E2789">
        <v>0.26</v>
      </c>
      <c r="F2789">
        <v>0</v>
      </c>
      <c r="G2789">
        <v>0</v>
      </c>
      <c r="H2789">
        <v>0</v>
      </c>
      <c r="I2789">
        <v>0</v>
      </c>
      <c r="J2789">
        <v>24.05</v>
      </c>
      <c r="K2789">
        <v>301</v>
      </c>
      <c r="L2789">
        <v>89.387435999999994</v>
      </c>
      <c r="M2789">
        <v>86.2</v>
      </c>
      <c r="R2789">
        <v>3.06</v>
      </c>
      <c r="S2789">
        <v>616</v>
      </c>
      <c r="T2789">
        <v>13.909444000000001</v>
      </c>
      <c r="U2789">
        <v>-60.978892999999999</v>
      </c>
    </row>
    <row r="2790" spans="1:21">
      <c r="A2790" t="s">
        <v>155</v>
      </c>
      <c r="B2790">
        <v>2001</v>
      </c>
      <c r="C2790">
        <v>9891.598</v>
      </c>
      <c r="E2790">
        <v>0.27</v>
      </c>
      <c r="F2790">
        <v>0</v>
      </c>
      <c r="G2790">
        <v>0</v>
      </c>
      <c r="H2790">
        <v>0</v>
      </c>
      <c r="I2790">
        <v>0</v>
      </c>
      <c r="J2790">
        <v>22.23</v>
      </c>
      <c r="K2790">
        <v>301</v>
      </c>
      <c r="L2790">
        <v>89.9</v>
      </c>
      <c r="M2790">
        <v>87.7</v>
      </c>
      <c r="R2790">
        <v>3.28</v>
      </c>
      <c r="S2790">
        <v>616</v>
      </c>
      <c r="T2790">
        <v>13.909444000000001</v>
      </c>
      <c r="U2790">
        <v>-60.978892999999999</v>
      </c>
    </row>
    <row r="2791" spans="1:21">
      <c r="A2791" t="s">
        <v>155</v>
      </c>
      <c r="B2791">
        <v>2002</v>
      </c>
      <c r="C2791">
        <v>8871.31</v>
      </c>
      <c r="E2791">
        <v>0.27</v>
      </c>
      <c r="F2791">
        <v>0</v>
      </c>
      <c r="G2791">
        <v>0</v>
      </c>
      <c r="H2791">
        <v>0</v>
      </c>
      <c r="I2791">
        <v>0</v>
      </c>
      <c r="J2791">
        <v>21.73</v>
      </c>
      <c r="K2791">
        <v>301</v>
      </c>
      <c r="L2791">
        <v>90.358289999999997</v>
      </c>
      <c r="M2791">
        <v>89.1</v>
      </c>
      <c r="R2791">
        <v>3.22</v>
      </c>
      <c r="S2791">
        <v>616</v>
      </c>
      <c r="T2791">
        <v>13.909444000000001</v>
      </c>
      <c r="U2791">
        <v>-60.978892999999999</v>
      </c>
    </row>
    <row r="2792" spans="1:21">
      <c r="A2792" t="s">
        <v>155</v>
      </c>
      <c r="B2792">
        <v>2003</v>
      </c>
      <c r="C2792">
        <v>9741.5810000000001</v>
      </c>
      <c r="E2792">
        <v>0.28000000000000003</v>
      </c>
      <c r="F2792">
        <v>0</v>
      </c>
      <c r="G2792">
        <v>0</v>
      </c>
      <c r="H2792">
        <v>0</v>
      </c>
      <c r="I2792">
        <v>0</v>
      </c>
      <c r="J2792">
        <v>20.02</v>
      </c>
      <c r="K2792">
        <v>301</v>
      </c>
      <c r="L2792">
        <v>90.834693999999999</v>
      </c>
      <c r="M2792">
        <v>90.4</v>
      </c>
      <c r="R2792">
        <v>3.22</v>
      </c>
      <c r="S2792">
        <v>616</v>
      </c>
      <c r="T2792">
        <v>13.909444000000001</v>
      </c>
      <c r="U2792">
        <v>-60.978892999999999</v>
      </c>
    </row>
    <row r="2793" spans="1:21">
      <c r="A2793" t="s">
        <v>155</v>
      </c>
      <c r="B2793">
        <v>2004</v>
      </c>
      <c r="C2793">
        <v>9705.2360000000008</v>
      </c>
      <c r="E2793">
        <v>0.28999999999999998</v>
      </c>
      <c r="F2793">
        <v>0</v>
      </c>
      <c r="G2793">
        <v>0</v>
      </c>
      <c r="H2793">
        <v>0</v>
      </c>
      <c r="I2793">
        <v>0</v>
      </c>
      <c r="J2793">
        <v>18.43</v>
      </c>
      <c r="K2793">
        <v>301</v>
      </c>
      <c r="L2793">
        <v>91.308210000000003</v>
      </c>
      <c r="M2793">
        <v>91.4</v>
      </c>
      <c r="R2793">
        <v>3.11</v>
      </c>
      <c r="S2793">
        <v>616</v>
      </c>
      <c r="T2793">
        <v>13.909444000000001</v>
      </c>
      <c r="U2793">
        <v>-60.978892999999999</v>
      </c>
    </row>
    <row r="2794" spans="1:21">
      <c r="A2794" t="s">
        <v>155</v>
      </c>
      <c r="B2794">
        <v>2005</v>
      </c>
      <c r="C2794">
        <v>9942.0349999999999</v>
      </c>
      <c r="E2794">
        <v>0.3</v>
      </c>
      <c r="F2794">
        <v>0</v>
      </c>
      <c r="G2794">
        <v>0</v>
      </c>
      <c r="H2794">
        <v>0</v>
      </c>
      <c r="I2794">
        <v>0</v>
      </c>
      <c r="J2794">
        <v>18.440000000000001</v>
      </c>
      <c r="K2794">
        <v>301</v>
      </c>
      <c r="L2794">
        <v>91.781189999999995</v>
      </c>
      <c r="M2794">
        <v>92.3</v>
      </c>
      <c r="R2794">
        <v>3.07</v>
      </c>
      <c r="S2794">
        <v>616</v>
      </c>
      <c r="T2794">
        <v>13.909444000000001</v>
      </c>
      <c r="U2794">
        <v>-60.978892999999999</v>
      </c>
    </row>
    <row r="2795" spans="1:21">
      <c r="A2795" t="s">
        <v>155</v>
      </c>
      <c r="B2795">
        <v>2006</v>
      </c>
      <c r="C2795">
        <v>9963.8420000000006</v>
      </c>
      <c r="E2795">
        <v>0.31</v>
      </c>
      <c r="F2795">
        <v>0</v>
      </c>
      <c r="G2795">
        <v>0</v>
      </c>
      <c r="H2795">
        <v>0</v>
      </c>
      <c r="I2795">
        <v>0</v>
      </c>
      <c r="J2795">
        <v>16.940000000000001</v>
      </c>
      <c r="K2795">
        <v>301</v>
      </c>
      <c r="L2795">
        <v>92.256039999999999</v>
      </c>
      <c r="M2795">
        <v>93.2</v>
      </c>
      <c r="R2795">
        <v>3</v>
      </c>
      <c r="S2795">
        <v>616</v>
      </c>
      <c r="T2795">
        <v>13.909444000000001</v>
      </c>
      <c r="U2795">
        <v>-60.978892999999999</v>
      </c>
    </row>
    <row r="2796" spans="1:21">
      <c r="A2796" t="s">
        <v>155</v>
      </c>
      <c r="B2796">
        <v>2007</v>
      </c>
      <c r="C2796">
        <v>10237.039000000001</v>
      </c>
      <c r="E2796">
        <v>0.32</v>
      </c>
      <c r="F2796">
        <v>0</v>
      </c>
      <c r="G2796">
        <v>0</v>
      </c>
      <c r="H2796">
        <v>0</v>
      </c>
      <c r="I2796">
        <v>0</v>
      </c>
      <c r="J2796">
        <v>16.260000000000002</v>
      </c>
      <c r="K2796">
        <v>301</v>
      </c>
      <c r="L2796">
        <v>92.735420000000005</v>
      </c>
      <c r="M2796">
        <v>93.9</v>
      </c>
      <c r="R2796">
        <v>2.97</v>
      </c>
      <c r="S2796">
        <v>616</v>
      </c>
      <c r="T2796">
        <v>13.909444000000001</v>
      </c>
      <c r="U2796">
        <v>-60.978892999999999</v>
      </c>
    </row>
    <row r="2797" spans="1:21">
      <c r="A2797" t="s">
        <v>155</v>
      </c>
      <c r="B2797">
        <v>2008</v>
      </c>
      <c r="C2797">
        <v>10455.242</v>
      </c>
      <c r="E2797">
        <v>0.33</v>
      </c>
      <c r="F2797">
        <v>0</v>
      </c>
      <c r="G2797">
        <v>0</v>
      </c>
      <c r="H2797">
        <v>0</v>
      </c>
      <c r="I2797">
        <v>0</v>
      </c>
      <c r="J2797">
        <v>15.53</v>
      </c>
      <c r="K2797">
        <v>301</v>
      </c>
      <c r="L2797">
        <v>93.222020000000001</v>
      </c>
      <c r="M2797">
        <v>94.4</v>
      </c>
      <c r="R2797">
        <v>2.84</v>
      </c>
      <c r="S2797">
        <v>616</v>
      </c>
      <c r="T2797">
        <v>13.909444000000001</v>
      </c>
      <c r="U2797">
        <v>-60.978892999999999</v>
      </c>
    </row>
    <row r="2798" spans="1:21">
      <c r="A2798" t="s">
        <v>155</v>
      </c>
      <c r="B2798">
        <v>2009</v>
      </c>
      <c r="C2798">
        <v>10132.103999999999</v>
      </c>
      <c r="E2798">
        <v>0.34</v>
      </c>
      <c r="F2798">
        <v>0</v>
      </c>
      <c r="G2798">
        <v>0</v>
      </c>
      <c r="H2798">
        <v>0</v>
      </c>
      <c r="I2798">
        <v>0.06</v>
      </c>
      <c r="J2798">
        <v>15.08</v>
      </c>
      <c r="K2798">
        <v>301</v>
      </c>
      <c r="L2798">
        <v>93.71857</v>
      </c>
      <c r="M2798">
        <v>94.9</v>
      </c>
      <c r="R2798">
        <v>2.9</v>
      </c>
      <c r="S2798">
        <v>616</v>
      </c>
      <c r="T2798">
        <v>13.909444000000001</v>
      </c>
      <c r="U2798">
        <v>-60.978892999999999</v>
      </c>
    </row>
    <row r="2799" spans="1:21">
      <c r="A2799" t="s">
        <v>155</v>
      </c>
      <c r="B2799">
        <v>2010</v>
      </c>
      <c r="C2799">
        <v>10512.177</v>
      </c>
      <c r="E2799">
        <v>0.36</v>
      </c>
      <c r="F2799">
        <v>0</v>
      </c>
      <c r="G2799">
        <v>0</v>
      </c>
      <c r="H2799">
        <v>0</v>
      </c>
      <c r="I2799">
        <v>0.12</v>
      </c>
      <c r="J2799">
        <v>13.22</v>
      </c>
      <c r="K2799">
        <v>301</v>
      </c>
      <c r="L2799">
        <v>94.2</v>
      </c>
      <c r="M2799">
        <v>95.2</v>
      </c>
      <c r="R2799">
        <v>3.18</v>
      </c>
      <c r="S2799">
        <v>616</v>
      </c>
      <c r="T2799">
        <v>13.909444000000001</v>
      </c>
      <c r="U2799">
        <v>-60.978892999999999</v>
      </c>
    </row>
    <row r="2800" spans="1:21">
      <c r="A2800" t="s">
        <v>155</v>
      </c>
      <c r="B2800">
        <v>2011</v>
      </c>
      <c r="C2800">
        <v>10594.858</v>
      </c>
      <c r="E2800">
        <v>0.36</v>
      </c>
      <c r="F2800">
        <v>0</v>
      </c>
      <c r="G2800">
        <v>0</v>
      </c>
      <c r="H2800">
        <v>0</v>
      </c>
      <c r="I2800">
        <v>0.11</v>
      </c>
      <c r="J2800">
        <v>12.93</v>
      </c>
      <c r="K2800">
        <v>301</v>
      </c>
      <c r="L2800">
        <v>94.752520000000004</v>
      </c>
      <c r="M2800">
        <v>95.4</v>
      </c>
      <c r="R2800">
        <v>2.99</v>
      </c>
      <c r="S2800">
        <v>616</v>
      </c>
      <c r="T2800">
        <v>13.909444000000001</v>
      </c>
      <c r="U2800">
        <v>-60.978892999999999</v>
      </c>
    </row>
    <row r="2801" spans="1:21">
      <c r="A2801" t="s">
        <v>155</v>
      </c>
      <c r="B2801">
        <v>2012</v>
      </c>
      <c r="C2801">
        <v>10486.784</v>
      </c>
      <c r="E2801">
        <v>0.36</v>
      </c>
      <c r="F2801">
        <v>0</v>
      </c>
      <c r="G2801">
        <v>0</v>
      </c>
      <c r="H2801">
        <v>0</v>
      </c>
      <c r="I2801">
        <v>0.28000000000000003</v>
      </c>
      <c r="J2801">
        <v>12.39</v>
      </c>
      <c r="K2801">
        <v>301</v>
      </c>
      <c r="L2801">
        <v>95.343419999999995</v>
      </c>
      <c r="M2801">
        <v>95.4</v>
      </c>
      <c r="R2801">
        <v>3</v>
      </c>
      <c r="S2801">
        <v>616</v>
      </c>
      <c r="T2801">
        <v>13.909444000000001</v>
      </c>
      <c r="U2801">
        <v>-60.978892999999999</v>
      </c>
    </row>
    <row r="2802" spans="1:21">
      <c r="A2802" t="s">
        <v>155</v>
      </c>
      <c r="B2802">
        <v>2013</v>
      </c>
      <c r="C2802">
        <v>10408.477999999999</v>
      </c>
      <c r="E2802">
        <v>0.36</v>
      </c>
      <c r="F2802">
        <v>0</v>
      </c>
      <c r="G2802">
        <v>0</v>
      </c>
      <c r="H2802">
        <v>0</v>
      </c>
      <c r="I2802">
        <v>0.34</v>
      </c>
      <c r="J2802">
        <v>12.1</v>
      </c>
      <c r="K2802">
        <v>301</v>
      </c>
      <c r="L2802">
        <v>95.857380000000006</v>
      </c>
      <c r="M2802">
        <v>95.5</v>
      </c>
      <c r="R2802">
        <v>3.09</v>
      </c>
      <c r="S2802">
        <v>616</v>
      </c>
      <c r="T2802">
        <v>13.909444000000001</v>
      </c>
      <c r="U2802">
        <v>-60.978892999999999</v>
      </c>
    </row>
    <row r="2803" spans="1:21">
      <c r="A2803" t="s">
        <v>155</v>
      </c>
      <c r="B2803">
        <v>2014</v>
      </c>
      <c r="C2803">
        <v>10461.293</v>
      </c>
      <c r="E2803">
        <v>0.36</v>
      </c>
      <c r="F2803">
        <v>0</v>
      </c>
      <c r="G2803">
        <v>0</v>
      </c>
      <c r="H2803">
        <v>0</v>
      </c>
      <c r="I2803">
        <v>0.56000000000000005</v>
      </c>
      <c r="J2803">
        <v>11.72</v>
      </c>
      <c r="K2803">
        <v>301</v>
      </c>
      <c r="L2803">
        <v>96.437640000000002</v>
      </c>
      <c r="M2803">
        <v>95.5</v>
      </c>
      <c r="O2803">
        <v>930000</v>
      </c>
      <c r="R2803">
        <v>3.03</v>
      </c>
      <c r="S2803">
        <v>616</v>
      </c>
      <c r="T2803">
        <v>13.909444000000001</v>
      </c>
      <c r="U2803">
        <v>-60.978892999999999</v>
      </c>
    </row>
    <row r="2804" spans="1:21">
      <c r="A2804" t="s">
        <v>155</v>
      </c>
      <c r="B2804">
        <v>2015</v>
      </c>
      <c r="C2804">
        <v>10483.141</v>
      </c>
      <c r="E2804">
        <v>0.36</v>
      </c>
      <c r="F2804">
        <v>0</v>
      </c>
      <c r="G2804">
        <v>0</v>
      </c>
      <c r="H2804">
        <v>0</v>
      </c>
      <c r="I2804">
        <v>4.24</v>
      </c>
      <c r="J2804">
        <v>11.52</v>
      </c>
      <c r="K2804">
        <v>301</v>
      </c>
      <c r="L2804">
        <v>97.032740000000004</v>
      </c>
      <c r="M2804">
        <v>95.3</v>
      </c>
      <c r="O2804">
        <v>10000</v>
      </c>
      <c r="R2804">
        <v>3.03</v>
      </c>
      <c r="S2804">
        <v>616</v>
      </c>
      <c r="T2804">
        <v>13.909444000000001</v>
      </c>
      <c r="U2804">
        <v>-60.978892999999999</v>
      </c>
    </row>
    <row r="2805" spans="1:21">
      <c r="A2805" t="s">
        <v>155</v>
      </c>
      <c r="B2805">
        <v>2016</v>
      </c>
      <c r="C2805">
        <v>10549.005999999999</v>
      </c>
      <c r="E2805">
        <v>0.37</v>
      </c>
      <c r="F2805">
        <v>0</v>
      </c>
      <c r="G2805">
        <v>0</v>
      </c>
      <c r="H2805">
        <v>0</v>
      </c>
      <c r="I2805">
        <v>4.6399999999999997</v>
      </c>
      <c r="J2805">
        <v>11.17</v>
      </c>
      <c r="K2805">
        <v>301</v>
      </c>
      <c r="L2805">
        <v>97.639709999999994</v>
      </c>
      <c r="M2805">
        <v>95.2</v>
      </c>
      <c r="R2805">
        <v>2.93</v>
      </c>
      <c r="S2805">
        <v>616</v>
      </c>
      <c r="T2805">
        <v>13.909444000000001</v>
      </c>
      <c r="U2805">
        <v>-60.978892999999999</v>
      </c>
    </row>
    <row r="2806" spans="1:21">
      <c r="A2806" t="s">
        <v>155</v>
      </c>
      <c r="B2806">
        <v>2017</v>
      </c>
      <c r="C2806">
        <v>11386.956</v>
      </c>
      <c r="E2806">
        <v>0.38</v>
      </c>
      <c r="F2806">
        <v>0</v>
      </c>
      <c r="G2806">
        <v>0</v>
      </c>
      <c r="H2806">
        <v>0</v>
      </c>
      <c r="I2806">
        <v>4.6100000000000003</v>
      </c>
      <c r="J2806">
        <v>10.220000000000001</v>
      </c>
      <c r="K2806">
        <v>301</v>
      </c>
      <c r="L2806">
        <v>98.279809999999998</v>
      </c>
      <c r="M2806">
        <v>95</v>
      </c>
      <c r="O2806">
        <v>9770000</v>
      </c>
      <c r="R2806">
        <v>2.95</v>
      </c>
      <c r="S2806">
        <v>616</v>
      </c>
      <c r="T2806">
        <v>13.909444000000001</v>
      </c>
      <c r="U2806">
        <v>-60.978892999999999</v>
      </c>
    </row>
    <row r="2807" spans="1:21">
      <c r="A2807" t="s">
        <v>155</v>
      </c>
      <c r="B2807">
        <v>2018</v>
      </c>
      <c r="C2807">
        <v>10425.025</v>
      </c>
      <c r="E2807">
        <v>0.37</v>
      </c>
      <c r="F2807">
        <v>0</v>
      </c>
      <c r="G2807">
        <v>0</v>
      </c>
      <c r="H2807">
        <v>0</v>
      </c>
      <c r="I2807">
        <v>21.08</v>
      </c>
      <c r="J2807">
        <v>10.220000000000001</v>
      </c>
      <c r="K2807">
        <v>301</v>
      </c>
      <c r="L2807">
        <v>98.877396000000005</v>
      </c>
      <c r="M2807">
        <v>94.8</v>
      </c>
      <c r="R2807">
        <v>2.86</v>
      </c>
      <c r="S2807">
        <v>616</v>
      </c>
      <c r="T2807">
        <v>13.909444000000001</v>
      </c>
      <c r="U2807">
        <v>-60.978892999999999</v>
      </c>
    </row>
    <row r="2808" spans="1:21">
      <c r="A2808" t="s">
        <v>155</v>
      </c>
      <c r="B2808">
        <v>2019</v>
      </c>
      <c r="C2808">
        <v>15259.877</v>
      </c>
      <c r="E2808">
        <v>0.35</v>
      </c>
      <c r="F2808">
        <v>0</v>
      </c>
      <c r="G2808">
        <v>0</v>
      </c>
      <c r="H2808">
        <v>0</v>
      </c>
      <c r="I2808">
        <v>20.98</v>
      </c>
      <c r="J2808">
        <v>9.75</v>
      </c>
      <c r="K2808">
        <v>301</v>
      </c>
      <c r="L2808">
        <v>99.502179999999996</v>
      </c>
      <c r="M2808">
        <v>94.4</v>
      </c>
      <c r="R2808">
        <v>2.84</v>
      </c>
      <c r="S2808">
        <v>616</v>
      </c>
      <c r="T2808">
        <v>13.909444000000001</v>
      </c>
      <c r="U2808">
        <v>-60.978892999999999</v>
      </c>
    </row>
    <row r="2809" spans="1:21">
      <c r="A2809" t="s">
        <v>155</v>
      </c>
      <c r="B2809">
        <v>2020</v>
      </c>
      <c r="C2809">
        <v>12810.415000000001</v>
      </c>
      <c r="E2809">
        <v>0.33</v>
      </c>
      <c r="F2809">
        <v>0</v>
      </c>
      <c r="G2809">
        <v>0</v>
      </c>
      <c r="H2809">
        <v>0</v>
      </c>
      <c r="I2809">
        <v>20.89</v>
      </c>
      <c r="K2809">
        <v>301</v>
      </c>
      <c r="L2809">
        <v>100</v>
      </c>
      <c r="M2809">
        <v>94.3</v>
      </c>
      <c r="S2809">
        <v>616</v>
      </c>
      <c r="T2809">
        <v>13.909444000000001</v>
      </c>
      <c r="U2809">
        <v>-60.978892999999999</v>
      </c>
    </row>
    <row r="2810" spans="1:21">
      <c r="A2810" t="s">
        <v>156</v>
      </c>
      <c r="B2810">
        <v>2000</v>
      </c>
      <c r="C2810">
        <v>6158.8203000000003</v>
      </c>
      <c r="E2810">
        <v>0.06</v>
      </c>
      <c r="F2810">
        <v>0</v>
      </c>
      <c r="G2810">
        <v>0.03</v>
      </c>
      <c r="H2810">
        <v>33.333331999999999</v>
      </c>
      <c r="I2810">
        <v>52.33</v>
      </c>
      <c r="J2810">
        <v>8.49</v>
      </c>
      <c r="K2810">
        <v>284</v>
      </c>
      <c r="L2810">
        <v>79.881775000000005</v>
      </c>
      <c r="M2810">
        <v>95.6</v>
      </c>
      <c r="R2810">
        <v>2.4300000000000002</v>
      </c>
      <c r="S2810">
        <v>389</v>
      </c>
      <c r="T2810">
        <v>12.984305000000001</v>
      </c>
      <c r="U2810">
        <v>-61.287227999999999</v>
      </c>
    </row>
    <row r="2811" spans="1:21">
      <c r="A2811" t="s">
        <v>156</v>
      </c>
      <c r="B2811">
        <v>2001</v>
      </c>
      <c r="C2811">
        <v>7138.9165000000003</v>
      </c>
      <c r="E2811">
        <v>0.08</v>
      </c>
      <c r="F2811">
        <v>0</v>
      </c>
      <c r="G2811">
        <v>0.02</v>
      </c>
      <c r="H2811">
        <v>20</v>
      </c>
      <c r="I2811">
        <v>52.27</v>
      </c>
      <c r="J2811">
        <v>6.19</v>
      </c>
      <c r="K2811">
        <v>284</v>
      </c>
      <c r="L2811">
        <v>82.41</v>
      </c>
      <c r="M2811">
        <v>95.6</v>
      </c>
      <c r="R2811">
        <v>2.82</v>
      </c>
      <c r="S2811">
        <v>389</v>
      </c>
      <c r="T2811">
        <v>12.984305000000001</v>
      </c>
      <c r="U2811">
        <v>-61.287227999999999</v>
      </c>
    </row>
    <row r="2812" spans="1:21">
      <c r="A2812" t="s">
        <v>156</v>
      </c>
      <c r="B2812">
        <v>2002</v>
      </c>
      <c r="C2812">
        <v>7730.9939999999997</v>
      </c>
      <c r="E2812">
        <v>0.08</v>
      </c>
      <c r="F2812">
        <v>0</v>
      </c>
      <c r="G2812">
        <v>0.02</v>
      </c>
      <c r="H2812">
        <v>20</v>
      </c>
      <c r="I2812">
        <v>52.18</v>
      </c>
      <c r="J2812">
        <v>6.07</v>
      </c>
      <c r="K2812">
        <v>284</v>
      </c>
      <c r="L2812">
        <v>82.468124000000003</v>
      </c>
      <c r="M2812">
        <v>95.6</v>
      </c>
      <c r="R2812">
        <v>2.85</v>
      </c>
      <c r="S2812">
        <v>389</v>
      </c>
      <c r="T2812">
        <v>12.984305000000001</v>
      </c>
      <c r="U2812">
        <v>-61.287227999999999</v>
      </c>
    </row>
    <row r="2813" spans="1:21">
      <c r="A2813" t="s">
        <v>156</v>
      </c>
      <c r="B2813">
        <v>2003</v>
      </c>
      <c r="C2813">
        <v>8126.2629999999999</v>
      </c>
      <c r="E2813">
        <v>0.08</v>
      </c>
      <c r="F2813">
        <v>0</v>
      </c>
      <c r="G2813">
        <v>0.02</v>
      </c>
      <c r="H2813">
        <v>20</v>
      </c>
      <c r="I2813">
        <v>52.07</v>
      </c>
      <c r="J2813">
        <v>5.63</v>
      </c>
      <c r="K2813">
        <v>284</v>
      </c>
      <c r="L2813">
        <v>83.752269999999996</v>
      </c>
      <c r="M2813">
        <v>95.8</v>
      </c>
      <c r="R2813">
        <v>2.79</v>
      </c>
      <c r="S2813">
        <v>389</v>
      </c>
      <c r="T2813">
        <v>12.984305000000001</v>
      </c>
      <c r="U2813">
        <v>-61.287227999999999</v>
      </c>
    </row>
    <row r="2814" spans="1:21">
      <c r="A2814" t="s">
        <v>156</v>
      </c>
      <c r="B2814">
        <v>2004</v>
      </c>
      <c r="C2814">
        <v>9015.8279999999995</v>
      </c>
      <c r="E2814">
        <v>0.09</v>
      </c>
      <c r="F2814">
        <v>0</v>
      </c>
      <c r="G2814">
        <v>0.03</v>
      </c>
      <c r="H2814">
        <v>25</v>
      </c>
      <c r="I2814">
        <v>51.97</v>
      </c>
      <c r="J2814">
        <v>5.86</v>
      </c>
      <c r="K2814">
        <v>284</v>
      </c>
      <c r="L2814">
        <v>85.033529999999999</v>
      </c>
      <c r="M2814">
        <v>95.6</v>
      </c>
      <c r="R2814">
        <v>2.94</v>
      </c>
      <c r="S2814">
        <v>389</v>
      </c>
      <c r="T2814">
        <v>12.984305000000001</v>
      </c>
      <c r="U2814">
        <v>-61.287227999999999</v>
      </c>
    </row>
    <row r="2815" spans="1:21">
      <c r="A2815" t="s">
        <v>156</v>
      </c>
      <c r="B2815">
        <v>2005</v>
      </c>
      <c r="C2815">
        <v>9096.0290000000005</v>
      </c>
      <c r="E2815">
        <v>0.1</v>
      </c>
      <c r="F2815">
        <v>0</v>
      </c>
      <c r="G2815">
        <v>0.03</v>
      </c>
      <c r="H2815">
        <v>23.076923000000001</v>
      </c>
      <c r="I2815">
        <v>51.93</v>
      </c>
      <c r="J2815">
        <v>5.81</v>
      </c>
      <c r="K2815">
        <v>284</v>
      </c>
      <c r="L2815">
        <v>86.314260000000004</v>
      </c>
      <c r="M2815">
        <v>95.6</v>
      </c>
      <c r="R2815">
        <v>2.88</v>
      </c>
      <c r="S2815">
        <v>389</v>
      </c>
      <c r="T2815">
        <v>12.984305000000001</v>
      </c>
      <c r="U2815">
        <v>-61.287227999999999</v>
      </c>
    </row>
    <row r="2816" spans="1:21">
      <c r="A2816" t="s">
        <v>156</v>
      </c>
      <c r="B2816">
        <v>2006</v>
      </c>
      <c r="C2816">
        <v>9072.7489999999998</v>
      </c>
      <c r="E2816">
        <v>0.1</v>
      </c>
      <c r="F2816">
        <v>0</v>
      </c>
      <c r="G2816">
        <v>0.02</v>
      </c>
      <c r="H2816">
        <v>16.666668000000001</v>
      </c>
      <c r="I2816">
        <v>51.93</v>
      </c>
      <c r="J2816">
        <v>5.29</v>
      </c>
      <c r="K2816">
        <v>284</v>
      </c>
      <c r="L2816">
        <v>87.596855000000005</v>
      </c>
      <c r="M2816">
        <v>95.7</v>
      </c>
      <c r="R2816">
        <v>2.65</v>
      </c>
      <c r="S2816">
        <v>389</v>
      </c>
      <c r="T2816">
        <v>12.984305000000001</v>
      </c>
      <c r="U2816">
        <v>-61.287227999999999</v>
      </c>
    </row>
    <row r="2817" spans="1:21">
      <c r="A2817" t="s">
        <v>156</v>
      </c>
      <c r="B2817">
        <v>2007</v>
      </c>
      <c r="C2817">
        <v>9295.7340000000004</v>
      </c>
      <c r="E2817">
        <v>0.11</v>
      </c>
      <c r="F2817">
        <v>0</v>
      </c>
      <c r="G2817">
        <v>0.02</v>
      </c>
      <c r="H2817">
        <v>15.384615999999999</v>
      </c>
      <c r="I2817">
        <v>51.97</v>
      </c>
      <c r="J2817">
        <v>4.71</v>
      </c>
      <c r="K2817">
        <v>284</v>
      </c>
      <c r="L2817">
        <v>88.79</v>
      </c>
      <c r="M2817">
        <v>95.8</v>
      </c>
      <c r="R2817">
        <v>2.76</v>
      </c>
      <c r="S2817">
        <v>389</v>
      </c>
      <c r="T2817">
        <v>12.984305000000001</v>
      </c>
      <c r="U2817">
        <v>-61.287227999999999</v>
      </c>
    </row>
    <row r="2818" spans="1:21">
      <c r="A2818" t="s">
        <v>156</v>
      </c>
      <c r="B2818">
        <v>2008</v>
      </c>
      <c r="C2818">
        <v>9347.9580000000005</v>
      </c>
      <c r="E2818">
        <v>0.11</v>
      </c>
      <c r="F2818">
        <v>0</v>
      </c>
      <c r="G2818">
        <v>0.02</v>
      </c>
      <c r="H2818">
        <v>15.384615999999999</v>
      </c>
      <c r="I2818">
        <v>52.03</v>
      </c>
      <c r="J2818">
        <v>5.33</v>
      </c>
      <c r="K2818">
        <v>284</v>
      </c>
      <c r="L2818">
        <v>90.178330000000003</v>
      </c>
      <c r="M2818">
        <v>95.75</v>
      </c>
      <c r="O2818">
        <v>360000</v>
      </c>
      <c r="R2818">
        <v>2.5299999999999998</v>
      </c>
      <c r="S2818">
        <v>389</v>
      </c>
      <c r="T2818">
        <v>12.984305000000001</v>
      </c>
      <c r="U2818">
        <v>-61.287227999999999</v>
      </c>
    </row>
    <row r="2819" spans="1:21">
      <c r="A2819" t="s">
        <v>156</v>
      </c>
      <c r="B2819">
        <v>2009</v>
      </c>
      <c r="C2819">
        <v>12625.214</v>
      </c>
      <c r="E2819">
        <v>0.11</v>
      </c>
      <c r="F2819">
        <v>0</v>
      </c>
      <c r="G2819">
        <v>0.02</v>
      </c>
      <c r="H2819">
        <v>15.384615999999999</v>
      </c>
      <c r="I2819">
        <v>52.08</v>
      </c>
      <c r="J2819">
        <v>4.0999999999999996</v>
      </c>
      <c r="K2819">
        <v>284</v>
      </c>
      <c r="L2819">
        <v>91.482619999999997</v>
      </c>
      <c r="M2819">
        <v>95.7</v>
      </c>
      <c r="R2819">
        <v>3.27</v>
      </c>
      <c r="S2819">
        <v>389</v>
      </c>
      <c r="T2819">
        <v>12.984305000000001</v>
      </c>
      <c r="U2819">
        <v>-61.287227999999999</v>
      </c>
    </row>
    <row r="2820" spans="1:21">
      <c r="A2820" t="s">
        <v>156</v>
      </c>
      <c r="B2820">
        <v>2010</v>
      </c>
      <c r="C2820">
        <v>9376.5059999999994</v>
      </c>
      <c r="E2820">
        <v>0.11</v>
      </c>
      <c r="F2820">
        <v>0</v>
      </c>
      <c r="G2820">
        <v>0.03</v>
      </c>
      <c r="H2820">
        <v>21.428571999999999</v>
      </c>
      <c r="I2820">
        <v>52.1</v>
      </c>
      <c r="J2820">
        <v>5.13</v>
      </c>
      <c r="K2820">
        <v>284</v>
      </c>
      <c r="L2820">
        <v>92.79956</v>
      </c>
      <c r="M2820">
        <v>95.6</v>
      </c>
      <c r="R2820">
        <v>2.71</v>
      </c>
      <c r="S2820">
        <v>389</v>
      </c>
      <c r="T2820">
        <v>12.984305000000001</v>
      </c>
      <c r="U2820">
        <v>-61.287227999999999</v>
      </c>
    </row>
    <row r="2821" spans="1:21">
      <c r="A2821" t="s">
        <v>156</v>
      </c>
      <c r="B2821">
        <v>2011</v>
      </c>
      <c r="C2821">
        <v>8740.0239999999994</v>
      </c>
      <c r="E2821">
        <v>0.11</v>
      </c>
      <c r="F2821">
        <v>0</v>
      </c>
      <c r="G2821">
        <v>0.03</v>
      </c>
      <c r="H2821">
        <v>21.428571999999999</v>
      </c>
      <c r="I2821">
        <v>52.16</v>
      </c>
      <c r="J2821">
        <v>6.09</v>
      </c>
      <c r="K2821">
        <v>284</v>
      </c>
      <c r="L2821">
        <v>94.131860000000003</v>
      </c>
      <c r="M2821">
        <v>95.7</v>
      </c>
      <c r="R2821">
        <v>2.68</v>
      </c>
      <c r="S2821">
        <v>389</v>
      </c>
      <c r="T2821">
        <v>12.984305000000001</v>
      </c>
      <c r="U2821">
        <v>-61.287227999999999</v>
      </c>
    </row>
    <row r="2822" spans="1:21">
      <c r="A2822" t="s">
        <v>156</v>
      </c>
      <c r="B2822">
        <v>2012</v>
      </c>
      <c r="C2822">
        <v>10656.227000000001</v>
      </c>
      <c r="E2822">
        <v>0.11</v>
      </c>
      <c r="F2822">
        <v>0</v>
      </c>
      <c r="G2822">
        <v>0.03</v>
      </c>
      <c r="H2822">
        <v>21.428571999999999</v>
      </c>
      <c r="I2822">
        <v>52.52</v>
      </c>
      <c r="J2822">
        <v>5.0199999999999996</v>
      </c>
      <c r="K2822">
        <v>284</v>
      </c>
      <c r="L2822">
        <v>95.482219999999998</v>
      </c>
      <c r="M2822">
        <v>95.55</v>
      </c>
      <c r="R2822">
        <v>2.76</v>
      </c>
      <c r="S2822">
        <v>389</v>
      </c>
      <c r="T2822">
        <v>12.984305000000001</v>
      </c>
      <c r="U2822">
        <v>-61.287227999999999</v>
      </c>
    </row>
    <row r="2823" spans="1:21">
      <c r="A2823" t="s">
        <v>156</v>
      </c>
      <c r="B2823">
        <v>2013</v>
      </c>
      <c r="C2823">
        <v>8768.6990000000005</v>
      </c>
      <c r="E2823">
        <v>0.11</v>
      </c>
      <c r="F2823">
        <v>0</v>
      </c>
      <c r="G2823">
        <v>0.02</v>
      </c>
      <c r="H2823">
        <v>15.384615999999999</v>
      </c>
      <c r="I2823">
        <v>55.89</v>
      </c>
      <c r="J2823">
        <v>5.37</v>
      </c>
      <c r="K2823">
        <v>284</v>
      </c>
      <c r="L2823">
        <v>96.852419999999995</v>
      </c>
      <c r="M2823">
        <v>95.6</v>
      </c>
      <c r="O2823">
        <v>10000</v>
      </c>
      <c r="R2823">
        <v>2.58</v>
      </c>
      <c r="S2823">
        <v>389</v>
      </c>
      <c r="T2823">
        <v>12.984305000000001</v>
      </c>
      <c r="U2823">
        <v>-61.287227999999999</v>
      </c>
    </row>
    <row r="2824" spans="1:21">
      <c r="A2824" t="s">
        <v>156</v>
      </c>
      <c r="B2824">
        <v>2014</v>
      </c>
      <c r="C2824">
        <v>9080.616</v>
      </c>
      <c r="E2824">
        <v>0.12</v>
      </c>
      <c r="F2824">
        <v>0</v>
      </c>
      <c r="G2824">
        <v>0.01</v>
      </c>
      <c r="H2824">
        <v>7.6923079999999997</v>
      </c>
      <c r="I2824">
        <v>55.76</v>
      </c>
      <c r="J2824">
        <v>3.32</v>
      </c>
      <c r="K2824">
        <v>284</v>
      </c>
      <c r="L2824">
        <v>98.240425000000002</v>
      </c>
      <c r="M2824">
        <v>95.35</v>
      </c>
      <c r="O2824">
        <v>20000</v>
      </c>
      <c r="R2824">
        <v>2.95</v>
      </c>
      <c r="S2824">
        <v>389</v>
      </c>
      <c r="T2824">
        <v>12.984305000000001</v>
      </c>
      <c r="U2824">
        <v>-61.287227999999999</v>
      </c>
    </row>
    <row r="2825" spans="1:21">
      <c r="A2825" t="s">
        <v>156</v>
      </c>
      <c r="B2825">
        <v>2015</v>
      </c>
      <c r="C2825">
        <v>9347.2705000000005</v>
      </c>
      <c r="E2825">
        <v>0.12</v>
      </c>
      <c r="F2825">
        <v>0</v>
      </c>
      <c r="G2825">
        <v>0.02</v>
      </c>
      <c r="H2825">
        <v>14.285714</v>
      </c>
      <c r="I2825">
        <v>58.55</v>
      </c>
      <c r="J2825">
        <v>4.3</v>
      </c>
      <c r="K2825">
        <v>284</v>
      </c>
      <c r="L2825">
        <v>99.643270000000001</v>
      </c>
      <c r="M2825">
        <v>95.2</v>
      </c>
      <c r="R2825">
        <v>2.72</v>
      </c>
      <c r="S2825">
        <v>389</v>
      </c>
      <c r="T2825">
        <v>12.984305000000001</v>
      </c>
      <c r="U2825">
        <v>-61.287227999999999</v>
      </c>
    </row>
    <row r="2826" spans="1:21">
      <c r="A2826" t="s">
        <v>156</v>
      </c>
      <c r="B2826">
        <v>2016</v>
      </c>
      <c r="C2826">
        <v>9374.3559999999998</v>
      </c>
      <c r="E2826">
        <v>0.13</v>
      </c>
      <c r="F2826">
        <v>0</v>
      </c>
      <c r="G2826">
        <v>0.02</v>
      </c>
      <c r="H2826">
        <v>13.333333</v>
      </c>
      <c r="I2826">
        <v>62.49</v>
      </c>
      <c r="J2826">
        <v>4.0999999999999996</v>
      </c>
      <c r="K2826">
        <v>284</v>
      </c>
      <c r="L2826">
        <v>99.800839999999994</v>
      </c>
      <c r="M2826">
        <v>95.3</v>
      </c>
      <c r="O2826">
        <v>31690000</v>
      </c>
      <c r="R2826">
        <v>2.74</v>
      </c>
      <c r="S2826">
        <v>389</v>
      </c>
      <c r="T2826">
        <v>12.984305000000001</v>
      </c>
      <c r="U2826">
        <v>-61.287227999999999</v>
      </c>
    </row>
    <row r="2827" spans="1:21">
      <c r="A2827" t="s">
        <v>156</v>
      </c>
      <c r="B2827">
        <v>2017</v>
      </c>
      <c r="C2827">
        <v>10836.359</v>
      </c>
      <c r="E2827">
        <v>0.12</v>
      </c>
      <c r="F2827">
        <v>0</v>
      </c>
      <c r="G2827">
        <v>0.02</v>
      </c>
      <c r="H2827">
        <v>14.285714</v>
      </c>
      <c r="I2827">
        <v>62.92</v>
      </c>
      <c r="J2827">
        <v>5.29</v>
      </c>
      <c r="K2827">
        <v>284</v>
      </c>
      <c r="L2827">
        <v>99.977710000000002</v>
      </c>
      <c r="M2827">
        <v>94.9</v>
      </c>
      <c r="O2827">
        <v>3100000</v>
      </c>
      <c r="R2827">
        <v>2.41</v>
      </c>
      <c r="S2827">
        <v>389</v>
      </c>
      <c r="T2827">
        <v>12.984305000000001</v>
      </c>
      <c r="U2827">
        <v>-61.287227999999999</v>
      </c>
    </row>
    <row r="2828" spans="1:21">
      <c r="A2828" t="s">
        <v>156</v>
      </c>
      <c r="B2828">
        <v>2018</v>
      </c>
      <c r="C2828">
        <v>9998.6090000000004</v>
      </c>
      <c r="E2828">
        <v>0.12</v>
      </c>
      <c r="F2828">
        <v>0</v>
      </c>
      <c r="G2828">
        <v>0.02</v>
      </c>
      <c r="H2828">
        <v>14.285714</v>
      </c>
      <c r="I2828">
        <v>62.7</v>
      </c>
      <c r="J2828">
        <v>4.93</v>
      </c>
      <c r="K2828">
        <v>284</v>
      </c>
      <c r="L2828">
        <v>100</v>
      </c>
      <c r="M2828">
        <v>94.7</v>
      </c>
      <c r="R2828">
        <v>2.67</v>
      </c>
      <c r="S2828">
        <v>389</v>
      </c>
      <c r="T2828">
        <v>12.984305000000001</v>
      </c>
      <c r="U2828">
        <v>-61.287227999999999</v>
      </c>
    </row>
    <row r="2829" spans="1:21">
      <c r="A2829" t="s">
        <v>156</v>
      </c>
      <c r="B2829">
        <v>2019</v>
      </c>
      <c r="C2829">
        <v>8642.6749999999993</v>
      </c>
      <c r="E2829">
        <v>0.12</v>
      </c>
      <c r="F2829">
        <v>0</v>
      </c>
      <c r="G2829">
        <v>0.02</v>
      </c>
      <c r="H2829">
        <v>14.285714</v>
      </c>
      <c r="I2829">
        <v>67.91</v>
      </c>
      <c r="J2829">
        <v>5.68</v>
      </c>
      <c r="K2829">
        <v>284</v>
      </c>
      <c r="L2829">
        <v>100</v>
      </c>
      <c r="M2829">
        <v>94.5</v>
      </c>
      <c r="R2829">
        <v>2.48</v>
      </c>
      <c r="S2829">
        <v>389</v>
      </c>
      <c r="T2829">
        <v>12.984305000000001</v>
      </c>
      <c r="U2829">
        <v>-61.287227999999999</v>
      </c>
    </row>
    <row r="2830" spans="1:21">
      <c r="A2830" t="s">
        <v>156</v>
      </c>
      <c r="B2830">
        <v>2020</v>
      </c>
      <c r="C2830">
        <v>7788.4960000000001</v>
      </c>
      <c r="E2830">
        <v>0.11</v>
      </c>
      <c r="F2830">
        <v>0</v>
      </c>
      <c r="G2830">
        <v>0.04</v>
      </c>
      <c r="H2830">
        <v>26.666665999999999</v>
      </c>
      <c r="I2830">
        <v>67.69</v>
      </c>
      <c r="K2830">
        <v>284</v>
      </c>
      <c r="L2830">
        <v>100</v>
      </c>
      <c r="M2830">
        <v>94.2</v>
      </c>
      <c r="S2830">
        <v>389</v>
      </c>
      <c r="T2830">
        <v>12.984305000000001</v>
      </c>
      <c r="U2830">
        <v>-61.287227999999999</v>
      </c>
    </row>
    <row r="2831" spans="1:21">
      <c r="A2831" t="s">
        <v>157</v>
      </c>
      <c r="B2831">
        <v>2000</v>
      </c>
      <c r="C2831">
        <v>5050.9790000000003</v>
      </c>
      <c r="D2831">
        <v>150</v>
      </c>
      <c r="E2831">
        <v>0.05</v>
      </c>
      <c r="F2831">
        <v>0</v>
      </c>
      <c r="G2831">
        <v>0.05</v>
      </c>
      <c r="H2831">
        <v>50</v>
      </c>
      <c r="I2831">
        <v>86.04</v>
      </c>
      <c r="J2831">
        <v>59.69</v>
      </c>
      <c r="K2831">
        <v>70</v>
      </c>
      <c r="L2831">
        <v>87.857830000000007</v>
      </c>
      <c r="M2831">
        <v>18.600000000000001</v>
      </c>
      <c r="P2831">
        <v>6.9187944540000004</v>
      </c>
      <c r="Q2831">
        <v>1542.066736</v>
      </c>
      <c r="R2831">
        <v>5.31</v>
      </c>
      <c r="S2831">
        <v>2831</v>
      </c>
      <c r="T2831">
        <v>-13.759029</v>
      </c>
      <c r="U2831">
        <v>-172.10462899999999</v>
      </c>
    </row>
    <row r="2832" spans="1:21">
      <c r="A2832" t="s">
        <v>157</v>
      </c>
      <c r="B2832">
        <v>2001</v>
      </c>
      <c r="C2832">
        <v>5352.6962999999996</v>
      </c>
      <c r="D2832">
        <v>160</v>
      </c>
      <c r="E2832">
        <v>0.05</v>
      </c>
      <c r="F2832">
        <v>0</v>
      </c>
      <c r="G2832">
        <v>0.06</v>
      </c>
      <c r="H2832">
        <v>54.545456000000001</v>
      </c>
      <c r="I2832">
        <v>85.58</v>
      </c>
      <c r="J2832">
        <v>52.41</v>
      </c>
      <c r="K2832">
        <v>70</v>
      </c>
      <c r="L2832">
        <v>88.584649999999996</v>
      </c>
      <c r="M2832">
        <v>19.399999999999999</v>
      </c>
      <c r="P2832">
        <v>6.9397617929999997</v>
      </c>
      <c r="Q2832">
        <v>1556.999425</v>
      </c>
      <c r="R2832">
        <v>4.67</v>
      </c>
      <c r="S2832">
        <v>2831</v>
      </c>
      <c r="T2832">
        <v>-13.759029</v>
      </c>
      <c r="U2832">
        <v>-172.10462899999999</v>
      </c>
    </row>
    <row r="2833" spans="1:21">
      <c r="A2833" t="s">
        <v>157</v>
      </c>
      <c r="B2833">
        <v>2002</v>
      </c>
      <c r="C2833">
        <v>5618.4930000000004</v>
      </c>
      <c r="D2833">
        <v>170.00000180000001</v>
      </c>
      <c r="E2833">
        <v>0.05</v>
      </c>
      <c r="F2833">
        <v>0</v>
      </c>
      <c r="G2833">
        <v>7.0000000000000007E-2</v>
      </c>
      <c r="H2833">
        <v>58.333336000000003</v>
      </c>
      <c r="I2833">
        <v>85.09</v>
      </c>
      <c r="J2833">
        <v>49.58</v>
      </c>
      <c r="K2833">
        <v>70</v>
      </c>
      <c r="L2833">
        <v>89.303880000000007</v>
      </c>
      <c r="M2833">
        <v>19.899999999999999</v>
      </c>
      <c r="P2833">
        <v>4.3439961079999998</v>
      </c>
      <c r="Q2833">
        <v>1633.0076610000001</v>
      </c>
      <c r="R2833">
        <v>4.4800000000000004</v>
      </c>
      <c r="S2833">
        <v>2831</v>
      </c>
      <c r="T2833">
        <v>-13.759029</v>
      </c>
      <c r="U2833">
        <v>-172.10462899999999</v>
      </c>
    </row>
    <row r="2834" spans="1:21">
      <c r="A2834" t="s">
        <v>157</v>
      </c>
      <c r="B2834">
        <v>2003</v>
      </c>
      <c r="C2834">
        <v>5643.4480000000003</v>
      </c>
      <c r="D2834">
        <v>170.00000180000001</v>
      </c>
      <c r="E2834">
        <v>0.05</v>
      </c>
      <c r="F2834">
        <v>0</v>
      </c>
      <c r="G2834">
        <v>0.06</v>
      </c>
      <c r="H2834">
        <v>54.545456000000001</v>
      </c>
      <c r="I2834">
        <v>84.57</v>
      </c>
      <c r="J2834">
        <v>52.41</v>
      </c>
      <c r="K2834">
        <v>70</v>
      </c>
      <c r="L2834">
        <v>90.017880000000005</v>
      </c>
      <c r="M2834">
        <v>20.8</v>
      </c>
      <c r="P2834">
        <v>4.5154824549999999</v>
      </c>
      <c r="Q2834">
        <v>1909.1544409999999</v>
      </c>
      <c r="R2834">
        <v>4.4800000000000004</v>
      </c>
      <c r="S2834">
        <v>2831</v>
      </c>
      <c r="T2834">
        <v>-13.759029</v>
      </c>
      <c r="U2834">
        <v>-172.10462899999999</v>
      </c>
    </row>
    <row r="2835" spans="1:21">
      <c r="A2835" t="s">
        <v>157</v>
      </c>
      <c r="B2835">
        <v>2004</v>
      </c>
      <c r="C2835">
        <v>5624.8239999999996</v>
      </c>
      <c r="D2835">
        <v>189.9999976</v>
      </c>
      <c r="E2835">
        <v>0.05</v>
      </c>
      <c r="F2835">
        <v>0</v>
      </c>
      <c r="G2835">
        <v>0.06</v>
      </c>
      <c r="H2835">
        <v>54.545456000000001</v>
      </c>
      <c r="I2835">
        <v>84.04</v>
      </c>
      <c r="J2835">
        <v>48.82</v>
      </c>
      <c r="K2835">
        <v>70</v>
      </c>
      <c r="L2835">
        <v>90.728999999999999</v>
      </c>
      <c r="M2835">
        <v>21.5</v>
      </c>
      <c r="P2835">
        <v>4.625000762</v>
      </c>
      <c r="Q2835">
        <v>2353.4559730000001</v>
      </c>
      <c r="R2835">
        <v>4.1900000000000004</v>
      </c>
      <c r="S2835">
        <v>2831</v>
      </c>
      <c r="T2835">
        <v>-13.759029</v>
      </c>
      <c r="U2835">
        <v>-172.10462899999999</v>
      </c>
    </row>
    <row r="2836" spans="1:21">
      <c r="A2836" t="s">
        <v>157</v>
      </c>
      <c r="B2836">
        <v>2005</v>
      </c>
      <c r="C2836">
        <v>5678.59</v>
      </c>
      <c r="D2836">
        <v>209.99999339999999</v>
      </c>
      <c r="E2836">
        <v>0.05</v>
      </c>
      <c r="F2836">
        <v>0</v>
      </c>
      <c r="G2836">
        <v>0.06</v>
      </c>
      <c r="H2836">
        <v>54.545456000000001</v>
      </c>
      <c r="I2836">
        <v>83.6</v>
      </c>
      <c r="J2836">
        <v>48.89</v>
      </c>
      <c r="K2836">
        <v>70</v>
      </c>
      <c r="L2836">
        <v>91.439570000000003</v>
      </c>
      <c r="M2836">
        <v>22.3</v>
      </c>
      <c r="P2836">
        <v>4.1564895430000002</v>
      </c>
      <c r="Q2836">
        <v>2590.4898579999999</v>
      </c>
      <c r="R2836">
        <v>4.12</v>
      </c>
      <c r="S2836">
        <v>2831</v>
      </c>
      <c r="T2836">
        <v>-13.759029</v>
      </c>
      <c r="U2836">
        <v>-172.10462899999999</v>
      </c>
    </row>
    <row r="2837" spans="1:21">
      <c r="A2837" t="s">
        <v>157</v>
      </c>
      <c r="B2837">
        <v>2006</v>
      </c>
      <c r="C2837">
        <v>5844.4766</v>
      </c>
      <c r="D2837">
        <v>200.00000299999999</v>
      </c>
      <c r="E2837">
        <v>0.06</v>
      </c>
      <c r="F2837">
        <v>0</v>
      </c>
      <c r="G2837">
        <v>0.05</v>
      </c>
      <c r="H2837">
        <v>45.454543999999999</v>
      </c>
      <c r="I2837">
        <v>69.239999999999995</v>
      </c>
      <c r="J2837">
        <v>45.96</v>
      </c>
      <c r="K2837">
        <v>70</v>
      </c>
      <c r="L2837">
        <v>96.371729999999999</v>
      </c>
      <c r="M2837">
        <v>23.2</v>
      </c>
      <c r="P2837">
        <v>1.9688083409999999</v>
      </c>
      <c r="Q2837">
        <v>2796.601169</v>
      </c>
      <c r="R2837">
        <v>3.8</v>
      </c>
      <c r="S2837">
        <v>2831</v>
      </c>
      <c r="T2837">
        <v>-13.759029</v>
      </c>
      <c r="U2837">
        <v>-172.10462899999999</v>
      </c>
    </row>
    <row r="2838" spans="1:21">
      <c r="A2838" t="s">
        <v>157</v>
      </c>
      <c r="B2838">
        <v>2007</v>
      </c>
      <c r="C2838">
        <v>6201.1836000000003</v>
      </c>
      <c r="D2838">
        <v>200.00000299999999</v>
      </c>
      <c r="E2838">
        <v>0.06</v>
      </c>
      <c r="F2838">
        <v>0</v>
      </c>
      <c r="G2838">
        <v>0.05</v>
      </c>
      <c r="H2838">
        <v>45.454543999999999</v>
      </c>
      <c r="I2838">
        <v>68.8</v>
      </c>
      <c r="J2838">
        <v>43.18</v>
      </c>
      <c r="K2838">
        <v>70</v>
      </c>
      <c r="L2838">
        <v>92.868989999999997</v>
      </c>
      <c r="M2838">
        <v>24</v>
      </c>
      <c r="P2838">
        <v>6.3226448040000003</v>
      </c>
      <c r="Q2838">
        <v>3133.671327</v>
      </c>
      <c r="R2838">
        <v>3.6</v>
      </c>
      <c r="S2838">
        <v>2831</v>
      </c>
      <c r="T2838">
        <v>-13.759029</v>
      </c>
      <c r="U2838">
        <v>-172.10462899999999</v>
      </c>
    </row>
    <row r="2839" spans="1:21">
      <c r="A2839" t="s">
        <v>157</v>
      </c>
      <c r="B2839">
        <v>2008</v>
      </c>
      <c r="C2839">
        <v>6318.1090000000004</v>
      </c>
      <c r="D2839">
        <v>170.00000180000001</v>
      </c>
      <c r="E2839">
        <v>0.06</v>
      </c>
      <c r="F2839">
        <v>0</v>
      </c>
      <c r="G2839">
        <v>0.05</v>
      </c>
      <c r="H2839">
        <v>45.454543999999999</v>
      </c>
      <c r="I2839">
        <v>68.34</v>
      </c>
      <c r="J2839">
        <v>44.87</v>
      </c>
      <c r="K2839">
        <v>70</v>
      </c>
      <c r="L2839">
        <v>98.1</v>
      </c>
      <c r="M2839">
        <v>25.1</v>
      </c>
      <c r="P2839">
        <v>1.0090877549999999</v>
      </c>
      <c r="Q2839">
        <v>3378.9530289999998</v>
      </c>
      <c r="R2839">
        <v>3.31</v>
      </c>
      <c r="S2839">
        <v>2831</v>
      </c>
      <c r="T2839">
        <v>-13.759029</v>
      </c>
      <c r="U2839">
        <v>-172.10462899999999</v>
      </c>
    </row>
    <row r="2840" spans="1:21">
      <c r="A2840" t="s">
        <v>157</v>
      </c>
      <c r="B2840">
        <v>2009</v>
      </c>
      <c r="C2840">
        <v>6564.24</v>
      </c>
      <c r="D2840">
        <v>180.0000072</v>
      </c>
      <c r="E2840">
        <v>0.06</v>
      </c>
      <c r="F2840">
        <v>0</v>
      </c>
      <c r="G2840">
        <v>0.05</v>
      </c>
      <c r="H2840">
        <v>45.454543999999999</v>
      </c>
      <c r="I2840">
        <v>67.86</v>
      </c>
      <c r="J2840">
        <v>43.28</v>
      </c>
      <c r="K2840">
        <v>70</v>
      </c>
      <c r="L2840">
        <v>97.9</v>
      </c>
      <c r="M2840">
        <v>25.9</v>
      </c>
      <c r="O2840">
        <v>0</v>
      </c>
      <c r="P2840">
        <v>-4.8082738489999999</v>
      </c>
      <c r="Q2840">
        <v>3168.2282070000001</v>
      </c>
      <c r="R2840">
        <v>3.56</v>
      </c>
      <c r="S2840">
        <v>2831</v>
      </c>
      <c r="T2840">
        <v>-13.759029</v>
      </c>
      <c r="U2840">
        <v>-172.10462899999999</v>
      </c>
    </row>
    <row r="2841" spans="1:21">
      <c r="A2841" t="s">
        <v>157</v>
      </c>
      <c r="B2841">
        <v>2010</v>
      </c>
      <c r="C2841">
        <v>6500.3490000000002</v>
      </c>
      <c r="D2841">
        <v>189.9999976</v>
      </c>
      <c r="E2841">
        <v>0.06</v>
      </c>
      <c r="F2841">
        <v>0</v>
      </c>
      <c r="G2841">
        <v>0.05</v>
      </c>
      <c r="H2841">
        <v>45.454543999999999</v>
      </c>
      <c r="I2841">
        <v>67.349999999999994</v>
      </c>
      <c r="J2841">
        <v>41.28</v>
      </c>
      <c r="K2841">
        <v>70</v>
      </c>
      <c r="L2841">
        <v>96.361050000000006</v>
      </c>
      <c r="M2841">
        <v>26.8</v>
      </c>
      <c r="O2841">
        <v>200000</v>
      </c>
      <c r="P2841">
        <v>0.46724582199999998</v>
      </c>
      <c r="Q2841">
        <v>3566.4283599999999</v>
      </c>
      <c r="R2841">
        <v>3.75</v>
      </c>
      <c r="S2841">
        <v>2831</v>
      </c>
      <c r="T2841">
        <v>-13.759029</v>
      </c>
      <c r="U2841">
        <v>-172.10462899999999</v>
      </c>
    </row>
    <row r="2842" spans="1:21">
      <c r="A2842" t="s">
        <v>157</v>
      </c>
      <c r="B2842">
        <v>2011</v>
      </c>
      <c r="C2842">
        <v>6521.6980000000003</v>
      </c>
      <c r="D2842">
        <v>200.00000299999999</v>
      </c>
      <c r="E2842">
        <v>7.0000000000000007E-2</v>
      </c>
      <c r="F2842">
        <v>0</v>
      </c>
      <c r="G2842">
        <v>0.05</v>
      </c>
      <c r="H2842">
        <v>41.666668000000001</v>
      </c>
      <c r="I2842">
        <v>66.81</v>
      </c>
      <c r="J2842">
        <v>40.26</v>
      </c>
      <c r="K2842">
        <v>70</v>
      </c>
      <c r="L2842">
        <v>96.668570000000003</v>
      </c>
      <c r="M2842">
        <v>27.8</v>
      </c>
      <c r="P2842">
        <v>4.1036408250000003</v>
      </c>
      <c r="Q2842">
        <v>3932.1058469999998</v>
      </c>
      <c r="R2842">
        <v>3.59</v>
      </c>
      <c r="S2842">
        <v>2831</v>
      </c>
      <c r="T2842">
        <v>-13.759029</v>
      </c>
      <c r="U2842">
        <v>-172.10462899999999</v>
      </c>
    </row>
    <row r="2843" spans="1:21">
      <c r="A2843" t="s">
        <v>157</v>
      </c>
      <c r="B2843">
        <v>2012</v>
      </c>
      <c r="C2843">
        <v>6256.2554</v>
      </c>
      <c r="D2843">
        <v>200.00000299999999</v>
      </c>
      <c r="E2843">
        <v>7.0000000000000007E-2</v>
      </c>
      <c r="F2843">
        <v>0</v>
      </c>
      <c r="G2843">
        <v>0.04</v>
      </c>
      <c r="H2843">
        <v>36.363636</v>
      </c>
      <c r="I2843">
        <v>46.98</v>
      </c>
      <c r="J2843">
        <v>40.26</v>
      </c>
      <c r="K2843">
        <v>70</v>
      </c>
      <c r="L2843">
        <v>96.826935000000006</v>
      </c>
      <c r="M2843">
        <v>28.6</v>
      </c>
      <c r="P2843">
        <v>-4.0844940129999996</v>
      </c>
      <c r="Q2843">
        <v>4020.959844</v>
      </c>
      <c r="R2843">
        <v>3.86</v>
      </c>
      <c r="S2843">
        <v>2831</v>
      </c>
      <c r="T2843">
        <v>-13.759029</v>
      </c>
      <c r="U2843">
        <v>-172.10462899999999</v>
      </c>
    </row>
    <row r="2844" spans="1:21">
      <c r="A2844" t="s">
        <v>157</v>
      </c>
      <c r="B2844">
        <v>2013</v>
      </c>
      <c r="C2844">
        <v>6016.6445000000003</v>
      </c>
      <c r="D2844">
        <v>200.00000299999999</v>
      </c>
      <c r="E2844">
        <v>0.08</v>
      </c>
      <c r="F2844">
        <v>0</v>
      </c>
      <c r="G2844">
        <v>0.03</v>
      </c>
      <c r="H2844">
        <v>27.272728000000001</v>
      </c>
      <c r="I2844">
        <v>47.37</v>
      </c>
      <c r="J2844">
        <v>42.61</v>
      </c>
      <c r="K2844">
        <v>70</v>
      </c>
      <c r="L2844">
        <v>97.416533999999999</v>
      </c>
      <c r="M2844">
        <v>29.5</v>
      </c>
      <c r="O2844">
        <v>4700000</v>
      </c>
      <c r="P2844">
        <v>-0.34232733599999998</v>
      </c>
      <c r="Q2844">
        <v>4037.8138290000002</v>
      </c>
      <c r="R2844">
        <v>3.94</v>
      </c>
      <c r="S2844">
        <v>2831</v>
      </c>
      <c r="T2844">
        <v>-13.759029</v>
      </c>
      <c r="U2844">
        <v>-172.10462899999999</v>
      </c>
    </row>
    <row r="2845" spans="1:21">
      <c r="A2845" t="s">
        <v>157</v>
      </c>
      <c r="B2845">
        <v>2014</v>
      </c>
      <c r="C2845">
        <v>6062.0450000000001</v>
      </c>
      <c r="D2845">
        <v>209.99999339999999</v>
      </c>
      <c r="E2845">
        <v>0.09</v>
      </c>
      <c r="F2845">
        <v>0</v>
      </c>
      <c r="G2845">
        <v>0.03</v>
      </c>
      <c r="H2845">
        <v>25</v>
      </c>
      <c r="I2845">
        <v>65.099999999999994</v>
      </c>
      <c r="J2845">
        <v>41.24</v>
      </c>
      <c r="K2845">
        <v>70</v>
      </c>
      <c r="L2845">
        <v>97.9</v>
      </c>
      <c r="M2845">
        <v>30.4</v>
      </c>
      <c r="O2845">
        <v>32460000</v>
      </c>
      <c r="P2845">
        <v>5.2170613999999997E-2</v>
      </c>
      <c r="Q2845">
        <v>3937.1862460000002</v>
      </c>
      <c r="R2845">
        <v>4.1100000000000003</v>
      </c>
      <c r="S2845">
        <v>2831</v>
      </c>
      <c r="T2845">
        <v>-13.759029</v>
      </c>
      <c r="U2845">
        <v>-172.10462899999999</v>
      </c>
    </row>
    <row r="2846" spans="1:21">
      <c r="A2846" t="s">
        <v>157</v>
      </c>
      <c r="B2846">
        <v>2015</v>
      </c>
      <c r="C2846">
        <v>6971.5460000000003</v>
      </c>
      <c r="D2846">
        <v>239.99999460000001</v>
      </c>
      <c r="E2846">
        <v>0.09</v>
      </c>
      <c r="F2846">
        <v>0</v>
      </c>
      <c r="G2846">
        <v>0.04</v>
      </c>
      <c r="H2846">
        <v>30.769231999999999</v>
      </c>
      <c r="I2846">
        <v>73.400000000000006</v>
      </c>
      <c r="J2846">
        <v>37.47</v>
      </c>
      <c r="K2846">
        <v>70</v>
      </c>
      <c r="L2846">
        <v>99.067085000000006</v>
      </c>
      <c r="M2846">
        <v>31.4</v>
      </c>
      <c r="O2846">
        <v>10000</v>
      </c>
      <c r="P2846">
        <v>4.296880765</v>
      </c>
      <c r="Q2846">
        <v>4071.9269589999999</v>
      </c>
      <c r="R2846">
        <v>4.3099999999999996</v>
      </c>
      <c r="S2846">
        <v>2831</v>
      </c>
      <c r="T2846">
        <v>-13.759029</v>
      </c>
      <c r="U2846">
        <v>-172.10462899999999</v>
      </c>
    </row>
    <row r="2847" spans="1:21">
      <c r="A2847" t="s">
        <v>157</v>
      </c>
      <c r="B2847">
        <v>2016</v>
      </c>
      <c r="C2847">
        <v>7356.9272000000001</v>
      </c>
      <c r="D2847">
        <v>300.0000119</v>
      </c>
      <c r="E2847">
        <v>0.09</v>
      </c>
      <c r="F2847">
        <v>0</v>
      </c>
      <c r="G2847">
        <v>0.05</v>
      </c>
      <c r="H2847">
        <v>35.714286999999999</v>
      </c>
      <c r="I2847">
        <v>85.61</v>
      </c>
      <c r="J2847">
        <v>36.82</v>
      </c>
      <c r="K2847">
        <v>70</v>
      </c>
      <c r="L2847">
        <v>99.623289999999997</v>
      </c>
      <c r="M2847">
        <v>32.4</v>
      </c>
      <c r="O2847">
        <v>0</v>
      </c>
      <c r="P2847">
        <v>8.1262493530000004</v>
      </c>
      <c r="Q2847">
        <v>4109.6632280000003</v>
      </c>
      <c r="R2847">
        <v>4.1100000000000003</v>
      </c>
      <c r="S2847">
        <v>2831</v>
      </c>
      <c r="T2847">
        <v>-13.759029</v>
      </c>
      <c r="U2847">
        <v>-172.10462899999999</v>
      </c>
    </row>
    <row r="2848" spans="1:21">
      <c r="A2848" t="s">
        <v>157</v>
      </c>
      <c r="B2848">
        <v>2017</v>
      </c>
      <c r="C2848">
        <v>7347.6930000000002</v>
      </c>
      <c r="D2848">
        <v>310.00000240000003</v>
      </c>
      <c r="E2848">
        <v>0.09</v>
      </c>
      <c r="F2848">
        <v>0</v>
      </c>
      <c r="G2848">
        <v>0.05</v>
      </c>
      <c r="H2848">
        <v>35.714286999999999</v>
      </c>
      <c r="I2848">
        <v>135.77000000000001</v>
      </c>
      <c r="J2848">
        <v>35.79</v>
      </c>
      <c r="K2848">
        <v>70</v>
      </c>
      <c r="L2848">
        <v>96.8</v>
      </c>
      <c r="M2848">
        <v>33.6</v>
      </c>
      <c r="O2848">
        <v>2050000</v>
      </c>
      <c r="P2848">
        <v>1.0424337189999999</v>
      </c>
      <c r="Q2848">
        <v>4258.9787669999996</v>
      </c>
      <c r="R2848">
        <v>4.17</v>
      </c>
      <c r="S2848">
        <v>2831</v>
      </c>
      <c r="T2848">
        <v>-13.759029</v>
      </c>
      <c r="U2848">
        <v>-172.10462899999999</v>
      </c>
    </row>
    <row r="2849" spans="1:21">
      <c r="A2849" t="s">
        <v>157</v>
      </c>
      <c r="B2849">
        <v>2018</v>
      </c>
      <c r="C2849">
        <v>7217.7255999999998</v>
      </c>
      <c r="D2849">
        <v>289.99999170000001</v>
      </c>
      <c r="E2849">
        <v>0.09</v>
      </c>
      <c r="F2849">
        <v>0</v>
      </c>
      <c r="G2849">
        <v>0.06</v>
      </c>
      <c r="H2849">
        <v>40</v>
      </c>
      <c r="I2849">
        <v>136.05000000000001</v>
      </c>
      <c r="J2849">
        <v>36.630000000000003</v>
      </c>
      <c r="K2849">
        <v>70</v>
      </c>
      <c r="L2849">
        <v>99.994479999999996</v>
      </c>
      <c r="M2849">
        <v>34.6</v>
      </c>
      <c r="P2849">
        <v>-1.233162407</v>
      </c>
      <c r="Q2849">
        <v>4187.5047290000002</v>
      </c>
      <c r="R2849">
        <v>4.2300000000000004</v>
      </c>
      <c r="S2849">
        <v>2831</v>
      </c>
      <c r="T2849">
        <v>-13.759029</v>
      </c>
      <c r="U2849">
        <v>-172.10462899999999</v>
      </c>
    </row>
    <row r="2850" spans="1:21">
      <c r="A2850" t="s">
        <v>157</v>
      </c>
      <c r="B2850">
        <v>2019</v>
      </c>
      <c r="C2850">
        <v>7697.9589999999998</v>
      </c>
      <c r="D2850">
        <v>300.0000119</v>
      </c>
      <c r="E2850">
        <v>0.09</v>
      </c>
      <c r="F2850">
        <v>0</v>
      </c>
      <c r="G2850">
        <v>0.06</v>
      </c>
      <c r="H2850">
        <v>40</v>
      </c>
      <c r="I2850">
        <v>142.74</v>
      </c>
      <c r="J2850">
        <v>34.21</v>
      </c>
      <c r="K2850">
        <v>70</v>
      </c>
      <c r="L2850">
        <v>99.2</v>
      </c>
      <c r="M2850">
        <v>35.299999999999997</v>
      </c>
      <c r="P2850">
        <v>4.3798255450000001</v>
      </c>
      <c r="Q2850">
        <v>4322.8684569999996</v>
      </c>
      <c r="R2850">
        <v>4.4400000000000004</v>
      </c>
      <c r="S2850">
        <v>2831</v>
      </c>
      <c r="T2850">
        <v>-13.759029</v>
      </c>
      <c r="U2850">
        <v>-172.10462899999999</v>
      </c>
    </row>
    <row r="2851" spans="1:21">
      <c r="A2851" t="s">
        <v>157</v>
      </c>
      <c r="B2851">
        <v>2020</v>
      </c>
      <c r="C2851">
        <v>7222.1904000000004</v>
      </c>
      <c r="E2851">
        <v>0.1</v>
      </c>
      <c r="F2851">
        <v>0</v>
      </c>
      <c r="G2851">
        <v>0.06</v>
      </c>
      <c r="H2851">
        <v>37.5</v>
      </c>
      <c r="I2851">
        <v>141.80000000000001</v>
      </c>
      <c r="K2851">
        <v>70</v>
      </c>
      <c r="L2851">
        <v>100</v>
      </c>
      <c r="M2851">
        <v>36.5</v>
      </c>
      <c r="P2851">
        <v>-2.5926083000000002</v>
      </c>
      <c r="Q2851">
        <v>4067.8434590000002</v>
      </c>
      <c r="S2851">
        <v>2831</v>
      </c>
      <c r="T2851">
        <v>-13.759029</v>
      </c>
      <c r="U2851">
        <v>-172.10462899999999</v>
      </c>
    </row>
    <row r="2852" spans="1:21">
      <c r="A2852" t="s">
        <v>158</v>
      </c>
      <c r="B2852">
        <v>2000</v>
      </c>
      <c r="C2852">
        <v>2032.075</v>
      </c>
      <c r="D2852">
        <v>50</v>
      </c>
      <c r="E2852">
        <v>0.02</v>
      </c>
      <c r="F2852">
        <v>0</v>
      </c>
      <c r="G2852">
        <v>0.01</v>
      </c>
      <c r="H2852">
        <v>33.333336000000003</v>
      </c>
      <c r="I2852">
        <v>16.309999999999999</v>
      </c>
      <c r="J2852">
        <v>54.73</v>
      </c>
      <c r="K2852">
        <v>242</v>
      </c>
      <c r="L2852">
        <v>52.9</v>
      </c>
      <c r="M2852">
        <v>0.4</v>
      </c>
      <c r="R2852">
        <v>4.5199999999999996</v>
      </c>
      <c r="S2852">
        <v>836</v>
      </c>
      <c r="T2852">
        <v>0.3301924</v>
      </c>
      <c r="U2852">
        <v>6.7333429999999996</v>
      </c>
    </row>
    <row r="2853" spans="1:21">
      <c r="A2853" t="s">
        <v>158</v>
      </c>
      <c r="B2853">
        <v>2001</v>
      </c>
      <c r="C2853">
        <v>1865.8683000000001</v>
      </c>
      <c r="D2853">
        <v>50</v>
      </c>
      <c r="E2853">
        <v>0.02</v>
      </c>
      <c r="F2853">
        <v>0</v>
      </c>
      <c r="G2853">
        <v>0</v>
      </c>
      <c r="H2853">
        <v>0</v>
      </c>
      <c r="I2853">
        <v>16.03</v>
      </c>
      <c r="J2853">
        <v>55.47</v>
      </c>
      <c r="K2853">
        <v>242</v>
      </c>
      <c r="L2853">
        <v>51.491173000000003</v>
      </c>
      <c r="M2853">
        <v>0.4</v>
      </c>
      <c r="O2853">
        <v>1090000</v>
      </c>
      <c r="Q2853">
        <v>524.66987210000002</v>
      </c>
      <c r="R2853">
        <v>4.38</v>
      </c>
      <c r="S2853">
        <v>836</v>
      </c>
      <c r="T2853">
        <v>0.3301924</v>
      </c>
      <c r="U2853">
        <v>6.7333429999999996</v>
      </c>
    </row>
    <row r="2854" spans="1:21">
      <c r="A2854" t="s">
        <v>158</v>
      </c>
      <c r="B2854">
        <v>2002</v>
      </c>
      <c r="C2854">
        <v>2061.2750000000001</v>
      </c>
      <c r="D2854">
        <v>59.999998660000003</v>
      </c>
      <c r="E2854">
        <v>0.02</v>
      </c>
      <c r="F2854">
        <v>0</v>
      </c>
      <c r="G2854">
        <v>0.01</v>
      </c>
      <c r="H2854">
        <v>33.333336000000003</v>
      </c>
      <c r="I2854">
        <v>15.73</v>
      </c>
      <c r="J2854">
        <v>55.34</v>
      </c>
      <c r="K2854">
        <v>242</v>
      </c>
      <c r="L2854">
        <v>52.587242000000003</v>
      </c>
      <c r="M2854">
        <v>0.4</v>
      </c>
      <c r="O2854">
        <v>1220000</v>
      </c>
      <c r="P2854">
        <v>2.3768782399999999</v>
      </c>
      <c r="Q2854">
        <v>577.62840400000005</v>
      </c>
      <c r="R2854">
        <v>4.4800000000000004</v>
      </c>
      <c r="S2854">
        <v>836</v>
      </c>
      <c r="T2854">
        <v>0.3301924</v>
      </c>
      <c r="U2854">
        <v>6.7333429999999996</v>
      </c>
    </row>
    <row r="2855" spans="1:21">
      <c r="A2855" t="s">
        <v>158</v>
      </c>
      <c r="B2855">
        <v>2003</v>
      </c>
      <c r="C2855">
        <v>2237.8270000000002</v>
      </c>
      <c r="D2855">
        <v>70.000000299999996</v>
      </c>
      <c r="E2855">
        <v>0.02</v>
      </c>
      <c r="F2855">
        <v>0</v>
      </c>
      <c r="G2855">
        <v>0.01</v>
      </c>
      <c r="H2855">
        <v>33.333336000000003</v>
      </c>
      <c r="I2855">
        <v>15.43</v>
      </c>
      <c r="J2855">
        <v>51.81</v>
      </c>
      <c r="K2855">
        <v>242</v>
      </c>
      <c r="L2855">
        <v>53.678077999999999</v>
      </c>
      <c r="M2855">
        <v>0.5</v>
      </c>
      <c r="O2855">
        <v>0</v>
      </c>
      <c r="P2855">
        <v>6.5734769220000002</v>
      </c>
      <c r="Q2855">
        <v>678.73796389999995</v>
      </c>
      <c r="R2855">
        <v>4.53</v>
      </c>
      <c r="S2855">
        <v>836</v>
      </c>
      <c r="T2855">
        <v>0.3301924</v>
      </c>
      <c r="U2855">
        <v>6.7333429999999996</v>
      </c>
    </row>
    <row r="2856" spans="1:21">
      <c r="A2856" t="s">
        <v>158</v>
      </c>
      <c r="B2856">
        <v>2004</v>
      </c>
      <c r="C2856">
        <v>2468.2919999999999</v>
      </c>
      <c r="D2856">
        <v>70.000000299999996</v>
      </c>
      <c r="E2856">
        <v>0.03</v>
      </c>
      <c r="F2856">
        <v>0</v>
      </c>
      <c r="G2856">
        <v>0.01</v>
      </c>
      <c r="H2856">
        <v>25</v>
      </c>
      <c r="I2856">
        <v>15.09</v>
      </c>
      <c r="J2856">
        <v>48.92</v>
      </c>
      <c r="K2856">
        <v>242</v>
      </c>
      <c r="L2856">
        <v>54.766019999999997</v>
      </c>
      <c r="M2856">
        <v>0.5</v>
      </c>
      <c r="O2856">
        <v>70000</v>
      </c>
      <c r="P2856">
        <v>3.832223902</v>
      </c>
      <c r="Q2856">
        <v>745.32029990000001</v>
      </c>
      <c r="R2856">
        <v>4.6399999999999997</v>
      </c>
      <c r="S2856">
        <v>836</v>
      </c>
      <c r="T2856">
        <v>0.3301924</v>
      </c>
      <c r="U2856">
        <v>6.7333429999999996</v>
      </c>
    </row>
    <row r="2857" spans="1:21">
      <c r="A2857" t="s">
        <v>158</v>
      </c>
      <c r="B2857">
        <v>2005</v>
      </c>
      <c r="C2857">
        <v>2544.8319999999999</v>
      </c>
      <c r="D2857">
        <v>79.999998210000001</v>
      </c>
      <c r="E2857">
        <v>0.04</v>
      </c>
      <c r="F2857">
        <v>0</v>
      </c>
      <c r="G2857">
        <v>0</v>
      </c>
      <c r="H2857">
        <v>0</v>
      </c>
      <c r="I2857">
        <v>14.73</v>
      </c>
      <c r="J2857">
        <v>47.94</v>
      </c>
      <c r="K2857">
        <v>242</v>
      </c>
      <c r="L2857">
        <v>55.853436000000002</v>
      </c>
      <c r="M2857">
        <v>0.6</v>
      </c>
      <c r="O2857">
        <v>190000</v>
      </c>
      <c r="P2857">
        <v>7.0937737470000002</v>
      </c>
      <c r="Q2857">
        <v>866.50499560000003</v>
      </c>
      <c r="R2857">
        <v>4.5</v>
      </c>
      <c r="S2857">
        <v>836</v>
      </c>
      <c r="T2857">
        <v>0.3301924</v>
      </c>
      <c r="U2857">
        <v>6.7333429999999996</v>
      </c>
    </row>
    <row r="2858" spans="1:21">
      <c r="A2858" t="s">
        <v>158</v>
      </c>
      <c r="B2858">
        <v>2006</v>
      </c>
      <c r="C2858">
        <v>2640.5337</v>
      </c>
      <c r="D2858">
        <v>79.999998210000001</v>
      </c>
      <c r="E2858">
        <v>0.03</v>
      </c>
      <c r="F2858">
        <v>0</v>
      </c>
      <c r="G2858">
        <v>0.01</v>
      </c>
      <c r="H2858">
        <v>25</v>
      </c>
      <c r="I2858">
        <v>14.35</v>
      </c>
      <c r="J2858">
        <v>47.33</v>
      </c>
      <c r="K2858">
        <v>242</v>
      </c>
      <c r="L2858">
        <v>56.942720000000001</v>
      </c>
      <c r="M2858">
        <v>0.7</v>
      </c>
      <c r="P2858">
        <v>9.1156421049999992</v>
      </c>
      <c r="Q2858">
        <v>883.0970413</v>
      </c>
      <c r="R2858">
        <v>4.2300000000000004</v>
      </c>
      <c r="S2858">
        <v>836</v>
      </c>
      <c r="T2858">
        <v>0.3301924</v>
      </c>
      <c r="U2858">
        <v>6.7333429999999996</v>
      </c>
    </row>
    <row r="2859" spans="1:21">
      <c r="A2859" t="s">
        <v>158</v>
      </c>
      <c r="B2859">
        <v>2007</v>
      </c>
      <c r="C2859">
        <v>2680.9502000000002</v>
      </c>
      <c r="D2859">
        <v>79.999998210000001</v>
      </c>
      <c r="E2859">
        <v>0.03</v>
      </c>
      <c r="F2859">
        <v>0</v>
      </c>
      <c r="G2859">
        <v>0.01</v>
      </c>
      <c r="H2859">
        <v>25</v>
      </c>
      <c r="I2859">
        <v>13.95</v>
      </c>
      <c r="J2859">
        <v>47.69</v>
      </c>
      <c r="K2859">
        <v>242</v>
      </c>
      <c r="L2859">
        <v>58.036521999999998</v>
      </c>
      <c r="M2859">
        <v>0.8</v>
      </c>
      <c r="P2859">
        <v>3.2536051490000002</v>
      </c>
      <c r="Q2859">
        <v>896.86779130000002</v>
      </c>
      <c r="R2859">
        <v>4.12</v>
      </c>
      <c r="S2859">
        <v>836</v>
      </c>
      <c r="T2859">
        <v>0.3301924</v>
      </c>
      <c r="U2859">
        <v>6.7333429999999996</v>
      </c>
    </row>
    <row r="2860" spans="1:21">
      <c r="A2860" t="s">
        <v>158</v>
      </c>
      <c r="B2860">
        <v>2008</v>
      </c>
      <c r="C2860">
        <v>2823.5871999999999</v>
      </c>
      <c r="D2860">
        <v>90.000003579999998</v>
      </c>
      <c r="E2860">
        <v>0.04</v>
      </c>
      <c r="F2860">
        <v>0</v>
      </c>
      <c r="G2860">
        <v>0.01</v>
      </c>
      <c r="H2860">
        <v>20</v>
      </c>
      <c r="I2860">
        <v>13.56</v>
      </c>
      <c r="J2860">
        <v>46.04</v>
      </c>
      <c r="K2860">
        <v>242</v>
      </c>
      <c r="L2860">
        <v>59.137557999999999</v>
      </c>
      <c r="M2860">
        <v>0.9</v>
      </c>
      <c r="P2860">
        <v>8.1861740560000005</v>
      </c>
      <c r="Q2860">
        <v>1098.7552189999999</v>
      </c>
      <c r="R2860">
        <v>3.98</v>
      </c>
      <c r="S2860">
        <v>836</v>
      </c>
      <c r="T2860">
        <v>0.3301924</v>
      </c>
      <c r="U2860">
        <v>6.7333429999999996</v>
      </c>
    </row>
    <row r="2861" spans="1:21">
      <c r="A2861" t="s">
        <v>158</v>
      </c>
      <c r="B2861">
        <v>2009</v>
      </c>
      <c r="C2861">
        <v>2932.4562999999998</v>
      </c>
      <c r="D2861">
        <v>90.000003579999998</v>
      </c>
      <c r="E2861">
        <v>0.04</v>
      </c>
      <c r="F2861">
        <v>0</v>
      </c>
      <c r="G2861">
        <v>0.01</v>
      </c>
      <c r="H2861">
        <v>20</v>
      </c>
      <c r="I2861">
        <v>13.19</v>
      </c>
      <c r="J2861">
        <v>45.41</v>
      </c>
      <c r="K2861">
        <v>242</v>
      </c>
      <c r="L2861">
        <v>56.9</v>
      </c>
      <c r="M2861">
        <v>1.1000000000000001</v>
      </c>
      <c r="P2861">
        <v>2.4262823610000002</v>
      </c>
      <c r="Q2861">
        <v>1067.9080530000001</v>
      </c>
      <c r="R2861">
        <v>4.0199999999999996</v>
      </c>
      <c r="S2861">
        <v>836</v>
      </c>
      <c r="T2861">
        <v>0.3301924</v>
      </c>
      <c r="U2861">
        <v>6.7333429999999996</v>
      </c>
    </row>
    <row r="2862" spans="1:21">
      <c r="A2862" t="s">
        <v>158</v>
      </c>
      <c r="B2862">
        <v>2010</v>
      </c>
      <c r="C2862">
        <v>3090.1759999999999</v>
      </c>
      <c r="D2862">
        <v>100.0000015</v>
      </c>
      <c r="E2862">
        <v>0.05</v>
      </c>
      <c r="F2862">
        <v>0</v>
      </c>
      <c r="G2862">
        <v>0</v>
      </c>
      <c r="H2862">
        <v>0</v>
      </c>
      <c r="I2862">
        <v>12.86</v>
      </c>
      <c r="J2862">
        <v>43.76</v>
      </c>
      <c r="K2862">
        <v>242</v>
      </c>
      <c r="L2862">
        <v>61.372157999999999</v>
      </c>
      <c r="M2862">
        <v>1.2</v>
      </c>
      <c r="O2862">
        <v>120000</v>
      </c>
      <c r="P2862">
        <v>6.6719836570000002</v>
      </c>
      <c r="Q2862">
        <v>1090.260763</v>
      </c>
      <c r="R2862">
        <v>3.98</v>
      </c>
      <c r="S2862">
        <v>836</v>
      </c>
      <c r="T2862">
        <v>0.3301924</v>
      </c>
      <c r="U2862">
        <v>6.7333429999999996</v>
      </c>
    </row>
    <row r="2863" spans="1:21">
      <c r="A2863" t="s">
        <v>158</v>
      </c>
      <c r="B2863">
        <v>2011</v>
      </c>
      <c r="C2863">
        <v>3131.0225</v>
      </c>
      <c r="D2863">
        <v>100.0000015</v>
      </c>
      <c r="E2863">
        <v>0.05</v>
      </c>
      <c r="F2863">
        <v>0</v>
      </c>
      <c r="G2863">
        <v>0.01</v>
      </c>
      <c r="H2863">
        <v>16.666668000000001</v>
      </c>
      <c r="I2863">
        <v>12.57</v>
      </c>
      <c r="J2863">
        <v>43.12</v>
      </c>
      <c r="K2863">
        <v>242</v>
      </c>
      <c r="L2863">
        <v>62.511142999999997</v>
      </c>
      <c r="M2863">
        <v>1.3</v>
      </c>
      <c r="O2863">
        <v>260000</v>
      </c>
      <c r="P2863">
        <v>4.3982020149999999</v>
      </c>
      <c r="Q2863">
        <v>1254.541598</v>
      </c>
      <c r="R2863">
        <v>3.77</v>
      </c>
      <c r="S2863">
        <v>836</v>
      </c>
      <c r="T2863">
        <v>0.3301924</v>
      </c>
      <c r="U2863">
        <v>6.7333429999999996</v>
      </c>
    </row>
    <row r="2864" spans="1:21">
      <c r="A2864" t="s">
        <v>158</v>
      </c>
      <c r="B2864">
        <v>2012</v>
      </c>
      <c r="C2864">
        <v>3240.6765</v>
      </c>
      <c r="D2864">
        <v>119.9999973</v>
      </c>
      <c r="E2864">
        <v>0.05</v>
      </c>
      <c r="F2864">
        <v>0</v>
      </c>
      <c r="G2864">
        <v>0.01</v>
      </c>
      <c r="H2864">
        <v>16.666668000000001</v>
      </c>
      <c r="I2864">
        <v>12.31</v>
      </c>
      <c r="J2864">
        <v>38.89</v>
      </c>
      <c r="K2864">
        <v>242</v>
      </c>
      <c r="L2864">
        <v>57.9</v>
      </c>
      <c r="M2864">
        <v>1.5</v>
      </c>
      <c r="O2864">
        <v>20000</v>
      </c>
      <c r="P2864">
        <v>3.14197646</v>
      </c>
      <c r="Q2864">
        <v>1330.6201140000001</v>
      </c>
      <c r="R2864">
        <v>3.95</v>
      </c>
      <c r="S2864">
        <v>836</v>
      </c>
      <c r="T2864">
        <v>0.3301924</v>
      </c>
      <c r="U2864">
        <v>6.7333429999999996</v>
      </c>
    </row>
    <row r="2865" spans="1:21">
      <c r="A2865" t="s">
        <v>158</v>
      </c>
      <c r="B2865">
        <v>2013</v>
      </c>
      <c r="C2865">
        <v>3176.864</v>
      </c>
      <c r="D2865">
        <v>119.9999973</v>
      </c>
      <c r="E2865">
        <v>0.06</v>
      </c>
      <c r="F2865">
        <v>0</v>
      </c>
      <c r="G2865">
        <v>0.01</v>
      </c>
      <c r="H2865">
        <v>14.285714</v>
      </c>
      <c r="I2865">
        <v>12.41</v>
      </c>
      <c r="J2865">
        <v>39.36</v>
      </c>
      <c r="K2865">
        <v>242</v>
      </c>
      <c r="L2865">
        <v>64.845079999999996</v>
      </c>
      <c r="M2865">
        <v>1.7</v>
      </c>
      <c r="O2865">
        <v>5060000</v>
      </c>
      <c r="P2865">
        <v>4.8147926539999997</v>
      </c>
      <c r="Q2865">
        <v>1564.768548</v>
      </c>
      <c r="R2865">
        <v>3.85</v>
      </c>
      <c r="S2865">
        <v>836</v>
      </c>
      <c r="T2865">
        <v>0.3301924</v>
      </c>
      <c r="U2865">
        <v>6.7333429999999996</v>
      </c>
    </row>
    <row r="2866" spans="1:21">
      <c r="A2866" t="s">
        <v>158</v>
      </c>
      <c r="B2866">
        <v>2014</v>
      </c>
      <c r="C2866">
        <v>3116.3353999999999</v>
      </c>
      <c r="D2866">
        <v>119.9999973</v>
      </c>
      <c r="E2866">
        <v>7.0000000000000007E-2</v>
      </c>
      <c r="F2866">
        <v>0</v>
      </c>
      <c r="G2866">
        <v>0.01</v>
      </c>
      <c r="H2866">
        <v>12.5</v>
      </c>
      <c r="I2866">
        <v>12.35</v>
      </c>
      <c r="J2866">
        <v>39.630000000000003</v>
      </c>
      <c r="K2866">
        <v>242</v>
      </c>
      <c r="L2866">
        <v>68.599999999999994</v>
      </c>
      <c r="M2866">
        <v>1.9</v>
      </c>
      <c r="O2866">
        <v>120000</v>
      </c>
      <c r="P2866">
        <v>6.5499349550000003</v>
      </c>
      <c r="Q2866">
        <v>1770.467688</v>
      </c>
      <c r="R2866">
        <v>3.6</v>
      </c>
      <c r="S2866">
        <v>836</v>
      </c>
      <c r="T2866">
        <v>0.3301924</v>
      </c>
      <c r="U2866">
        <v>6.7333429999999996</v>
      </c>
    </row>
    <row r="2867" spans="1:21">
      <c r="A2867" t="s">
        <v>158</v>
      </c>
      <c r="B2867">
        <v>2015</v>
      </c>
      <c r="C2867">
        <v>3200.0830000000001</v>
      </c>
      <c r="D2867">
        <v>119.9999973</v>
      </c>
      <c r="E2867">
        <v>7.0000000000000007E-2</v>
      </c>
      <c r="F2867">
        <v>0</v>
      </c>
      <c r="G2867">
        <v>0.01</v>
      </c>
      <c r="H2867">
        <v>12.5</v>
      </c>
      <c r="I2867">
        <v>12.23</v>
      </c>
      <c r="J2867">
        <v>40.229999999999997</v>
      </c>
      <c r="K2867">
        <v>242</v>
      </c>
      <c r="L2867">
        <v>67.249300000000005</v>
      </c>
      <c r="M2867">
        <v>2.1</v>
      </c>
      <c r="O2867">
        <v>350000</v>
      </c>
      <c r="P2867">
        <v>3.9113379890000002</v>
      </c>
      <c r="Q2867">
        <v>1584.7756569999999</v>
      </c>
      <c r="R2867">
        <v>3.62</v>
      </c>
      <c r="S2867">
        <v>836</v>
      </c>
      <c r="T2867">
        <v>0.3301924</v>
      </c>
      <c r="U2867">
        <v>6.7333429999999996</v>
      </c>
    </row>
    <row r="2868" spans="1:21">
      <c r="A2868" t="s">
        <v>158</v>
      </c>
      <c r="B2868">
        <v>2016</v>
      </c>
      <c r="C2868">
        <v>3249.4162999999999</v>
      </c>
      <c r="D2868">
        <v>129.9999952</v>
      </c>
      <c r="E2868">
        <v>0.08</v>
      </c>
      <c r="F2868">
        <v>0</v>
      </c>
      <c r="G2868">
        <v>0.01</v>
      </c>
      <c r="H2868">
        <v>11.111110999999999</v>
      </c>
      <c r="I2868">
        <v>12.19</v>
      </c>
      <c r="J2868">
        <v>39.200000000000003</v>
      </c>
      <c r="K2868">
        <v>242</v>
      </c>
      <c r="L2868">
        <v>69.320520000000002</v>
      </c>
      <c r="M2868">
        <v>2.2999999999999998</v>
      </c>
      <c r="O2868">
        <v>310000</v>
      </c>
      <c r="P2868">
        <v>4.1647689740000002</v>
      </c>
      <c r="Q2868">
        <v>1700.0979970000001</v>
      </c>
      <c r="R2868">
        <v>3.58</v>
      </c>
      <c r="S2868">
        <v>836</v>
      </c>
      <c r="T2868">
        <v>0.3301924</v>
      </c>
      <c r="U2868">
        <v>6.7333429999999996</v>
      </c>
    </row>
    <row r="2869" spans="1:21">
      <c r="A2869" t="s">
        <v>158</v>
      </c>
      <c r="B2869">
        <v>2017</v>
      </c>
      <c r="C2869">
        <v>3250.4733999999999</v>
      </c>
      <c r="D2869">
        <v>140.00000059999999</v>
      </c>
      <c r="E2869">
        <v>0.08</v>
      </c>
      <c r="F2869">
        <v>0</v>
      </c>
      <c r="G2869">
        <v>0.01</v>
      </c>
      <c r="H2869">
        <v>11.111110999999999</v>
      </c>
      <c r="I2869">
        <v>12.73</v>
      </c>
      <c r="J2869">
        <v>38.42</v>
      </c>
      <c r="K2869">
        <v>242</v>
      </c>
      <c r="L2869">
        <v>74.27</v>
      </c>
      <c r="M2869">
        <v>2.6</v>
      </c>
      <c r="O2869">
        <v>10000</v>
      </c>
      <c r="P2869">
        <v>3.8489809180000001</v>
      </c>
      <c r="Q2869">
        <v>1813.8074340000001</v>
      </c>
      <c r="R2869">
        <v>3.55</v>
      </c>
      <c r="S2869">
        <v>836</v>
      </c>
      <c r="T2869">
        <v>0.3301924</v>
      </c>
      <c r="U2869">
        <v>6.7333429999999996</v>
      </c>
    </row>
    <row r="2870" spans="1:21">
      <c r="A2870" t="s">
        <v>158</v>
      </c>
      <c r="B2870">
        <v>2018</v>
      </c>
      <c r="C2870">
        <v>3149.7109999999998</v>
      </c>
      <c r="D2870">
        <v>140.00000059999999</v>
      </c>
      <c r="E2870">
        <v>0.08</v>
      </c>
      <c r="F2870">
        <v>0</v>
      </c>
      <c r="G2870">
        <v>0.01</v>
      </c>
      <c r="H2870">
        <v>11.111110999999999</v>
      </c>
      <c r="I2870">
        <v>12.58</v>
      </c>
      <c r="J2870">
        <v>37.85</v>
      </c>
      <c r="K2870">
        <v>242</v>
      </c>
      <c r="L2870">
        <v>71</v>
      </c>
      <c r="M2870">
        <v>2.7</v>
      </c>
      <c r="P2870">
        <v>2.9452689090000002</v>
      </c>
      <c r="Q2870">
        <v>1953.5132570000001</v>
      </c>
      <c r="R2870">
        <v>3.49</v>
      </c>
      <c r="S2870">
        <v>836</v>
      </c>
      <c r="T2870">
        <v>0.3301924</v>
      </c>
      <c r="U2870">
        <v>6.7333429999999996</v>
      </c>
    </row>
    <row r="2871" spans="1:21">
      <c r="A2871" t="s">
        <v>158</v>
      </c>
      <c r="B2871">
        <v>2019</v>
      </c>
      <c r="C2871">
        <v>3418.4949000000001</v>
      </c>
      <c r="D2871">
        <v>150.00000600000001</v>
      </c>
      <c r="E2871">
        <v>0.08</v>
      </c>
      <c r="F2871">
        <v>0</v>
      </c>
      <c r="G2871">
        <v>0.01</v>
      </c>
      <c r="H2871">
        <v>11.111110999999999</v>
      </c>
      <c r="I2871">
        <v>12.34</v>
      </c>
      <c r="J2871">
        <v>37.090000000000003</v>
      </c>
      <c r="K2871">
        <v>242</v>
      </c>
      <c r="L2871">
        <v>74.967200000000005</v>
      </c>
      <c r="M2871">
        <v>3</v>
      </c>
      <c r="P2871">
        <v>2.2108558330000001</v>
      </c>
      <c r="Q2871">
        <v>1987.579702</v>
      </c>
      <c r="R2871">
        <v>3.47</v>
      </c>
      <c r="S2871">
        <v>836</v>
      </c>
      <c r="T2871">
        <v>0.3301924</v>
      </c>
      <c r="U2871">
        <v>6.7333429999999996</v>
      </c>
    </row>
    <row r="2872" spans="1:21">
      <c r="A2872" t="s">
        <v>158</v>
      </c>
      <c r="B2872">
        <v>2020</v>
      </c>
      <c r="C2872">
        <v>3207.4229999999998</v>
      </c>
      <c r="E2872">
        <v>0.09</v>
      </c>
      <c r="F2872">
        <v>0</v>
      </c>
      <c r="G2872">
        <v>0.01</v>
      </c>
      <c r="H2872">
        <v>10</v>
      </c>
      <c r="I2872">
        <v>12.11</v>
      </c>
      <c r="K2872">
        <v>242</v>
      </c>
      <c r="L2872">
        <v>76.559089999999998</v>
      </c>
      <c r="M2872">
        <v>3.3</v>
      </c>
      <c r="P2872">
        <v>3.0897255549999998</v>
      </c>
      <c r="Q2872">
        <v>2157.8404460000002</v>
      </c>
      <c r="S2872">
        <v>836</v>
      </c>
      <c r="T2872">
        <v>0.3301924</v>
      </c>
      <c r="U2872">
        <v>6.7333429999999996</v>
      </c>
    </row>
    <row r="2873" spans="1:21">
      <c r="A2873" t="s">
        <v>159</v>
      </c>
      <c r="B2873">
        <v>2000</v>
      </c>
      <c r="C2873">
        <v>61950.85</v>
      </c>
      <c r="D2873">
        <v>249660</v>
      </c>
      <c r="E2873">
        <v>138.68</v>
      </c>
      <c r="G2873">
        <v>0</v>
      </c>
      <c r="H2873">
        <v>0</v>
      </c>
      <c r="I2873">
        <v>0.02</v>
      </c>
      <c r="J2873">
        <v>0.01</v>
      </c>
      <c r="K2873">
        <v>16</v>
      </c>
      <c r="L2873">
        <v>100</v>
      </c>
      <c r="M2873">
        <v>100</v>
      </c>
      <c r="N2873">
        <v>0</v>
      </c>
      <c r="P2873">
        <v>5.6254161429999998</v>
      </c>
      <c r="Q2873">
        <v>9171.3314759999994</v>
      </c>
      <c r="R2873">
        <v>4.7300000000000004</v>
      </c>
      <c r="S2873">
        <v>2149690</v>
      </c>
      <c r="T2873">
        <v>23.885942</v>
      </c>
      <c r="U2873">
        <v>45.079161999999997</v>
      </c>
    </row>
    <row r="2874" spans="1:21">
      <c r="A2874" t="s">
        <v>159</v>
      </c>
      <c r="B2874">
        <v>2001</v>
      </c>
      <c r="C2874">
        <v>64399.925999999999</v>
      </c>
      <c r="D2874">
        <v>254090</v>
      </c>
      <c r="E2874">
        <v>146.09</v>
      </c>
      <c r="G2874">
        <v>0</v>
      </c>
      <c r="H2874">
        <v>0</v>
      </c>
      <c r="I2874">
        <v>0.02</v>
      </c>
      <c r="J2874">
        <v>0.01</v>
      </c>
      <c r="K2874">
        <v>16</v>
      </c>
      <c r="L2874">
        <v>100</v>
      </c>
      <c r="M2874">
        <v>100</v>
      </c>
      <c r="N2874">
        <v>0</v>
      </c>
      <c r="P2874">
        <v>-1.210743863</v>
      </c>
      <c r="Q2874">
        <v>8684.6457620000001</v>
      </c>
      <c r="R2874">
        <v>4.91</v>
      </c>
      <c r="S2874">
        <v>2149690</v>
      </c>
      <c r="T2874">
        <v>23.885942</v>
      </c>
      <c r="U2874">
        <v>45.079161999999997</v>
      </c>
    </row>
    <row r="2875" spans="1:21">
      <c r="A2875" t="s">
        <v>159</v>
      </c>
      <c r="B2875">
        <v>2002</v>
      </c>
      <c r="C2875">
        <v>65480.074000000001</v>
      </c>
      <c r="D2875">
        <v>272250</v>
      </c>
      <c r="E2875">
        <v>154.91</v>
      </c>
      <c r="G2875">
        <v>0</v>
      </c>
      <c r="H2875">
        <v>0</v>
      </c>
      <c r="I2875">
        <v>0.02</v>
      </c>
      <c r="J2875">
        <v>0.01</v>
      </c>
      <c r="K2875">
        <v>16</v>
      </c>
      <c r="L2875">
        <v>100</v>
      </c>
      <c r="M2875">
        <v>100</v>
      </c>
      <c r="N2875">
        <v>0</v>
      </c>
      <c r="P2875">
        <v>-2.819174404</v>
      </c>
      <c r="Q2875">
        <v>8695.3964830000004</v>
      </c>
      <c r="R2875">
        <v>5.74</v>
      </c>
      <c r="S2875">
        <v>2149690</v>
      </c>
      <c r="T2875">
        <v>23.885942</v>
      </c>
      <c r="U2875">
        <v>45.079161999999997</v>
      </c>
    </row>
    <row r="2876" spans="1:21">
      <c r="A2876" t="s">
        <v>159</v>
      </c>
      <c r="B2876">
        <v>2003</v>
      </c>
      <c r="C2876">
        <v>67781.13</v>
      </c>
      <c r="D2876">
        <v>284829.9866</v>
      </c>
      <c r="E2876">
        <v>166.58</v>
      </c>
      <c r="G2876">
        <v>0</v>
      </c>
      <c r="H2876">
        <v>0</v>
      </c>
      <c r="I2876">
        <v>0.02</v>
      </c>
      <c r="J2876">
        <v>0.01</v>
      </c>
      <c r="K2876">
        <v>16</v>
      </c>
      <c r="L2876">
        <v>100</v>
      </c>
      <c r="M2876">
        <v>100</v>
      </c>
      <c r="N2876">
        <v>0</v>
      </c>
      <c r="P2876">
        <v>11.24206139</v>
      </c>
      <c r="Q2876">
        <v>9609.9686860000002</v>
      </c>
      <c r="R2876">
        <v>5.18</v>
      </c>
      <c r="S2876">
        <v>2149690</v>
      </c>
      <c r="T2876">
        <v>23.885942</v>
      </c>
      <c r="U2876">
        <v>45.079161999999997</v>
      </c>
    </row>
    <row r="2877" spans="1:21">
      <c r="A2877" t="s">
        <v>159</v>
      </c>
      <c r="B2877">
        <v>2004</v>
      </c>
      <c r="C2877">
        <v>71949.19</v>
      </c>
      <c r="D2877">
        <v>299890.01459999999</v>
      </c>
      <c r="E2877">
        <v>173.41</v>
      </c>
      <c r="G2877">
        <v>0</v>
      </c>
      <c r="H2877">
        <v>0</v>
      </c>
      <c r="I2877">
        <v>0.01</v>
      </c>
      <c r="J2877">
        <v>0.01</v>
      </c>
      <c r="K2877">
        <v>16</v>
      </c>
      <c r="L2877">
        <v>100</v>
      </c>
      <c r="M2877">
        <v>100</v>
      </c>
      <c r="N2877">
        <v>0</v>
      </c>
      <c r="P2877">
        <v>7.9584416640000004</v>
      </c>
      <c r="Q2877">
        <v>11185.13704</v>
      </c>
      <c r="R2877">
        <v>4.83</v>
      </c>
      <c r="S2877">
        <v>2149690</v>
      </c>
      <c r="T2877">
        <v>23.885942</v>
      </c>
      <c r="U2877">
        <v>45.079161999999997</v>
      </c>
    </row>
    <row r="2878" spans="1:21">
      <c r="A2878" t="s">
        <v>159</v>
      </c>
      <c r="B2878">
        <v>2005</v>
      </c>
      <c r="C2878">
        <v>74232.789999999994</v>
      </c>
      <c r="D2878">
        <v>315290.0085</v>
      </c>
      <c r="E2878">
        <v>191.05</v>
      </c>
      <c r="G2878">
        <v>0</v>
      </c>
      <c r="H2878">
        <v>0</v>
      </c>
      <c r="I2878">
        <v>0.01</v>
      </c>
      <c r="J2878">
        <v>0.01</v>
      </c>
      <c r="K2878">
        <v>16</v>
      </c>
      <c r="L2878">
        <v>100</v>
      </c>
      <c r="M2878">
        <v>100</v>
      </c>
      <c r="N2878">
        <v>0</v>
      </c>
      <c r="P2878">
        <v>5.5738501210000004</v>
      </c>
      <c r="Q2878">
        <v>13791.454760000001</v>
      </c>
      <c r="R2878">
        <v>4.87</v>
      </c>
      <c r="S2878">
        <v>2149690</v>
      </c>
      <c r="T2878">
        <v>23.885942</v>
      </c>
      <c r="U2878">
        <v>45.079161999999997</v>
      </c>
    </row>
    <row r="2879" spans="1:21">
      <c r="A2879" t="s">
        <v>159</v>
      </c>
      <c r="B2879">
        <v>2006</v>
      </c>
      <c r="C2879">
        <v>74860.33</v>
      </c>
      <c r="D2879">
        <v>335440.0024</v>
      </c>
      <c r="E2879">
        <v>196.31</v>
      </c>
      <c r="G2879">
        <v>0</v>
      </c>
      <c r="H2879">
        <v>0</v>
      </c>
      <c r="I2879">
        <v>0.01</v>
      </c>
      <c r="J2879">
        <v>0.01</v>
      </c>
      <c r="K2879">
        <v>16</v>
      </c>
      <c r="L2879">
        <v>100</v>
      </c>
      <c r="M2879">
        <v>100</v>
      </c>
      <c r="N2879">
        <v>0</v>
      </c>
      <c r="P2879">
        <v>2.7884022279999998</v>
      </c>
      <c r="Q2879">
        <v>15384.738359999999</v>
      </c>
      <c r="R2879">
        <v>5.08</v>
      </c>
      <c r="S2879">
        <v>2149690</v>
      </c>
      <c r="T2879">
        <v>23.885942</v>
      </c>
      <c r="U2879">
        <v>45.079161999999997</v>
      </c>
    </row>
    <row r="2880" spans="1:21">
      <c r="A2880" t="s">
        <v>159</v>
      </c>
      <c r="B2880">
        <v>2007</v>
      </c>
      <c r="C2880">
        <v>73638.34</v>
      </c>
      <c r="D2880">
        <v>354619.9951</v>
      </c>
      <c r="E2880">
        <v>204.43</v>
      </c>
      <c r="G2880">
        <v>0</v>
      </c>
      <c r="H2880">
        <v>0</v>
      </c>
      <c r="I2880">
        <v>0.01</v>
      </c>
      <c r="J2880">
        <v>0.01</v>
      </c>
      <c r="K2880">
        <v>16</v>
      </c>
      <c r="L2880">
        <v>100</v>
      </c>
      <c r="M2880">
        <v>100</v>
      </c>
      <c r="N2880">
        <v>0</v>
      </c>
      <c r="P2880">
        <v>1.8471302519999999</v>
      </c>
      <c r="Q2880">
        <v>16516.63178</v>
      </c>
      <c r="R2880">
        <v>5.24</v>
      </c>
      <c r="S2880">
        <v>2149690</v>
      </c>
      <c r="T2880">
        <v>23.885942</v>
      </c>
      <c r="U2880">
        <v>45.079161999999997</v>
      </c>
    </row>
    <row r="2881" spans="1:21">
      <c r="A2881" t="s">
        <v>159</v>
      </c>
      <c r="B2881">
        <v>2008</v>
      </c>
      <c r="C2881">
        <v>77575.414000000004</v>
      </c>
      <c r="D2881">
        <v>389720.0012</v>
      </c>
      <c r="E2881">
        <v>204.2</v>
      </c>
      <c r="G2881">
        <v>0</v>
      </c>
      <c r="H2881">
        <v>0</v>
      </c>
      <c r="I2881">
        <v>0.01</v>
      </c>
      <c r="J2881">
        <v>0.01</v>
      </c>
      <c r="K2881">
        <v>16</v>
      </c>
      <c r="L2881">
        <v>100</v>
      </c>
      <c r="M2881">
        <v>100</v>
      </c>
      <c r="N2881">
        <v>8.1699999999999994E-5</v>
      </c>
      <c r="P2881">
        <v>6.2497727550000004</v>
      </c>
      <c r="Q2881">
        <v>20078.26007</v>
      </c>
      <c r="R2881">
        <v>5.4</v>
      </c>
      <c r="S2881">
        <v>2149690</v>
      </c>
      <c r="T2881">
        <v>23.885942</v>
      </c>
      <c r="U2881">
        <v>45.079161999999997</v>
      </c>
    </row>
    <row r="2882" spans="1:21">
      <c r="A2882" t="s">
        <v>159</v>
      </c>
      <c r="B2882">
        <v>2009</v>
      </c>
      <c r="C2882">
        <v>77417.27</v>
      </c>
      <c r="D2882">
        <v>406529.9988</v>
      </c>
      <c r="E2882">
        <v>217.31</v>
      </c>
      <c r="G2882">
        <v>0</v>
      </c>
      <c r="H2882">
        <v>0</v>
      </c>
      <c r="I2882">
        <v>0.01</v>
      </c>
      <c r="J2882">
        <v>0.01</v>
      </c>
      <c r="K2882">
        <v>16</v>
      </c>
      <c r="L2882">
        <v>100</v>
      </c>
      <c r="M2882">
        <v>100</v>
      </c>
      <c r="N2882">
        <v>7.7399999999999998E-5</v>
      </c>
      <c r="P2882">
        <v>-2.0592491900000001</v>
      </c>
      <c r="Q2882">
        <v>16113.14371</v>
      </c>
      <c r="R2882">
        <v>5.79</v>
      </c>
      <c r="S2882">
        <v>2149690</v>
      </c>
      <c r="T2882">
        <v>23.885942</v>
      </c>
      <c r="U2882">
        <v>45.079161999999997</v>
      </c>
    </row>
    <row r="2883" spans="1:21">
      <c r="A2883" t="s">
        <v>159</v>
      </c>
      <c r="B2883">
        <v>2010</v>
      </c>
      <c r="C2883">
        <v>83337.16</v>
      </c>
      <c r="D2883">
        <v>446130.0049</v>
      </c>
      <c r="E2883">
        <v>240.06</v>
      </c>
      <c r="G2883">
        <v>0</v>
      </c>
      <c r="H2883">
        <v>0</v>
      </c>
      <c r="I2883">
        <v>0.09</v>
      </c>
      <c r="J2883">
        <v>0.01</v>
      </c>
      <c r="K2883">
        <v>16</v>
      </c>
      <c r="L2883">
        <v>100</v>
      </c>
      <c r="M2883">
        <v>100</v>
      </c>
      <c r="N2883">
        <v>4.6816700000000002E-4</v>
      </c>
      <c r="P2883">
        <v>5.0394840270000003</v>
      </c>
      <c r="Q2883">
        <v>19262.547600000002</v>
      </c>
      <c r="R2883">
        <v>6.08</v>
      </c>
      <c r="S2883">
        <v>2149690</v>
      </c>
      <c r="T2883">
        <v>23.885942</v>
      </c>
      <c r="U2883">
        <v>45.079161999999997</v>
      </c>
    </row>
    <row r="2884" spans="1:21">
      <c r="A2884" t="s">
        <v>159</v>
      </c>
      <c r="B2884">
        <v>2011</v>
      </c>
      <c r="C2884">
        <v>84816.25</v>
      </c>
      <c r="D2884">
        <v>463769.989</v>
      </c>
      <c r="E2884">
        <v>250.07</v>
      </c>
      <c r="G2884">
        <v>0.01</v>
      </c>
      <c r="H2884">
        <v>3.9987210000000002E-3</v>
      </c>
      <c r="I2884">
        <v>0.1</v>
      </c>
      <c r="J2884">
        <v>0.01</v>
      </c>
      <c r="K2884">
        <v>16</v>
      </c>
      <c r="L2884">
        <v>100</v>
      </c>
      <c r="M2884">
        <v>100</v>
      </c>
      <c r="N2884">
        <v>5.8254499999999996E-4</v>
      </c>
      <c r="P2884">
        <v>9.9968465539999993</v>
      </c>
      <c r="Q2884">
        <v>23745.880580000001</v>
      </c>
      <c r="R2884">
        <v>5.79</v>
      </c>
      <c r="S2884">
        <v>2149690</v>
      </c>
      <c r="T2884">
        <v>23.885942</v>
      </c>
      <c r="U2884">
        <v>45.079161999999997</v>
      </c>
    </row>
    <row r="2885" spans="1:21">
      <c r="A2885" t="s">
        <v>159</v>
      </c>
      <c r="B2885">
        <v>2012</v>
      </c>
      <c r="C2885">
        <v>88062.085999999996</v>
      </c>
      <c r="D2885">
        <v>492470.0012</v>
      </c>
      <c r="E2885">
        <v>271.68</v>
      </c>
      <c r="G2885">
        <v>0.03</v>
      </c>
      <c r="H2885">
        <v>1.1041184000000001E-2</v>
      </c>
      <c r="I2885">
        <v>0.47</v>
      </c>
      <c r="J2885">
        <v>0.01</v>
      </c>
      <c r="K2885">
        <v>16</v>
      </c>
      <c r="L2885">
        <v>100</v>
      </c>
      <c r="M2885">
        <v>100</v>
      </c>
      <c r="N2885">
        <v>2.5984720000000001E-3</v>
      </c>
      <c r="P2885">
        <v>5.4114449020000004</v>
      </c>
      <c r="Q2885">
        <v>25243.601999999999</v>
      </c>
      <c r="R2885">
        <v>5.64</v>
      </c>
      <c r="S2885">
        <v>2149690</v>
      </c>
      <c r="T2885">
        <v>23.885942</v>
      </c>
      <c r="U2885">
        <v>45.079161999999997</v>
      </c>
    </row>
    <row r="2886" spans="1:21">
      <c r="A2886" t="s">
        <v>159</v>
      </c>
      <c r="B2886">
        <v>2013</v>
      </c>
      <c r="C2886">
        <v>86753.600000000006</v>
      </c>
      <c r="D2886">
        <v>503209.9915</v>
      </c>
      <c r="E2886">
        <v>284.02</v>
      </c>
      <c r="G2886">
        <v>0.04</v>
      </c>
      <c r="H2886">
        <v>1.4081532000000001E-2</v>
      </c>
      <c r="I2886">
        <v>0.75</v>
      </c>
      <c r="J2886">
        <v>0.01</v>
      </c>
      <c r="K2886">
        <v>16</v>
      </c>
      <c r="L2886">
        <v>100</v>
      </c>
      <c r="M2886">
        <v>100</v>
      </c>
      <c r="N2886">
        <v>4.2603679999999996E-3</v>
      </c>
      <c r="P2886">
        <v>2.6992547230000001</v>
      </c>
      <c r="Q2886">
        <v>24845.124660000001</v>
      </c>
      <c r="R2886">
        <v>5.46</v>
      </c>
      <c r="S2886">
        <v>2149690</v>
      </c>
      <c r="T2886">
        <v>23.885942</v>
      </c>
      <c r="U2886">
        <v>45.079161999999997</v>
      </c>
    </row>
    <row r="2887" spans="1:21">
      <c r="A2887" t="s">
        <v>159</v>
      </c>
      <c r="B2887">
        <v>2014</v>
      </c>
      <c r="C2887">
        <v>91258.06</v>
      </c>
      <c r="D2887">
        <v>540520.01950000005</v>
      </c>
      <c r="E2887">
        <v>311.81</v>
      </c>
      <c r="G2887">
        <v>0.05</v>
      </c>
      <c r="H2887">
        <v>1.6032834999999999E-2</v>
      </c>
      <c r="I2887">
        <v>0.79</v>
      </c>
      <c r="J2887">
        <v>0.01</v>
      </c>
      <c r="K2887">
        <v>16</v>
      </c>
      <c r="L2887">
        <v>100</v>
      </c>
      <c r="M2887">
        <v>100</v>
      </c>
      <c r="N2887">
        <v>4.2484940000000002E-3</v>
      </c>
      <c r="P2887">
        <v>3.6524816979999999</v>
      </c>
      <c r="Q2887">
        <v>24464.21256</v>
      </c>
      <c r="R2887">
        <v>5.81</v>
      </c>
      <c r="S2887">
        <v>2149690</v>
      </c>
      <c r="T2887">
        <v>23.885942</v>
      </c>
      <c r="U2887">
        <v>45.079161999999997</v>
      </c>
    </row>
    <row r="2888" spans="1:21">
      <c r="A2888" t="s">
        <v>159</v>
      </c>
      <c r="B2888">
        <v>2015</v>
      </c>
      <c r="C2888">
        <v>93332.54</v>
      </c>
      <c r="D2888">
        <v>565190.0024</v>
      </c>
      <c r="E2888">
        <v>338.34</v>
      </c>
      <c r="G2888">
        <v>0.05</v>
      </c>
      <c r="H2888">
        <v>1.477585E-2</v>
      </c>
      <c r="I2888">
        <v>0.76</v>
      </c>
      <c r="J2888">
        <v>0.01</v>
      </c>
      <c r="K2888">
        <v>16</v>
      </c>
      <c r="L2888">
        <v>100</v>
      </c>
      <c r="M2888">
        <v>100</v>
      </c>
      <c r="N2888">
        <v>4.0937969999999997E-3</v>
      </c>
      <c r="P2888">
        <v>4.1064088700000001</v>
      </c>
      <c r="Q2888">
        <v>20627.926930000001</v>
      </c>
      <c r="R2888">
        <v>5.84</v>
      </c>
      <c r="S2888">
        <v>2149690</v>
      </c>
      <c r="T2888">
        <v>23.885942</v>
      </c>
      <c r="U2888">
        <v>45.079161999999997</v>
      </c>
    </row>
    <row r="2889" spans="1:21">
      <c r="A2889" t="s">
        <v>159</v>
      </c>
      <c r="B2889">
        <v>2016</v>
      </c>
      <c r="C2889">
        <v>95158.55</v>
      </c>
      <c r="D2889">
        <v>561229.98049999995</v>
      </c>
      <c r="E2889">
        <v>337.38</v>
      </c>
      <c r="G2889">
        <v>0.05</v>
      </c>
      <c r="H2889">
        <v>1.4817889000000001E-2</v>
      </c>
      <c r="I2889">
        <v>0.75</v>
      </c>
      <c r="J2889">
        <v>0.01</v>
      </c>
      <c r="K2889">
        <v>16</v>
      </c>
      <c r="L2889">
        <v>99.9</v>
      </c>
      <c r="M2889">
        <v>100</v>
      </c>
      <c r="N2889">
        <v>3.9634040000000002E-3</v>
      </c>
      <c r="P2889">
        <v>1.670624758</v>
      </c>
      <c r="Q2889">
        <v>19878.76384</v>
      </c>
      <c r="R2889">
        <v>5.7</v>
      </c>
      <c r="S2889">
        <v>2149690</v>
      </c>
      <c r="T2889">
        <v>23.885942</v>
      </c>
      <c r="U2889">
        <v>45.079161999999997</v>
      </c>
    </row>
    <row r="2890" spans="1:21">
      <c r="A2890" t="s">
        <v>159</v>
      </c>
      <c r="B2890">
        <v>2017</v>
      </c>
      <c r="C2890">
        <v>93054.375</v>
      </c>
      <c r="D2890">
        <v>545070.00730000006</v>
      </c>
      <c r="E2890">
        <v>354.3</v>
      </c>
      <c r="G2890">
        <v>7.0000000000000007E-2</v>
      </c>
      <c r="H2890">
        <v>1.9753364999999998E-2</v>
      </c>
      <c r="I2890">
        <v>1.1200000000000001</v>
      </c>
      <c r="J2890">
        <v>0.02</v>
      </c>
      <c r="K2890">
        <v>16</v>
      </c>
      <c r="L2890">
        <v>99.93</v>
      </c>
      <c r="M2890">
        <v>100</v>
      </c>
      <c r="N2890">
        <v>5.6249669999999998E-3</v>
      </c>
      <c r="P2890">
        <v>-0.74150265299999996</v>
      </c>
      <c r="Q2890">
        <v>20802.46631</v>
      </c>
      <c r="R2890">
        <v>5.85</v>
      </c>
      <c r="S2890">
        <v>2149690</v>
      </c>
      <c r="T2890">
        <v>23.885942</v>
      </c>
      <c r="U2890">
        <v>45.079161999999997</v>
      </c>
    </row>
    <row r="2891" spans="1:21">
      <c r="A2891" t="s">
        <v>159</v>
      </c>
      <c r="B2891">
        <v>2018</v>
      </c>
      <c r="C2891">
        <v>88573.47</v>
      </c>
      <c r="D2891">
        <v>521260.0098</v>
      </c>
      <c r="E2891">
        <v>334.7</v>
      </c>
      <c r="G2891">
        <v>0.16</v>
      </c>
      <c r="H2891">
        <v>4.7781166E-2</v>
      </c>
      <c r="I2891">
        <v>2.59</v>
      </c>
      <c r="J2891">
        <v>0.02</v>
      </c>
      <c r="K2891">
        <v>16</v>
      </c>
      <c r="L2891">
        <v>100</v>
      </c>
      <c r="M2891">
        <v>100</v>
      </c>
      <c r="N2891">
        <v>1.3882195999999999E-2</v>
      </c>
      <c r="P2891">
        <v>2.4341107809999998</v>
      </c>
      <c r="Q2891">
        <v>23337.01755</v>
      </c>
      <c r="R2891">
        <v>5.58</v>
      </c>
      <c r="S2891">
        <v>2149690</v>
      </c>
      <c r="T2891">
        <v>23.885942</v>
      </c>
      <c r="U2891">
        <v>45.079161999999997</v>
      </c>
    </row>
    <row r="2892" spans="1:21">
      <c r="A2892" t="s">
        <v>159</v>
      </c>
      <c r="B2892">
        <v>2019</v>
      </c>
      <c r="C2892">
        <v>82989.266000000003</v>
      </c>
      <c r="D2892">
        <v>523780.02929999999</v>
      </c>
      <c r="E2892">
        <v>335.24</v>
      </c>
      <c r="G2892">
        <v>0.21</v>
      </c>
      <c r="H2892">
        <v>6.2602475000000005E-2</v>
      </c>
      <c r="I2892">
        <v>12.04</v>
      </c>
      <c r="J2892">
        <v>0.03</v>
      </c>
      <c r="K2892">
        <v>16</v>
      </c>
      <c r="L2892">
        <v>100</v>
      </c>
      <c r="M2892">
        <v>100</v>
      </c>
      <c r="N2892">
        <v>1.8180710999999999E-2</v>
      </c>
      <c r="P2892">
        <v>0.33143572900000001</v>
      </c>
      <c r="Q2892">
        <v>23139.797979999999</v>
      </c>
      <c r="R2892">
        <v>5.58</v>
      </c>
      <c r="S2892">
        <v>2149690</v>
      </c>
      <c r="T2892">
        <v>23.885942</v>
      </c>
      <c r="U2892">
        <v>45.079161999999997</v>
      </c>
    </row>
    <row r="2893" spans="1:21">
      <c r="A2893" t="s">
        <v>159</v>
      </c>
      <c r="B2893">
        <v>2020</v>
      </c>
      <c r="C2893">
        <v>80309.990000000005</v>
      </c>
      <c r="E2893">
        <v>337.82</v>
      </c>
      <c r="G2893">
        <v>0.21</v>
      </c>
      <c r="H2893">
        <v>6.2124661999999997E-2</v>
      </c>
      <c r="I2893">
        <v>11.85</v>
      </c>
      <c r="K2893">
        <v>16</v>
      </c>
      <c r="L2893">
        <v>100</v>
      </c>
      <c r="M2893">
        <v>100</v>
      </c>
      <c r="N2893">
        <v>1.8463892999999999E-2</v>
      </c>
      <c r="P2893">
        <v>-4.1065834130000001</v>
      </c>
      <c r="Q2893">
        <v>20110.316190000001</v>
      </c>
      <c r="S2893">
        <v>2149690</v>
      </c>
      <c r="T2893">
        <v>23.885942</v>
      </c>
      <c r="U2893">
        <v>45.079161999999997</v>
      </c>
    </row>
    <row r="2894" spans="1:21">
      <c r="A2894" t="s">
        <v>160</v>
      </c>
      <c r="B2894">
        <v>2000</v>
      </c>
      <c r="C2894">
        <v>2051.4052999999999</v>
      </c>
      <c r="D2894">
        <v>4060</v>
      </c>
      <c r="E2894">
        <v>1.39</v>
      </c>
      <c r="F2894">
        <v>0</v>
      </c>
      <c r="G2894">
        <v>0.05</v>
      </c>
      <c r="H2894">
        <v>3.4722219999999999</v>
      </c>
      <c r="I2894">
        <v>1.05</v>
      </c>
      <c r="J2894">
        <v>47.52</v>
      </c>
      <c r="K2894">
        <v>87</v>
      </c>
      <c r="L2894">
        <v>37.74</v>
      </c>
      <c r="M2894">
        <v>34.799999999999997</v>
      </c>
      <c r="O2894">
        <v>160000</v>
      </c>
      <c r="P2894">
        <v>3.8872109579999998</v>
      </c>
      <c r="Q2894">
        <v>613.73238449999997</v>
      </c>
      <c r="R2894">
        <v>3.95</v>
      </c>
      <c r="S2894">
        <v>196722</v>
      </c>
      <c r="T2894">
        <v>14.497401</v>
      </c>
      <c r="U2894">
        <v>-14.452362000000001</v>
      </c>
    </row>
    <row r="2895" spans="1:21">
      <c r="A2895" t="s">
        <v>160</v>
      </c>
      <c r="B2895">
        <v>2001</v>
      </c>
      <c r="C2895">
        <v>2183.0104999999999</v>
      </c>
      <c r="D2895">
        <v>4460</v>
      </c>
      <c r="E2895">
        <v>1.63</v>
      </c>
      <c r="F2895">
        <v>0</v>
      </c>
      <c r="G2895">
        <v>0.05</v>
      </c>
      <c r="H2895">
        <v>2.9761905999999998</v>
      </c>
      <c r="I2895">
        <v>1.04</v>
      </c>
      <c r="J2895">
        <v>45.83</v>
      </c>
      <c r="K2895">
        <v>87</v>
      </c>
      <c r="L2895">
        <v>38.757618000000001</v>
      </c>
      <c r="M2895">
        <v>35.9</v>
      </c>
      <c r="O2895">
        <v>11490000</v>
      </c>
      <c r="P2895">
        <v>4.3108514659999999</v>
      </c>
      <c r="Q2895">
        <v>648.44147329999998</v>
      </c>
      <c r="R2895">
        <v>4.09</v>
      </c>
      <c r="S2895">
        <v>196722</v>
      </c>
      <c r="T2895">
        <v>14.497401</v>
      </c>
      <c r="U2895">
        <v>-14.452362000000001</v>
      </c>
    </row>
    <row r="2896" spans="1:21">
      <c r="A2896" t="s">
        <v>160</v>
      </c>
      <c r="B2896">
        <v>2002</v>
      </c>
      <c r="C2896">
        <v>2211.2159999999999</v>
      </c>
      <c r="D2896">
        <v>4579.9999239999997</v>
      </c>
      <c r="E2896">
        <v>1.55</v>
      </c>
      <c r="F2896">
        <v>0</v>
      </c>
      <c r="G2896">
        <v>0.24</v>
      </c>
      <c r="H2896">
        <v>13.407821999999999</v>
      </c>
      <c r="I2896">
        <v>1.03</v>
      </c>
      <c r="J2896">
        <v>43.76</v>
      </c>
      <c r="K2896">
        <v>87</v>
      </c>
      <c r="L2896">
        <v>36.799999999999997</v>
      </c>
      <c r="M2896">
        <v>37</v>
      </c>
      <c r="O2896">
        <v>2030000</v>
      </c>
      <c r="P2896">
        <v>6.8696574999999996E-2</v>
      </c>
      <c r="Q2896">
        <v>681.3118508</v>
      </c>
      <c r="R2896">
        <v>4.13</v>
      </c>
      <c r="S2896">
        <v>196722</v>
      </c>
      <c r="T2896">
        <v>14.497401</v>
      </c>
      <c r="U2896">
        <v>-14.452362000000001</v>
      </c>
    </row>
    <row r="2897" spans="1:21">
      <c r="A2897" t="s">
        <v>160</v>
      </c>
      <c r="B2897">
        <v>2003</v>
      </c>
      <c r="C2897">
        <v>2175.09</v>
      </c>
      <c r="D2897">
        <v>4489.9997709999998</v>
      </c>
      <c r="E2897">
        <v>1.52</v>
      </c>
      <c r="F2897">
        <v>0</v>
      </c>
      <c r="G2897">
        <v>0.38</v>
      </c>
      <c r="H2897">
        <v>20</v>
      </c>
      <c r="I2897">
        <v>1.02</v>
      </c>
      <c r="J2897">
        <v>43.66</v>
      </c>
      <c r="K2897">
        <v>87</v>
      </c>
      <c r="L2897">
        <v>41.964134000000001</v>
      </c>
      <c r="M2897">
        <v>37.9</v>
      </c>
      <c r="O2897">
        <v>33840000</v>
      </c>
      <c r="P2897">
        <v>5.5939509449999996</v>
      </c>
      <c r="Q2897">
        <v>831.83104030000004</v>
      </c>
      <c r="R2897">
        <v>3.78</v>
      </c>
      <c r="S2897">
        <v>196722</v>
      </c>
      <c r="T2897">
        <v>14.497401</v>
      </c>
      <c r="U2897">
        <v>-14.452362000000001</v>
      </c>
    </row>
    <row r="2898" spans="1:21">
      <c r="A2898" t="s">
        <v>160</v>
      </c>
      <c r="B2898">
        <v>2004</v>
      </c>
      <c r="C2898">
        <v>2244.3047000000001</v>
      </c>
      <c r="D2898">
        <v>5389.9998660000001</v>
      </c>
      <c r="E2898">
        <v>1.65</v>
      </c>
      <c r="F2898">
        <v>0</v>
      </c>
      <c r="G2898">
        <v>0.34</v>
      </c>
      <c r="H2898">
        <v>17.085425999999998</v>
      </c>
      <c r="I2898">
        <v>1</v>
      </c>
      <c r="J2898">
        <v>39.880000000000003</v>
      </c>
      <c r="K2898">
        <v>87</v>
      </c>
      <c r="L2898">
        <v>36.799999999999997</v>
      </c>
      <c r="M2898">
        <v>38.5</v>
      </c>
      <c r="O2898">
        <v>13420000</v>
      </c>
      <c r="P2898">
        <v>4.6432939370000001</v>
      </c>
      <c r="Q2898">
        <v>932.16809539999997</v>
      </c>
      <c r="R2898">
        <v>3.87</v>
      </c>
      <c r="S2898">
        <v>196722</v>
      </c>
      <c r="T2898">
        <v>14.497401</v>
      </c>
      <c r="U2898">
        <v>-14.452362000000001</v>
      </c>
    </row>
    <row r="2899" spans="1:21">
      <c r="A2899" t="s">
        <v>160</v>
      </c>
      <c r="B2899">
        <v>2005</v>
      </c>
      <c r="C2899">
        <v>2270.2583</v>
      </c>
      <c r="D2899">
        <v>5670.0000760000003</v>
      </c>
      <c r="E2899">
        <v>1.94</v>
      </c>
      <c r="F2899">
        <v>0</v>
      </c>
      <c r="G2899">
        <v>0.32</v>
      </c>
      <c r="H2899">
        <v>14.159292000000001</v>
      </c>
      <c r="I2899">
        <v>0.99</v>
      </c>
      <c r="J2899">
        <v>40.32</v>
      </c>
      <c r="K2899">
        <v>87</v>
      </c>
      <c r="L2899">
        <v>47.1</v>
      </c>
      <c r="M2899">
        <v>38.799999999999997</v>
      </c>
      <c r="O2899">
        <v>6640000</v>
      </c>
      <c r="P2899">
        <v>4.310238526</v>
      </c>
      <c r="Q2899">
        <v>992.68805810000003</v>
      </c>
      <c r="R2899">
        <v>3.79</v>
      </c>
      <c r="S2899">
        <v>196722</v>
      </c>
      <c r="T2899">
        <v>14.497401</v>
      </c>
      <c r="U2899">
        <v>-14.452362000000001</v>
      </c>
    </row>
    <row r="2900" spans="1:21">
      <c r="A2900" t="s">
        <v>160</v>
      </c>
      <c r="B2900">
        <v>2006</v>
      </c>
      <c r="C2900">
        <v>2172.1889999999999</v>
      </c>
      <c r="D2900">
        <v>5570.000172</v>
      </c>
      <c r="E2900">
        <v>1.99</v>
      </c>
      <c r="F2900">
        <v>0</v>
      </c>
      <c r="G2900">
        <v>0.28999999999999998</v>
      </c>
      <c r="H2900">
        <v>12.719298</v>
      </c>
      <c r="I2900">
        <v>0.98</v>
      </c>
      <c r="J2900">
        <v>43.35</v>
      </c>
      <c r="K2900">
        <v>87</v>
      </c>
      <c r="L2900">
        <v>49.9</v>
      </c>
      <c r="M2900">
        <v>38.4</v>
      </c>
      <c r="O2900">
        <v>33410000</v>
      </c>
      <c r="P2900">
        <v>2.3307709829999999</v>
      </c>
      <c r="Q2900">
        <v>1027.7314409999999</v>
      </c>
      <c r="R2900">
        <v>3.72</v>
      </c>
      <c r="S2900">
        <v>196722</v>
      </c>
      <c r="T2900">
        <v>14.497401</v>
      </c>
      <c r="U2900">
        <v>-14.452362000000001</v>
      </c>
    </row>
    <row r="2901" spans="1:21">
      <c r="A2901" t="s">
        <v>160</v>
      </c>
      <c r="B2901">
        <v>2007</v>
      </c>
      <c r="C2901">
        <v>2281.3833</v>
      </c>
      <c r="D2901">
        <v>6199.9998089999999</v>
      </c>
      <c r="E2901">
        <v>2.2200000000000002</v>
      </c>
      <c r="F2901">
        <v>0</v>
      </c>
      <c r="G2901">
        <v>0.24</v>
      </c>
      <c r="H2901">
        <v>9.7560979999999997</v>
      </c>
      <c r="I2901">
        <v>0.97</v>
      </c>
      <c r="J2901">
        <v>40.01</v>
      </c>
      <c r="K2901">
        <v>87</v>
      </c>
      <c r="L2901">
        <v>48.361809999999998</v>
      </c>
      <c r="M2901">
        <v>37.6</v>
      </c>
      <c r="O2901">
        <v>710000</v>
      </c>
      <c r="P2901">
        <v>2.8271192009999999</v>
      </c>
      <c r="Q2901">
        <v>1197.4095609999999</v>
      </c>
      <c r="R2901">
        <v>3.88</v>
      </c>
      <c r="S2901">
        <v>196722</v>
      </c>
      <c r="T2901">
        <v>14.497401</v>
      </c>
      <c r="U2901">
        <v>-14.452362000000001</v>
      </c>
    </row>
    <row r="2902" spans="1:21">
      <c r="A2902" t="s">
        <v>160</v>
      </c>
      <c r="B2902">
        <v>2008</v>
      </c>
      <c r="C2902">
        <v>2277.5131999999999</v>
      </c>
      <c r="D2902">
        <v>6440.0000570000002</v>
      </c>
      <c r="E2902">
        <v>2.31</v>
      </c>
      <c r="F2902">
        <v>0</v>
      </c>
      <c r="G2902">
        <v>0.28000000000000003</v>
      </c>
      <c r="H2902">
        <v>10.810810999999999</v>
      </c>
      <c r="I2902">
        <v>0.96</v>
      </c>
      <c r="J2902">
        <v>39.81</v>
      </c>
      <c r="K2902">
        <v>87</v>
      </c>
      <c r="L2902">
        <v>49.972651999999997</v>
      </c>
      <c r="M2902">
        <v>36.700000000000003</v>
      </c>
      <c r="P2902">
        <v>3.7031690639999999</v>
      </c>
      <c r="Q2902">
        <v>1403.9493849999999</v>
      </c>
      <c r="R2902">
        <v>3.92</v>
      </c>
      <c r="S2902">
        <v>196722</v>
      </c>
      <c r="T2902">
        <v>14.497401</v>
      </c>
      <c r="U2902">
        <v>-14.452362000000001</v>
      </c>
    </row>
    <row r="2903" spans="1:21">
      <c r="A2903" t="s">
        <v>160</v>
      </c>
      <c r="B2903">
        <v>2009</v>
      </c>
      <c r="C2903">
        <v>2122.7694999999999</v>
      </c>
      <c r="D2903">
        <v>6670.0000760000003</v>
      </c>
      <c r="E2903">
        <v>2.36</v>
      </c>
      <c r="F2903">
        <v>0</v>
      </c>
      <c r="G2903">
        <v>0.28999999999999998</v>
      </c>
      <c r="H2903">
        <v>10.943396</v>
      </c>
      <c r="I2903">
        <v>0.96</v>
      </c>
      <c r="J2903">
        <v>51.31</v>
      </c>
      <c r="K2903">
        <v>87</v>
      </c>
      <c r="L2903">
        <v>53.5</v>
      </c>
      <c r="M2903">
        <v>35.4</v>
      </c>
      <c r="O2903">
        <v>38090000</v>
      </c>
      <c r="P2903">
        <v>2.7521044849999998</v>
      </c>
      <c r="Q2903">
        <v>1308.9378079999999</v>
      </c>
      <c r="R2903">
        <v>4.59</v>
      </c>
      <c r="S2903">
        <v>196722</v>
      </c>
      <c r="T2903">
        <v>14.497401</v>
      </c>
      <c r="U2903">
        <v>-14.452362000000001</v>
      </c>
    </row>
    <row r="2904" spans="1:21">
      <c r="A2904" t="s">
        <v>160</v>
      </c>
      <c r="B2904">
        <v>2010</v>
      </c>
      <c r="C2904">
        <v>2142.2064999999998</v>
      </c>
      <c r="D2904">
        <v>7030.0002100000002</v>
      </c>
      <c r="E2904">
        <v>2.42</v>
      </c>
      <c r="F2904">
        <v>0</v>
      </c>
      <c r="G2904">
        <v>0.4</v>
      </c>
      <c r="H2904">
        <v>14.184398</v>
      </c>
      <c r="I2904">
        <v>2.23</v>
      </c>
      <c r="J2904">
        <v>49.55</v>
      </c>
      <c r="K2904">
        <v>87</v>
      </c>
      <c r="L2904">
        <v>56.5</v>
      </c>
      <c r="M2904">
        <v>33.85</v>
      </c>
      <c r="O2904">
        <v>1090000</v>
      </c>
      <c r="P2904">
        <v>3.3908892530000001</v>
      </c>
      <c r="Q2904">
        <v>1271.5832809999999</v>
      </c>
      <c r="R2904">
        <v>4.68</v>
      </c>
      <c r="S2904">
        <v>196722</v>
      </c>
      <c r="T2904">
        <v>14.497401</v>
      </c>
      <c r="U2904">
        <v>-14.452362000000001</v>
      </c>
    </row>
    <row r="2905" spans="1:21">
      <c r="A2905" t="s">
        <v>160</v>
      </c>
      <c r="B2905">
        <v>2011</v>
      </c>
      <c r="C2905">
        <v>2183.9285</v>
      </c>
      <c r="D2905">
        <v>7570.000172</v>
      </c>
      <c r="E2905">
        <v>2.4700000000000002</v>
      </c>
      <c r="F2905">
        <v>0</v>
      </c>
      <c r="G2905">
        <v>0.39</v>
      </c>
      <c r="H2905">
        <v>13.636364</v>
      </c>
      <c r="I2905">
        <v>2.29</v>
      </c>
      <c r="J2905">
        <v>47.97</v>
      </c>
      <c r="K2905">
        <v>87</v>
      </c>
      <c r="L2905">
        <v>56.5</v>
      </c>
      <c r="M2905">
        <v>32.4</v>
      </c>
      <c r="O2905">
        <v>1440000</v>
      </c>
      <c r="P2905">
        <v>1.3340910800000001</v>
      </c>
      <c r="Q2905">
        <v>1366.7745010000001</v>
      </c>
      <c r="R2905">
        <v>4.79</v>
      </c>
      <c r="S2905">
        <v>196722</v>
      </c>
      <c r="T2905">
        <v>14.497401</v>
      </c>
      <c r="U2905">
        <v>-14.452362000000001</v>
      </c>
    </row>
    <row r="2906" spans="1:21">
      <c r="A2906" t="s">
        <v>160</v>
      </c>
      <c r="B2906">
        <v>2012</v>
      </c>
      <c r="C2906">
        <v>2091.1333</v>
      </c>
      <c r="D2906">
        <v>7449.9998089999999</v>
      </c>
      <c r="E2906">
        <v>2.71</v>
      </c>
      <c r="F2906">
        <v>0</v>
      </c>
      <c r="G2906">
        <v>0.45</v>
      </c>
      <c r="H2906">
        <v>14.240506</v>
      </c>
      <c r="I2906">
        <v>2.31</v>
      </c>
      <c r="J2906">
        <v>49.6</v>
      </c>
      <c r="K2906">
        <v>87</v>
      </c>
      <c r="L2906">
        <v>56.5</v>
      </c>
      <c r="M2906">
        <v>30.8</v>
      </c>
      <c r="O2906">
        <v>8590000</v>
      </c>
      <c r="P2906">
        <v>4.0029955509999997</v>
      </c>
      <c r="Q2906">
        <v>1317.779802</v>
      </c>
      <c r="R2906">
        <v>4.51</v>
      </c>
      <c r="S2906">
        <v>196722</v>
      </c>
      <c r="T2906">
        <v>14.497401</v>
      </c>
      <c r="U2906">
        <v>-14.452362000000001</v>
      </c>
    </row>
    <row r="2907" spans="1:21">
      <c r="A2907" t="s">
        <v>160</v>
      </c>
      <c r="B2907">
        <v>2013</v>
      </c>
      <c r="C2907">
        <v>2117.2896000000001</v>
      </c>
      <c r="D2907">
        <v>8010.0002290000002</v>
      </c>
      <c r="E2907">
        <v>2.83</v>
      </c>
      <c r="F2907">
        <v>0</v>
      </c>
      <c r="G2907">
        <v>0.47</v>
      </c>
      <c r="H2907">
        <v>14.242424</v>
      </c>
      <c r="I2907">
        <v>2.3199999999999998</v>
      </c>
      <c r="J2907">
        <v>42.69</v>
      </c>
      <c r="K2907">
        <v>87</v>
      </c>
      <c r="L2907">
        <v>57</v>
      </c>
      <c r="M2907">
        <v>29.3</v>
      </c>
      <c r="O2907">
        <v>18400000</v>
      </c>
      <c r="P2907">
        <v>2.4123852760000002</v>
      </c>
      <c r="Q2907">
        <v>1372.6657789999999</v>
      </c>
      <c r="R2907">
        <v>4.07</v>
      </c>
      <c r="S2907">
        <v>196722</v>
      </c>
      <c r="T2907">
        <v>14.497401</v>
      </c>
      <c r="U2907">
        <v>-14.452362000000001</v>
      </c>
    </row>
    <row r="2908" spans="1:21">
      <c r="A2908" t="s">
        <v>160</v>
      </c>
      <c r="B2908">
        <v>2014</v>
      </c>
      <c r="C2908">
        <v>2286.8188</v>
      </c>
      <c r="D2908">
        <v>8569.9996950000004</v>
      </c>
      <c r="E2908">
        <v>3.15</v>
      </c>
      <c r="F2908">
        <v>0</v>
      </c>
      <c r="G2908">
        <v>0.49</v>
      </c>
      <c r="H2908">
        <v>13.461537999999999</v>
      </c>
      <c r="I2908">
        <v>2.4</v>
      </c>
      <c r="J2908">
        <v>42.53</v>
      </c>
      <c r="K2908">
        <v>87</v>
      </c>
      <c r="L2908">
        <v>61</v>
      </c>
      <c r="M2908">
        <v>28.4</v>
      </c>
      <c r="O2908">
        <v>120000</v>
      </c>
      <c r="P2908">
        <v>6.2240744379999997</v>
      </c>
      <c r="Q2908">
        <v>1396.6573390000001</v>
      </c>
      <c r="R2908">
        <v>4.1500000000000004</v>
      </c>
      <c r="S2908">
        <v>196722</v>
      </c>
      <c r="T2908">
        <v>14.497401</v>
      </c>
      <c r="U2908">
        <v>-14.452362000000001</v>
      </c>
    </row>
    <row r="2909" spans="1:21">
      <c r="A2909" t="s">
        <v>160</v>
      </c>
      <c r="B2909">
        <v>2015</v>
      </c>
      <c r="C2909">
        <v>2580.8827999999999</v>
      </c>
      <c r="D2909">
        <v>9289.9999619999999</v>
      </c>
      <c r="E2909">
        <v>3.36</v>
      </c>
      <c r="F2909">
        <v>0</v>
      </c>
      <c r="G2909">
        <v>0.53</v>
      </c>
      <c r="H2909">
        <v>13.624677999999999</v>
      </c>
      <c r="I2909">
        <v>2.33</v>
      </c>
      <c r="J2909">
        <v>39.11</v>
      </c>
      <c r="K2909">
        <v>87</v>
      </c>
      <c r="L2909">
        <v>60.5</v>
      </c>
      <c r="M2909">
        <v>27.3</v>
      </c>
      <c r="O2909">
        <v>32310000</v>
      </c>
      <c r="P2909">
        <v>6.3670436510000004</v>
      </c>
      <c r="Q2909">
        <v>1219.249415</v>
      </c>
      <c r="R2909">
        <v>4.1900000000000004</v>
      </c>
      <c r="S2909">
        <v>196722</v>
      </c>
      <c r="T2909">
        <v>14.497401</v>
      </c>
      <c r="U2909">
        <v>-14.452362000000001</v>
      </c>
    </row>
    <row r="2910" spans="1:21">
      <c r="A2910" t="s">
        <v>160</v>
      </c>
      <c r="B2910">
        <v>2016</v>
      </c>
      <c r="C2910">
        <v>2429.8923</v>
      </c>
      <c r="D2910">
        <v>10130.000110000001</v>
      </c>
      <c r="E2910">
        <v>3.68</v>
      </c>
      <c r="F2910">
        <v>0</v>
      </c>
      <c r="G2910">
        <v>0.49</v>
      </c>
      <c r="H2910">
        <v>11.750598999999999</v>
      </c>
      <c r="I2910">
        <v>4.47</v>
      </c>
      <c r="J2910">
        <v>36.72</v>
      </c>
      <c r="K2910">
        <v>87</v>
      </c>
      <c r="L2910">
        <v>64.5</v>
      </c>
      <c r="M2910">
        <v>26.5</v>
      </c>
      <c r="O2910">
        <v>319870000</v>
      </c>
      <c r="P2910">
        <v>6.3560685719999999</v>
      </c>
      <c r="Q2910">
        <v>1269.903294</v>
      </c>
      <c r="R2910">
        <v>3.93</v>
      </c>
      <c r="S2910">
        <v>196722</v>
      </c>
      <c r="T2910">
        <v>14.497401</v>
      </c>
      <c r="U2910">
        <v>-14.452362000000001</v>
      </c>
    </row>
    <row r="2911" spans="1:21">
      <c r="A2911" t="s">
        <v>160</v>
      </c>
      <c r="B2911">
        <v>2017</v>
      </c>
      <c r="C2911">
        <v>2509.5967000000001</v>
      </c>
      <c r="D2911">
        <v>9800.0001909999992</v>
      </c>
      <c r="E2911">
        <v>3.9</v>
      </c>
      <c r="F2911">
        <v>0</v>
      </c>
      <c r="G2911">
        <v>0.57999999999999996</v>
      </c>
      <c r="H2911">
        <v>12.946427999999999</v>
      </c>
      <c r="I2911">
        <v>8.56</v>
      </c>
      <c r="J2911">
        <v>37.93</v>
      </c>
      <c r="K2911">
        <v>87</v>
      </c>
      <c r="L2911">
        <v>61.7</v>
      </c>
      <c r="M2911">
        <v>25.9</v>
      </c>
      <c r="O2911">
        <v>8550000</v>
      </c>
      <c r="P2911">
        <v>7.4074861859999999</v>
      </c>
      <c r="Q2911">
        <v>1361.7019720000001</v>
      </c>
      <c r="R2911">
        <v>3.65</v>
      </c>
      <c r="S2911">
        <v>196722</v>
      </c>
      <c r="T2911">
        <v>14.497401</v>
      </c>
      <c r="U2911">
        <v>-14.452362000000001</v>
      </c>
    </row>
    <row r="2912" spans="1:21">
      <c r="A2912" t="s">
        <v>160</v>
      </c>
      <c r="B2912">
        <v>2018</v>
      </c>
      <c r="C2912">
        <v>2541.6352999999999</v>
      </c>
      <c r="D2912">
        <v>10180.000309999999</v>
      </c>
      <c r="E2912">
        <v>3.97</v>
      </c>
      <c r="F2912">
        <v>0</v>
      </c>
      <c r="G2912">
        <v>0.7</v>
      </c>
      <c r="H2912">
        <v>14.989293</v>
      </c>
      <c r="I2912">
        <v>10.91</v>
      </c>
      <c r="J2912">
        <v>36.15</v>
      </c>
      <c r="K2912">
        <v>87</v>
      </c>
      <c r="L2912">
        <v>66</v>
      </c>
      <c r="M2912">
        <v>25.2</v>
      </c>
      <c r="O2912">
        <v>83950000</v>
      </c>
      <c r="P2912">
        <v>6.2092410339999997</v>
      </c>
      <c r="Q2912">
        <v>1458.0690930000001</v>
      </c>
      <c r="R2912">
        <v>3.48</v>
      </c>
      <c r="S2912">
        <v>196722</v>
      </c>
      <c r="T2912">
        <v>14.497401</v>
      </c>
      <c r="U2912">
        <v>-14.452362000000001</v>
      </c>
    </row>
    <row r="2913" spans="1:21">
      <c r="A2913" t="s">
        <v>160</v>
      </c>
      <c r="B2913">
        <v>2019</v>
      </c>
      <c r="C2913">
        <v>2753.3908999999999</v>
      </c>
      <c r="D2913">
        <v>10619.999889999999</v>
      </c>
      <c r="E2913">
        <v>4.45</v>
      </c>
      <c r="F2913">
        <v>0</v>
      </c>
      <c r="G2913">
        <v>0.72</v>
      </c>
      <c r="H2913">
        <v>13.926498</v>
      </c>
      <c r="I2913">
        <v>15.1</v>
      </c>
      <c r="J2913">
        <v>37.200000000000003</v>
      </c>
      <c r="K2913">
        <v>87</v>
      </c>
      <c r="L2913">
        <v>70.400000000000006</v>
      </c>
      <c r="M2913">
        <v>24.7</v>
      </c>
      <c r="O2913">
        <v>68930000</v>
      </c>
      <c r="P2913">
        <v>4.4024068359999999</v>
      </c>
      <c r="Q2913">
        <v>1430.1482590000001</v>
      </c>
      <c r="R2913">
        <v>3.67</v>
      </c>
      <c r="S2913">
        <v>196722</v>
      </c>
      <c r="T2913">
        <v>14.497401</v>
      </c>
      <c r="U2913">
        <v>-14.452362000000001</v>
      </c>
    </row>
    <row r="2914" spans="1:21">
      <c r="A2914" t="s">
        <v>160</v>
      </c>
      <c r="B2914">
        <v>2020</v>
      </c>
      <c r="C2914">
        <v>2532.4126000000001</v>
      </c>
      <c r="E2914">
        <v>4.2300000000000004</v>
      </c>
      <c r="F2914">
        <v>0</v>
      </c>
      <c r="G2914">
        <v>1</v>
      </c>
      <c r="H2914">
        <v>19.120459</v>
      </c>
      <c r="I2914">
        <v>14.69</v>
      </c>
      <c r="K2914">
        <v>87</v>
      </c>
      <c r="L2914">
        <v>70.368939999999995</v>
      </c>
      <c r="M2914">
        <v>24.2</v>
      </c>
      <c r="P2914">
        <v>1.499763427</v>
      </c>
      <c r="Q2914">
        <v>1471.830962</v>
      </c>
      <c r="S2914">
        <v>196722</v>
      </c>
      <c r="T2914">
        <v>14.497401</v>
      </c>
      <c r="U2914">
        <v>-14.452362000000001</v>
      </c>
    </row>
    <row r="2915" spans="1:21">
      <c r="A2915" t="s">
        <v>161</v>
      </c>
      <c r="B2915">
        <v>2007</v>
      </c>
      <c r="C2915">
        <v>26348.526999999998</v>
      </c>
      <c r="D2915">
        <v>51459.999080000001</v>
      </c>
      <c r="E2915">
        <v>26.51</v>
      </c>
      <c r="F2915">
        <v>0</v>
      </c>
      <c r="G2915">
        <v>9.4600000000000009</v>
      </c>
      <c r="H2915">
        <v>26.299693999999999</v>
      </c>
      <c r="J2915">
        <v>14.03</v>
      </c>
      <c r="K2915">
        <v>100</v>
      </c>
      <c r="L2915">
        <v>100</v>
      </c>
      <c r="M2915">
        <v>64.599999999999994</v>
      </c>
      <c r="P2915">
        <v>6.4395255540000003</v>
      </c>
      <c r="Q2915">
        <v>5848.4764050000003</v>
      </c>
      <c r="R2915">
        <v>6.78</v>
      </c>
      <c r="S2915">
        <v>77474</v>
      </c>
      <c r="T2915">
        <v>44.016520999999997</v>
      </c>
      <c r="U2915">
        <v>21.005859000000001</v>
      </c>
    </row>
    <row r="2916" spans="1:21">
      <c r="A2916" t="s">
        <v>161</v>
      </c>
      <c r="B2916">
        <v>2008</v>
      </c>
      <c r="C2916">
        <v>26371.516</v>
      </c>
      <c r="D2916">
        <v>49830.001830000001</v>
      </c>
      <c r="E2916">
        <v>27.26</v>
      </c>
      <c r="F2916">
        <v>0</v>
      </c>
      <c r="G2916">
        <v>9.56</v>
      </c>
      <c r="H2916">
        <v>25.964151000000001</v>
      </c>
      <c r="J2916">
        <v>15.5</v>
      </c>
      <c r="K2916">
        <v>100</v>
      </c>
      <c r="L2916">
        <v>100</v>
      </c>
      <c r="M2916">
        <v>65.3</v>
      </c>
      <c r="P2916">
        <v>5.6555766219999999</v>
      </c>
      <c r="Q2916">
        <v>7101.0401410000004</v>
      </c>
      <c r="R2916">
        <v>6.53</v>
      </c>
      <c r="S2916">
        <v>77474</v>
      </c>
      <c r="T2916">
        <v>44.016520999999997</v>
      </c>
      <c r="U2916">
        <v>21.005859000000001</v>
      </c>
    </row>
    <row r="2917" spans="1:21">
      <c r="A2917" t="s">
        <v>161</v>
      </c>
      <c r="B2917">
        <v>2009</v>
      </c>
      <c r="C2917">
        <v>25290.535</v>
      </c>
      <c r="D2917">
        <v>46869.998930000002</v>
      </c>
      <c r="E2917">
        <v>27.17</v>
      </c>
      <c r="F2917">
        <v>0</v>
      </c>
      <c r="G2917">
        <v>10.54</v>
      </c>
      <c r="H2917">
        <v>27.950146</v>
      </c>
      <c r="J2917">
        <v>20.68</v>
      </c>
      <c r="K2917">
        <v>100</v>
      </c>
      <c r="L2917">
        <v>100</v>
      </c>
      <c r="M2917">
        <v>66.099999999999994</v>
      </c>
      <c r="P2917">
        <v>-2.7317519890000002</v>
      </c>
      <c r="Q2917">
        <v>6169.1141950000001</v>
      </c>
      <c r="R2917">
        <v>6.05</v>
      </c>
      <c r="S2917">
        <v>77474</v>
      </c>
      <c r="T2917">
        <v>44.016520999999997</v>
      </c>
      <c r="U2917">
        <v>21.005859000000001</v>
      </c>
    </row>
    <row r="2918" spans="1:21">
      <c r="A2918" t="s">
        <v>161</v>
      </c>
      <c r="B2918">
        <v>2010</v>
      </c>
      <c r="C2918">
        <v>26212.14</v>
      </c>
      <c r="D2918">
        <v>47099.998469999999</v>
      </c>
      <c r="E2918">
        <v>25.53</v>
      </c>
      <c r="F2918">
        <v>0</v>
      </c>
      <c r="G2918">
        <v>11.89</v>
      </c>
      <c r="H2918">
        <v>31.774453999999999</v>
      </c>
      <c r="J2918">
        <v>20.47</v>
      </c>
      <c r="K2918">
        <v>100</v>
      </c>
      <c r="L2918">
        <v>99.718400000000003</v>
      </c>
      <c r="M2918">
        <v>67.400000000000006</v>
      </c>
      <c r="P2918">
        <v>0.73104455300000004</v>
      </c>
      <c r="Q2918">
        <v>5735.4228569999996</v>
      </c>
      <c r="R2918">
        <v>6.19</v>
      </c>
      <c r="S2918">
        <v>77474</v>
      </c>
      <c r="T2918">
        <v>44.016520999999997</v>
      </c>
      <c r="U2918">
        <v>21.005859000000001</v>
      </c>
    </row>
    <row r="2919" spans="1:21">
      <c r="A2919" t="s">
        <v>161</v>
      </c>
      <c r="B2919">
        <v>2011</v>
      </c>
      <c r="C2919">
        <v>26607.537</v>
      </c>
      <c r="D2919">
        <v>51229.999539999997</v>
      </c>
      <c r="E2919">
        <v>29.35</v>
      </c>
      <c r="F2919">
        <v>0</v>
      </c>
      <c r="G2919">
        <v>8.67</v>
      </c>
      <c r="H2919">
        <v>22.803787</v>
      </c>
      <c r="J2919">
        <v>17.440000000000001</v>
      </c>
      <c r="K2919">
        <v>100</v>
      </c>
      <c r="L2919">
        <v>100</v>
      </c>
      <c r="M2919">
        <v>67.900000000000006</v>
      </c>
      <c r="P2919">
        <v>2.0362766890000001</v>
      </c>
      <c r="Q2919">
        <v>6809.1598039999999</v>
      </c>
      <c r="R2919">
        <v>6.29</v>
      </c>
      <c r="S2919">
        <v>77474</v>
      </c>
      <c r="T2919">
        <v>44.016520999999997</v>
      </c>
      <c r="U2919">
        <v>21.005859000000001</v>
      </c>
    </row>
    <row r="2920" spans="1:21">
      <c r="A2920" t="s">
        <v>161</v>
      </c>
      <c r="B2920">
        <v>2012</v>
      </c>
      <c r="C2920">
        <v>25157.437999999998</v>
      </c>
      <c r="D2920">
        <v>45790.000919999999</v>
      </c>
      <c r="E2920">
        <v>26.89</v>
      </c>
      <c r="F2920">
        <v>0</v>
      </c>
      <c r="G2920">
        <v>9.3000000000000007</v>
      </c>
      <c r="H2920">
        <v>25.697707999999999</v>
      </c>
      <c r="J2920">
        <v>19.47</v>
      </c>
      <c r="K2920">
        <v>100</v>
      </c>
      <c r="L2920">
        <v>100</v>
      </c>
      <c r="M2920">
        <v>69.2</v>
      </c>
      <c r="P2920">
        <v>-0.68154236899999998</v>
      </c>
      <c r="Q2920">
        <v>6015.9452279999996</v>
      </c>
      <c r="R2920">
        <v>5.69</v>
      </c>
      <c r="S2920">
        <v>77474</v>
      </c>
      <c r="T2920">
        <v>44.016520999999997</v>
      </c>
      <c r="U2920">
        <v>21.005859000000001</v>
      </c>
    </row>
    <row r="2921" spans="1:21">
      <c r="A2921" t="s">
        <v>161</v>
      </c>
      <c r="B2921">
        <v>2013</v>
      </c>
      <c r="C2921">
        <v>25155.991999999998</v>
      </c>
      <c r="D2921">
        <v>46470.001219999998</v>
      </c>
      <c r="E2921">
        <v>29.01</v>
      </c>
      <c r="F2921">
        <v>0</v>
      </c>
      <c r="G2921">
        <v>10.220000000000001</v>
      </c>
      <c r="H2921">
        <v>26.051490000000001</v>
      </c>
      <c r="J2921">
        <v>20.03</v>
      </c>
      <c r="K2921">
        <v>100</v>
      </c>
      <c r="L2921">
        <v>99.92</v>
      </c>
      <c r="M2921">
        <v>70.45</v>
      </c>
      <c r="P2921">
        <v>2.8926367339999999</v>
      </c>
      <c r="Q2921">
        <v>6755.0736749999996</v>
      </c>
      <c r="R2921">
        <v>5.66</v>
      </c>
      <c r="S2921">
        <v>77474</v>
      </c>
      <c r="T2921">
        <v>44.016520999999997</v>
      </c>
      <c r="U2921">
        <v>21.005859000000001</v>
      </c>
    </row>
    <row r="2922" spans="1:21">
      <c r="A2922" t="s">
        <v>161</v>
      </c>
      <c r="B2922">
        <v>2014</v>
      </c>
      <c r="C2922">
        <v>22474.787</v>
      </c>
      <c r="D2922">
        <v>38959.999080000001</v>
      </c>
      <c r="E2922">
        <v>22.41</v>
      </c>
      <c r="F2922">
        <v>0</v>
      </c>
      <c r="G2922">
        <v>11.03</v>
      </c>
      <c r="H2922">
        <v>32.984450000000002</v>
      </c>
      <c r="J2922">
        <v>23.25</v>
      </c>
      <c r="K2922">
        <v>100</v>
      </c>
      <c r="L2922">
        <v>99.660799999999995</v>
      </c>
      <c r="M2922">
        <v>71.599999999999994</v>
      </c>
      <c r="P2922">
        <v>-1.58951032</v>
      </c>
      <c r="Q2922">
        <v>6600.0568089999997</v>
      </c>
      <c r="R2922">
        <v>5.12</v>
      </c>
      <c r="S2922">
        <v>77474</v>
      </c>
      <c r="T2922">
        <v>44.016520999999997</v>
      </c>
      <c r="U2922">
        <v>21.005859000000001</v>
      </c>
    </row>
    <row r="2923" spans="1:21">
      <c r="A2923" t="s">
        <v>161</v>
      </c>
      <c r="B2923">
        <v>2015</v>
      </c>
      <c r="C2923">
        <v>24964.81</v>
      </c>
      <c r="D2923">
        <v>45389.999389999997</v>
      </c>
      <c r="E2923">
        <v>27.48</v>
      </c>
      <c r="F2923">
        <v>0</v>
      </c>
      <c r="G2923">
        <v>10.11</v>
      </c>
      <c r="H2923">
        <v>26.895448999999999</v>
      </c>
      <c r="J2923">
        <v>21.24</v>
      </c>
      <c r="K2923">
        <v>100</v>
      </c>
      <c r="L2923">
        <v>99.9</v>
      </c>
      <c r="M2923">
        <v>73</v>
      </c>
      <c r="P2923">
        <v>1.806059265</v>
      </c>
      <c r="Q2923">
        <v>5588.9807280000005</v>
      </c>
      <c r="R2923">
        <v>5.59</v>
      </c>
      <c r="S2923">
        <v>77474</v>
      </c>
      <c r="T2923">
        <v>44.016520999999997</v>
      </c>
      <c r="U2923">
        <v>21.005859000000001</v>
      </c>
    </row>
    <row r="2924" spans="1:21">
      <c r="A2924" t="s">
        <v>161</v>
      </c>
      <c r="B2924">
        <v>2016</v>
      </c>
      <c r="C2924">
        <v>25665.120999999999</v>
      </c>
      <c r="D2924">
        <v>46619.998930000002</v>
      </c>
      <c r="E2924">
        <v>27.75</v>
      </c>
      <c r="F2924">
        <v>0</v>
      </c>
      <c r="G2924">
        <v>10.86</v>
      </c>
      <c r="H2924">
        <v>28.127427999999998</v>
      </c>
      <c r="J2924">
        <v>20.91</v>
      </c>
      <c r="K2924">
        <v>100</v>
      </c>
      <c r="L2924">
        <v>100</v>
      </c>
      <c r="M2924">
        <v>74.400000000000006</v>
      </c>
      <c r="P2924">
        <v>3.3385867650000001</v>
      </c>
      <c r="Q2924">
        <v>5765.2007620000004</v>
      </c>
      <c r="R2924">
        <v>5.6</v>
      </c>
      <c r="S2924">
        <v>77474</v>
      </c>
      <c r="T2924">
        <v>44.016520999999997</v>
      </c>
      <c r="U2924">
        <v>21.005859000000001</v>
      </c>
    </row>
    <row r="2925" spans="1:21">
      <c r="A2925" t="s">
        <v>161</v>
      </c>
      <c r="B2925">
        <v>2017</v>
      </c>
      <c r="C2925">
        <v>26359.041000000001</v>
      </c>
      <c r="D2925">
        <v>47340.00015</v>
      </c>
      <c r="E2925">
        <v>27.15</v>
      </c>
      <c r="F2925">
        <v>0</v>
      </c>
      <c r="G2925">
        <v>9.2899999999999991</v>
      </c>
      <c r="H2925">
        <v>25.493963000000001</v>
      </c>
      <c r="J2925">
        <v>20</v>
      </c>
      <c r="K2925">
        <v>100</v>
      </c>
      <c r="L2925">
        <v>100</v>
      </c>
      <c r="M2925">
        <v>75.7</v>
      </c>
      <c r="P2925">
        <v>2.101163847</v>
      </c>
      <c r="Q2925">
        <v>6292.5436289999998</v>
      </c>
      <c r="R2925">
        <v>5.61</v>
      </c>
      <c r="S2925">
        <v>77474</v>
      </c>
      <c r="T2925">
        <v>44.016520999999997</v>
      </c>
      <c r="U2925">
        <v>21.005859000000001</v>
      </c>
    </row>
    <row r="2926" spans="1:21">
      <c r="A2926" t="s">
        <v>161</v>
      </c>
      <c r="B2926">
        <v>2018</v>
      </c>
      <c r="C2926">
        <v>26481.451000000001</v>
      </c>
      <c r="D2926">
        <v>46130.001069999998</v>
      </c>
      <c r="E2926">
        <v>25.77</v>
      </c>
      <c r="F2926">
        <v>0</v>
      </c>
      <c r="G2926">
        <v>10.9</v>
      </c>
      <c r="H2926">
        <v>29.724571000000001</v>
      </c>
      <c r="J2926">
        <v>21.05</v>
      </c>
      <c r="K2926">
        <v>100</v>
      </c>
      <c r="L2926">
        <v>100</v>
      </c>
      <c r="M2926">
        <v>77.3</v>
      </c>
      <c r="P2926">
        <v>4.4951212930000004</v>
      </c>
      <c r="Q2926">
        <v>7252.4018580000002</v>
      </c>
      <c r="R2926">
        <v>5.28</v>
      </c>
      <c r="S2926">
        <v>77474</v>
      </c>
      <c r="T2926">
        <v>44.016520999999997</v>
      </c>
      <c r="U2926">
        <v>21.005859000000001</v>
      </c>
    </row>
    <row r="2927" spans="1:21">
      <c r="A2927" t="s">
        <v>161</v>
      </c>
      <c r="B2927">
        <v>2019</v>
      </c>
      <c r="C2927">
        <v>26602.787</v>
      </c>
      <c r="D2927">
        <v>45950.000760000003</v>
      </c>
      <c r="E2927">
        <v>26.35</v>
      </c>
      <c r="F2927">
        <v>0</v>
      </c>
      <c r="G2927">
        <v>10.51</v>
      </c>
      <c r="H2927">
        <v>28.513292</v>
      </c>
      <c r="J2927">
        <v>21.53</v>
      </c>
      <c r="K2927">
        <v>100</v>
      </c>
      <c r="L2927">
        <v>99.8</v>
      </c>
      <c r="M2927">
        <v>78.599999999999994</v>
      </c>
      <c r="P2927">
        <v>4.3317349060000003</v>
      </c>
      <c r="Q2927">
        <v>7417.203649</v>
      </c>
      <c r="R2927">
        <v>5.04</v>
      </c>
      <c r="S2927">
        <v>77474</v>
      </c>
      <c r="T2927">
        <v>44.016520999999997</v>
      </c>
      <c r="U2927">
        <v>21.005859000000001</v>
      </c>
    </row>
    <row r="2928" spans="1:21">
      <c r="A2928" t="s">
        <v>161</v>
      </c>
      <c r="B2928">
        <v>2020</v>
      </c>
      <c r="C2928">
        <v>26211.984</v>
      </c>
      <c r="E2928">
        <v>27.02</v>
      </c>
      <c r="F2928">
        <v>0</v>
      </c>
      <c r="G2928">
        <v>10.210000000000001</v>
      </c>
      <c r="H2928">
        <v>27.424119999999998</v>
      </c>
      <c r="K2928">
        <v>100</v>
      </c>
      <c r="L2928">
        <v>100</v>
      </c>
      <c r="M2928">
        <v>79.8</v>
      </c>
      <c r="P2928">
        <v>-0.94459651600000005</v>
      </c>
      <c r="Q2928">
        <v>7720.5105720000001</v>
      </c>
      <c r="S2928">
        <v>77474</v>
      </c>
      <c r="T2928">
        <v>44.016520999999997</v>
      </c>
      <c r="U2928">
        <v>21.005859000000001</v>
      </c>
    </row>
    <row r="2929" spans="1:21">
      <c r="A2929" t="s">
        <v>162</v>
      </c>
      <c r="B2929">
        <v>2000</v>
      </c>
      <c r="C2929">
        <v>46969.09</v>
      </c>
      <c r="D2929">
        <v>290</v>
      </c>
      <c r="E2929">
        <v>0.18</v>
      </c>
      <c r="F2929">
        <v>0</v>
      </c>
      <c r="G2929">
        <v>0</v>
      </c>
      <c r="H2929">
        <v>0</v>
      </c>
      <c r="I2929">
        <v>0</v>
      </c>
      <c r="J2929">
        <v>1.52</v>
      </c>
      <c r="K2929">
        <v>214</v>
      </c>
      <c r="L2929">
        <v>94.089340000000007</v>
      </c>
      <c r="M2929">
        <v>100</v>
      </c>
      <c r="P2929">
        <v>1.5143388149999999</v>
      </c>
      <c r="Q2929">
        <v>7578.8510530000003</v>
      </c>
      <c r="R2929">
        <v>2.91</v>
      </c>
      <c r="S2929">
        <v>455</v>
      </c>
      <c r="T2929">
        <v>-4.6795739999999997</v>
      </c>
      <c r="U2929">
        <v>55.491976999999999</v>
      </c>
    </row>
    <row r="2930" spans="1:21">
      <c r="A2930" t="s">
        <v>162</v>
      </c>
      <c r="B2930">
        <v>2001</v>
      </c>
      <c r="C2930">
        <v>49775.703000000001</v>
      </c>
      <c r="D2930">
        <v>320</v>
      </c>
      <c r="E2930">
        <v>0.18</v>
      </c>
      <c r="F2930">
        <v>0</v>
      </c>
      <c r="G2930">
        <v>0</v>
      </c>
      <c r="H2930">
        <v>0</v>
      </c>
      <c r="I2930">
        <v>0</v>
      </c>
      <c r="J2930">
        <v>1.26</v>
      </c>
      <c r="K2930">
        <v>214</v>
      </c>
      <c r="L2930">
        <v>94.401764</v>
      </c>
      <c r="M2930">
        <v>100</v>
      </c>
      <c r="P2930">
        <v>-2.2711627619999999</v>
      </c>
      <c r="Q2930">
        <v>7663.1370800000004</v>
      </c>
      <c r="R2930">
        <v>3.19</v>
      </c>
      <c r="S2930">
        <v>455</v>
      </c>
      <c r="T2930">
        <v>-4.6795739999999997</v>
      </c>
      <c r="U2930">
        <v>55.491976999999999</v>
      </c>
    </row>
    <row r="2931" spans="1:21">
      <c r="A2931" t="s">
        <v>162</v>
      </c>
      <c r="B2931">
        <v>2002</v>
      </c>
      <c r="C2931">
        <v>42728.843999999997</v>
      </c>
      <c r="D2931">
        <v>349.99999400000002</v>
      </c>
      <c r="E2931">
        <v>0.2</v>
      </c>
      <c r="F2931">
        <v>0</v>
      </c>
      <c r="G2931">
        <v>0</v>
      </c>
      <c r="H2931">
        <v>0</v>
      </c>
      <c r="I2931">
        <v>0</v>
      </c>
      <c r="J2931">
        <v>1.1000000000000001</v>
      </c>
      <c r="K2931">
        <v>214</v>
      </c>
      <c r="L2931">
        <v>96.1</v>
      </c>
      <c r="M2931">
        <v>100</v>
      </c>
      <c r="P2931">
        <v>1.2128312670000001</v>
      </c>
      <c r="Q2931">
        <v>8331.2619969999996</v>
      </c>
      <c r="R2931">
        <v>3.24</v>
      </c>
      <c r="S2931">
        <v>455</v>
      </c>
      <c r="T2931">
        <v>-4.6795739999999997</v>
      </c>
      <c r="U2931">
        <v>55.491976999999999</v>
      </c>
    </row>
    <row r="2932" spans="1:21">
      <c r="A2932" t="s">
        <v>162</v>
      </c>
      <c r="B2932">
        <v>2003</v>
      </c>
      <c r="C2932">
        <v>42029.832000000002</v>
      </c>
      <c r="D2932">
        <v>340.00000360000001</v>
      </c>
      <c r="E2932">
        <v>0.21</v>
      </c>
      <c r="F2932">
        <v>0</v>
      </c>
      <c r="G2932">
        <v>0</v>
      </c>
      <c r="H2932">
        <v>0</v>
      </c>
      <c r="I2932">
        <v>0</v>
      </c>
      <c r="J2932">
        <v>1.1200000000000001</v>
      </c>
      <c r="K2932">
        <v>214</v>
      </c>
      <c r="L2932">
        <v>95.006195000000005</v>
      </c>
      <c r="M2932">
        <v>100</v>
      </c>
      <c r="P2932">
        <v>-5.8871275279999997</v>
      </c>
      <c r="Q2932">
        <v>8524.9612359999992</v>
      </c>
      <c r="R2932">
        <v>3.34</v>
      </c>
      <c r="S2932">
        <v>455</v>
      </c>
      <c r="T2932">
        <v>-4.6795739999999997</v>
      </c>
      <c r="U2932">
        <v>55.491976999999999</v>
      </c>
    </row>
    <row r="2933" spans="1:21">
      <c r="A2933" t="s">
        <v>162</v>
      </c>
      <c r="B2933">
        <v>2004</v>
      </c>
      <c r="C2933">
        <v>57886.983999999997</v>
      </c>
      <c r="D2933">
        <v>379.9999952</v>
      </c>
      <c r="E2933">
        <v>0.21</v>
      </c>
      <c r="F2933">
        <v>0</v>
      </c>
      <c r="G2933">
        <v>0</v>
      </c>
      <c r="H2933">
        <v>0</v>
      </c>
      <c r="I2933">
        <v>0</v>
      </c>
      <c r="J2933">
        <v>0.96</v>
      </c>
      <c r="K2933">
        <v>214</v>
      </c>
      <c r="L2933">
        <v>95.302909999999997</v>
      </c>
      <c r="M2933">
        <v>100</v>
      </c>
      <c r="P2933">
        <v>-2.8504536589999998</v>
      </c>
      <c r="Q2933">
        <v>10176.65871</v>
      </c>
      <c r="R2933">
        <v>3.83</v>
      </c>
      <c r="S2933">
        <v>455</v>
      </c>
      <c r="T2933">
        <v>-4.6795739999999997</v>
      </c>
      <c r="U2933">
        <v>55.491976999999999</v>
      </c>
    </row>
    <row r="2934" spans="1:21">
      <c r="A2934" t="s">
        <v>162</v>
      </c>
      <c r="B2934">
        <v>2005</v>
      </c>
      <c r="C2934">
        <v>52008.222999999998</v>
      </c>
      <c r="D2934">
        <v>379.9999952</v>
      </c>
      <c r="E2934">
        <v>0.22</v>
      </c>
      <c r="F2934">
        <v>0</v>
      </c>
      <c r="G2934">
        <v>0</v>
      </c>
      <c r="H2934">
        <v>0</v>
      </c>
      <c r="I2934">
        <v>0</v>
      </c>
      <c r="J2934">
        <v>0.94</v>
      </c>
      <c r="K2934">
        <v>214</v>
      </c>
      <c r="L2934">
        <v>95.599090000000004</v>
      </c>
      <c r="M2934">
        <v>100</v>
      </c>
      <c r="P2934">
        <v>9.0057614279999996</v>
      </c>
      <c r="Q2934">
        <v>11092.51074</v>
      </c>
      <c r="R2934">
        <v>3.51</v>
      </c>
      <c r="S2934">
        <v>455</v>
      </c>
      <c r="T2934">
        <v>-4.6795739999999997</v>
      </c>
      <c r="U2934">
        <v>55.491976999999999</v>
      </c>
    </row>
    <row r="2935" spans="1:21">
      <c r="A2935" t="s">
        <v>162</v>
      </c>
      <c r="B2935">
        <v>2006</v>
      </c>
      <c r="C2935">
        <v>54491.8</v>
      </c>
      <c r="D2935">
        <v>389.99998570000002</v>
      </c>
      <c r="E2935">
        <v>0.24</v>
      </c>
      <c r="F2935">
        <v>0</v>
      </c>
      <c r="G2935">
        <v>0</v>
      </c>
      <c r="H2935">
        <v>0</v>
      </c>
      <c r="I2935">
        <v>0</v>
      </c>
      <c r="J2935">
        <v>0.95</v>
      </c>
      <c r="K2935">
        <v>214</v>
      </c>
      <c r="L2935">
        <v>99</v>
      </c>
      <c r="M2935">
        <v>100</v>
      </c>
      <c r="P2935">
        <v>9.4061278799999997</v>
      </c>
      <c r="Q2935">
        <v>12014.399869999999</v>
      </c>
      <c r="R2935">
        <v>3.23</v>
      </c>
      <c r="S2935">
        <v>455</v>
      </c>
      <c r="T2935">
        <v>-4.6795739999999997</v>
      </c>
      <c r="U2935">
        <v>55.491976999999999</v>
      </c>
    </row>
    <row r="2936" spans="1:21">
      <c r="A2936" t="s">
        <v>162</v>
      </c>
      <c r="B2936">
        <v>2007</v>
      </c>
      <c r="C2936">
        <v>44175.785000000003</v>
      </c>
      <c r="D2936">
        <v>400.00000599999998</v>
      </c>
      <c r="E2936">
        <v>0.25</v>
      </c>
      <c r="F2936">
        <v>0</v>
      </c>
      <c r="G2936">
        <v>0</v>
      </c>
      <c r="H2936">
        <v>0</v>
      </c>
      <c r="I2936">
        <v>0</v>
      </c>
      <c r="J2936">
        <v>1.01</v>
      </c>
      <c r="K2936">
        <v>214</v>
      </c>
      <c r="L2936">
        <v>96.199714999999998</v>
      </c>
      <c r="M2936">
        <v>100</v>
      </c>
      <c r="P2936">
        <v>10.42143611</v>
      </c>
      <c r="Q2936">
        <v>12154.82994</v>
      </c>
      <c r="R2936">
        <v>3.07</v>
      </c>
      <c r="S2936">
        <v>455</v>
      </c>
      <c r="T2936">
        <v>-4.6795739999999997</v>
      </c>
      <c r="U2936">
        <v>55.491976999999999</v>
      </c>
    </row>
    <row r="2937" spans="1:21">
      <c r="A2937" t="s">
        <v>162</v>
      </c>
      <c r="B2937">
        <v>2008</v>
      </c>
      <c r="C2937">
        <v>47446.144999999997</v>
      </c>
      <c r="D2937">
        <v>419.99998690000001</v>
      </c>
      <c r="E2937">
        <v>0.25</v>
      </c>
      <c r="F2937">
        <v>0</v>
      </c>
      <c r="G2937">
        <v>0</v>
      </c>
      <c r="H2937">
        <v>0</v>
      </c>
      <c r="I2937">
        <v>0</v>
      </c>
      <c r="J2937">
        <v>0.91</v>
      </c>
      <c r="K2937">
        <v>214</v>
      </c>
      <c r="L2937">
        <v>96.509519999999995</v>
      </c>
      <c r="M2937">
        <v>100</v>
      </c>
      <c r="P2937">
        <v>-2.1468926549999998</v>
      </c>
      <c r="Q2937">
        <v>11122.862069999999</v>
      </c>
      <c r="R2937">
        <v>3.24</v>
      </c>
      <c r="S2937">
        <v>455</v>
      </c>
      <c r="T2937">
        <v>-4.6795739999999997</v>
      </c>
      <c r="U2937">
        <v>55.491976999999999</v>
      </c>
    </row>
    <row r="2938" spans="1:21">
      <c r="A2938" t="s">
        <v>162</v>
      </c>
      <c r="B2938">
        <v>2009</v>
      </c>
      <c r="C2938">
        <v>50930.008000000002</v>
      </c>
      <c r="D2938">
        <v>449.9999881</v>
      </c>
      <c r="E2938">
        <v>0.26</v>
      </c>
      <c r="F2938">
        <v>0</v>
      </c>
      <c r="G2938">
        <v>0</v>
      </c>
      <c r="H2938">
        <v>0</v>
      </c>
      <c r="I2938">
        <v>0</v>
      </c>
      <c r="J2938">
        <v>0.83</v>
      </c>
      <c r="K2938">
        <v>214</v>
      </c>
      <c r="L2938">
        <v>96.829260000000005</v>
      </c>
      <c r="M2938">
        <v>100</v>
      </c>
      <c r="P2938">
        <v>-1.1052457929999999</v>
      </c>
      <c r="Q2938">
        <v>9706.9560600000004</v>
      </c>
      <c r="R2938">
        <v>3.5</v>
      </c>
      <c r="S2938">
        <v>455</v>
      </c>
      <c r="T2938">
        <v>-4.6795739999999997</v>
      </c>
      <c r="U2938">
        <v>55.491976999999999</v>
      </c>
    </row>
    <row r="2939" spans="1:21">
      <c r="A2939" t="s">
        <v>162</v>
      </c>
      <c r="B2939">
        <v>2010</v>
      </c>
      <c r="C2939">
        <v>45371.336000000003</v>
      </c>
      <c r="D2939">
        <v>439.99999759999997</v>
      </c>
      <c r="E2939">
        <v>0.28000000000000003</v>
      </c>
      <c r="F2939">
        <v>0</v>
      </c>
      <c r="G2939">
        <v>0</v>
      </c>
      <c r="H2939">
        <v>0</v>
      </c>
      <c r="I2939">
        <v>0</v>
      </c>
      <c r="J2939">
        <v>0.71</v>
      </c>
      <c r="K2939">
        <v>214</v>
      </c>
      <c r="L2939">
        <v>97</v>
      </c>
      <c r="M2939">
        <v>100</v>
      </c>
      <c r="P2939">
        <v>5.9549624689999998</v>
      </c>
      <c r="Q2939">
        <v>10804.68447</v>
      </c>
      <c r="R2939">
        <v>3.26</v>
      </c>
      <c r="S2939">
        <v>455</v>
      </c>
      <c r="T2939">
        <v>-4.6795739999999997</v>
      </c>
      <c r="U2939">
        <v>55.491976999999999</v>
      </c>
    </row>
    <row r="2940" spans="1:21">
      <c r="A2940" t="s">
        <v>162</v>
      </c>
      <c r="B2940">
        <v>2011</v>
      </c>
      <c r="C2940">
        <v>38368.945</v>
      </c>
      <c r="D2940">
        <v>409.99999639999999</v>
      </c>
      <c r="E2940">
        <v>0.38</v>
      </c>
      <c r="F2940">
        <v>0</v>
      </c>
      <c r="G2940">
        <v>0</v>
      </c>
      <c r="H2940">
        <v>0</v>
      </c>
      <c r="I2940">
        <v>0</v>
      </c>
      <c r="J2940">
        <v>0.85</v>
      </c>
      <c r="K2940">
        <v>214</v>
      </c>
      <c r="L2940">
        <v>98.147964000000002</v>
      </c>
      <c r="M2940">
        <v>100</v>
      </c>
      <c r="O2940">
        <v>10000</v>
      </c>
      <c r="P2940">
        <v>7.887279597</v>
      </c>
      <c r="Q2940">
        <v>12189.095160000001</v>
      </c>
      <c r="R2940">
        <v>2.75</v>
      </c>
      <c r="S2940">
        <v>455</v>
      </c>
      <c r="T2940">
        <v>-4.6795739999999997</v>
      </c>
      <c r="U2940">
        <v>55.491976999999999</v>
      </c>
    </row>
    <row r="2941" spans="1:21">
      <c r="A2941" t="s">
        <v>162</v>
      </c>
      <c r="B2941">
        <v>2012</v>
      </c>
      <c r="C2941">
        <v>43465.02</v>
      </c>
      <c r="D2941">
        <v>430.00000720000003</v>
      </c>
      <c r="E2941">
        <v>0.39</v>
      </c>
      <c r="F2941">
        <v>0</v>
      </c>
      <c r="G2941">
        <v>0</v>
      </c>
      <c r="H2941">
        <v>0</v>
      </c>
      <c r="I2941">
        <v>0</v>
      </c>
      <c r="J2941">
        <v>0.78</v>
      </c>
      <c r="K2941">
        <v>214</v>
      </c>
      <c r="L2941">
        <v>98.391364999999993</v>
      </c>
      <c r="M2941">
        <v>100</v>
      </c>
      <c r="P2941">
        <v>1.260828834</v>
      </c>
      <c r="Q2941">
        <v>12006.68296</v>
      </c>
      <c r="R2941">
        <v>2.83</v>
      </c>
      <c r="S2941">
        <v>455</v>
      </c>
      <c r="T2941">
        <v>-4.6795739999999997</v>
      </c>
      <c r="U2941">
        <v>55.491976999999999</v>
      </c>
    </row>
    <row r="2942" spans="1:21">
      <c r="A2942" t="s">
        <v>162</v>
      </c>
      <c r="B2942">
        <v>2013</v>
      </c>
      <c r="C2942">
        <v>38688.061999999998</v>
      </c>
      <c r="D2942">
        <v>419.99998690000001</v>
      </c>
      <c r="E2942">
        <v>0.4</v>
      </c>
      <c r="F2942">
        <v>0</v>
      </c>
      <c r="G2942">
        <v>0.01</v>
      </c>
      <c r="H2942">
        <v>2.4390244000000001</v>
      </c>
      <c r="I2942">
        <v>67.22</v>
      </c>
      <c r="J2942">
        <v>1.48</v>
      </c>
      <c r="K2942">
        <v>214</v>
      </c>
      <c r="L2942">
        <v>98</v>
      </c>
      <c r="M2942">
        <v>100</v>
      </c>
      <c r="P2942">
        <v>6.0180768249999996</v>
      </c>
      <c r="Q2942">
        <v>14765.67398</v>
      </c>
      <c r="R2942">
        <v>2.64</v>
      </c>
      <c r="S2942">
        <v>455</v>
      </c>
      <c r="T2942">
        <v>-4.6795739999999997</v>
      </c>
      <c r="U2942">
        <v>55.491976999999999</v>
      </c>
    </row>
    <row r="2943" spans="1:21">
      <c r="A2943" t="s">
        <v>162</v>
      </c>
      <c r="B2943">
        <v>2014</v>
      </c>
      <c r="C2943">
        <v>44650.082000000002</v>
      </c>
      <c r="D2943">
        <v>469.99999880000001</v>
      </c>
      <c r="E2943">
        <v>0.41</v>
      </c>
      <c r="F2943">
        <v>0</v>
      </c>
      <c r="G2943">
        <v>0.01</v>
      </c>
      <c r="H2943">
        <v>2.3809524</v>
      </c>
      <c r="I2943">
        <v>73.86</v>
      </c>
      <c r="J2943">
        <v>1.37</v>
      </c>
      <c r="K2943">
        <v>214</v>
      </c>
      <c r="L2943">
        <v>100</v>
      </c>
      <c r="M2943">
        <v>100</v>
      </c>
      <c r="O2943">
        <v>80000</v>
      </c>
      <c r="P2943">
        <v>4.5047852439999998</v>
      </c>
      <c r="Q2943">
        <v>14700.334339999999</v>
      </c>
      <c r="R2943">
        <v>2.8</v>
      </c>
      <c r="S2943">
        <v>455</v>
      </c>
      <c r="T2943">
        <v>-4.6795739999999997</v>
      </c>
      <c r="U2943">
        <v>55.491976999999999</v>
      </c>
    </row>
    <row r="2944" spans="1:21">
      <c r="A2944" t="s">
        <v>162</v>
      </c>
      <c r="B2944">
        <v>2015</v>
      </c>
      <c r="C2944">
        <v>45695.203000000001</v>
      </c>
      <c r="D2944">
        <v>509.99999050000002</v>
      </c>
      <c r="E2944">
        <v>0.43</v>
      </c>
      <c r="F2944">
        <v>0</v>
      </c>
      <c r="G2944">
        <v>0.01</v>
      </c>
      <c r="H2944">
        <v>2.2727273000000001</v>
      </c>
      <c r="I2944">
        <v>78.06</v>
      </c>
      <c r="J2944">
        <v>1.36</v>
      </c>
      <c r="K2944">
        <v>214</v>
      </c>
      <c r="L2944">
        <v>100</v>
      </c>
      <c r="M2944">
        <v>100</v>
      </c>
      <c r="O2944">
        <v>40000</v>
      </c>
      <c r="P2944">
        <v>4.9373856189999996</v>
      </c>
      <c r="Q2944">
        <v>14745.34146</v>
      </c>
      <c r="R2944">
        <v>2.91</v>
      </c>
      <c r="S2944">
        <v>455</v>
      </c>
      <c r="T2944">
        <v>-4.6795739999999997</v>
      </c>
      <c r="U2944">
        <v>55.491976999999999</v>
      </c>
    </row>
    <row r="2945" spans="1:21">
      <c r="A2945" t="s">
        <v>162</v>
      </c>
      <c r="B2945">
        <v>2016</v>
      </c>
      <c r="C2945">
        <v>50241.48</v>
      </c>
      <c r="D2945">
        <v>579.99998330000005</v>
      </c>
      <c r="E2945">
        <v>0.46</v>
      </c>
      <c r="F2945">
        <v>0</v>
      </c>
      <c r="G2945">
        <v>0.01</v>
      </c>
      <c r="H2945">
        <v>2.1276595999999999</v>
      </c>
      <c r="I2945">
        <v>83.02</v>
      </c>
      <c r="J2945">
        <v>1.22</v>
      </c>
      <c r="K2945">
        <v>214</v>
      </c>
      <c r="L2945">
        <v>100</v>
      </c>
      <c r="M2945">
        <v>100</v>
      </c>
      <c r="O2945">
        <v>670000</v>
      </c>
      <c r="P2945">
        <v>4.5626232780000002</v>
      </c>
      <c r="Q2945">
        <v>15068.620349999999</v>
      </c>
      <c r="R2945">
        <v>3.08</v>
      </c>
      <c r="S2945">
        <v>455</v>
      </c>
      <c r="T2945">
        <v>-4.6795739999999997</v>
      </c>
      <c r="U2945">
        <v>55.491976999999999</v>
      </c>
    </row>
    <row r="2946" spans="1:21">
      <c r="A2946" t="s">
        <v>162</v>
      </c>
      <c r="B2946">
        <v>2017</v>
      </c>
      <c r="C2946">
        <v>51720.438000000002</v>
      </c>
      <c r="D2946">
        <v>579.99998330000005</v>
      </c>
      <c r="E2946">
        <v>0.47</v>
      </c>
      <c r="F2946">
        <v>0</v>
      </c>
      <c r="G2946">
        <v>0.01</v>
      </c>
      <c r="H2946">
        <v>2.0833335000000002</v>
      </c>
      <c r="I2946">
        <v>89.65</v>
      </c>
      <c r="J2946">
        <v>1.25</v>
      </c>
      <c r="K2946">
        <v>214</v>
      </c>
      <c r="L2946">
        <v>100</v>
      </c>
      <c r="M2946">
        <v>100</v>
      </c>
      <c r="O2946">
        <v>950000</v>
      </c>
      <c r="P2946">
        <v>4.7383608859999997</v>
      </c>
      <c r="Q2946">
        <v>15945.264929999999</v>
      </c>
      <c r="R2946">
        <v>3.06</v>
      </c>
      <c r="S2946">
        <v>455</v>
      </c>
      <c r="T2946">
        <v>-4.6795739999999997</v>
      </c>
      <c r="U2946">
        <v>55.491976999999999</v>
      </c>
    </row>
    <row r="2947" spans="1:21">
      <c r="A2947" t="s">
        <v>162</v>
      </c>
      <c r="B2947">
        <v>2018</v>
      </c>
      <c r="C2947">
        <v>45307.637000000002</v>
      </c>
      <c r="D2947">
        <v>579.99998330000005</v>
      </c>
      <c r="E2947">
        <v>0.48</v>
      </c>
      <c r="F2947">
        <v>0</v>
      </c>
      <c r="G2947">
        <v>0.01</v>
      </c>
      <c r="H2947">
        <v>2.0408162999999999</v>
      </c>
      <c r="I2947">
        <v>99.88</v>
      </c>
      <c r="J2947">
        <v>1.24</v>
      </c>
      <c r="K2947">
        <v>214</v>
      </c>
      <c r="L2947">
        <v>100</v>
      </c>
      <c r="M2947">
        <v>100</v>
      </c>
      <c r="P2947">
        <v>1.771183467</v>
      </c>
      <c r="Q2947">
        <v>15994.81986</v>
      </c>
      <c r="R2947">
        <v>3.16</v>
      </c>
      <c r="S2947">
        <v>455</v>
      </c>
      <c r="T2947">
        <v>-4.6795739999999997</v>
      </c>
      <c r="U2947">
        <v>55.491976999999999</v>
      </c>
    </row>
    <row r="2948" spans="1:21">
      <c r="A2948" t="s">
        <v>162</v>
      </c>
      <c r="B2948">
        <v>2019</v>
      </c>
      <c r="C2948">
        <v>45777.125</v>
      </c>
      <c r="D2948">
        <v>610.00001429999998</v>
      </c>
      <c r="E2948">
        <v>0.49</v>
      </c>
      <c r="F2948">
        <v>0</v>
      </c>
      <c r="G2948">
        <v>0.04</v>
      </c>
      <c r="H2948">
        <v>7.5471700000000004</v>
      </c>
      <c r="I2948">
        <v>99.22</v>
      </c>
      <c r="J2948">
        <v>1.47</v>
      </c>
      <c r="K2948">
        <v>214</v>
      </c>
      <c r="L2948">
        <v>100</v>
      </c>
      <c r="M2948">
        <v>100</v>
      </c>
      <c r="P2948">
        <v>1.1910057380000001</v>
      </c>
      <c r="Q2948">
        <v>16213.48076</v>
      </c>
      <c r="R2948">
        <v>3.08</v>
      </c>
      <c r="S2948">
        <v>455</v>
      </c>
      <c r="T2948">
        <v>-4.6795739999999997</v>
      </c>
      <c r="U2948">
        <v>55.491976999999999</v>
      </c>
    </row>
    <row r="2949" spans="1:21">
      <c r="A2949" t="s">
        <v>162</v>
      </c>
      <c r="B2949">
        <v>2020</v>
      </c>
      <c r="C2949">
        <v>43703.28</v>
      </c>
      <c r="E2949">
        <v>0.53</v>
      </c>
      <c r="F2949">
        <v>0</v>
      </c>
      <c r="G2949">
        <v>7.0000000000000007E-2</v>
      </c>
      <c r="H2949">
        <v>11.666665999999999</v>
      </c>
      <c r="I2949">
        <v>99.53</v>
      </c>
      <c r="K2949">
        <v>214</v>
      </c>
      <c r="L2949">
        <v>100</v>
      </c>
      <c r="M2949">
        <v>100</v>
      </c>
      <c r="P2949">
        <v>-10.77092148</v>
      </c>
      <c r="Q2949">
        <v>10764.42042</v>
      </c>
      <c r="S2949">
        <v>455</v>
      </c>
      <c r="T2949">
        <v>-4.6795739999999997</v>
      </c>
      <c r="U2949">
        <v>55.491976999999999</v>
      </c>
    </row>
    <row r="2950" spans="1:21">
      <c r="A2950" t="s">
        <v>163</v>
      </c>
      <c r="B2950">
        <v>2000</v>
      </c>
      <c r="C2950">
        <v>409.26733000000002</v>
      </c>
      <c r="D2950">
        <v>330</v>
      </c>
      <c r="E2950">
        <v>7.0000000000000007E-2</v>
      </c>
      <c r="F2950">
        <v>0</v>
      </c>
      <c r="G2950">
        <v>0.01</v>
      </c>
      <c r="H2950">
        <v>12.5</v>
      </c>
      <c r="I2950">
        <v>0.87</v>
      </c>
      <c r="J2950">
        <v>91.31</v>
      </c>
      <c r="K2950">
        <v>111</v>
      </c>
      <c r="L2950">
        <v>7.7881426999999999</v>
      </c>
      <c r="M2950">
        <v>0.1</v>
      </c>
      <c r="P2950">
        <v>6.652727885</v>
      </c>
      <c r="Q2950">
        <v>138.6987225</v>
      </c>
      <c r="R2950">
        <v>11.05</v>
      </c>
      <c r="S2950">
        <v>71740</v>
      </c>
      <c r="T2950">
        <v>8.4605549999999994</v>
      </c>
      <c r="U2950">
        <v>-11.779889000000001</v>
      </c>
    </row>
    <row r="2951" spans="1:21">
      <c r="A2951" t="s">
        <v>163</v>
      </c>
      <c r="B2951">
        <v>2001</v>
      </c>
      <c r="C2951">
        <v>484.69529999999997</v>
      </c>
      <c r="D2951">
        <v>440</v>
      </c>
      <c r="E2951">
        <v>0.12</v>
      </c>
      <c r="F2951">
        <v>0</v>
      </c>
      <c r="G2951">
        <v>0.01</v>
      </c>
      <c r="H2951">
        <v>7.6923079999999997</v>
      </c>
      <c r="I2951">
        <v>0.84</v>
      </c>
      <c r="J2951">
        <v>89.38</v>
      </c>
      <c r="K2951">
        <v>111</v>
      </c>
      <c r="L2951">
        <v>8.5507709999999992</v>
      </c>
      <c r="M2951">
        <v>0.2</v>
      </c>
      <c r="P2951">
        <v>-6.3454551529999996</v>
      </c>
      <c r="Q2951">
        <v>229.37565950000001</v>
      </c>
      <c r="R2951">
        <v>12.14</v>
      </c>
      <c r="S2951">
        <v>71740</v>
      </c>
      <c r="T2951">
        <v>8.4605549999999994</v>
      </c>
      <c r="U2951">
        <v>-11.779889000000001</v>
      </c>
    </row>
    <row r="2952" spans="1:21">
      <c r="A2952" t="s">
        <v>163</v>
      </c>
      <c r="B2952">
        <v>2002</v>
      </c>
      <c r="C2952">
        <v>460.83</v>
      </c>
      <c r="D2952">
        <v>500</v>
      </c>
      <c r="E2952">
        <v>0.13</v>
      </c>
      <c r="F2952">
        <v>0</v>
      </c>
      <c r="G2952">
        <v>0.02</v>
      </c>
      <c r="H2952">
        <v>13.333333</v>
      </c>
      <c r="I2952">
        <v>0.81</v>
      </c>
      <c r="J2952">
        <v>87.99</v>
      </c>
      <c r="K2952">
        <v>111</v>
      </c>
      <c r="L2952">
        <v>9.3058150000000008</v>
      </c>
      <c r="M2952">
        <v>0.2</v>
      </c>
      <c r="P2952">
        <v>26.417316599999999</v>
      </c>
      <c r="Q2952">
        <v>252.396007</v>
      </c>
      <c r="R2952">
        <v>9.77</v>
      </c>
      <c r="S2952">
        <v>71740</v>
      </c>
      <c r="T2952">
        <v>8.4605549999999994</v>
      </c>
      <c r="U2952">
        <v>-11.779889000000001</v>
      </c>
    </row>
    <row r="2953" spans="1:21">
      <c r="A2953" t="s">
        <v>163</v>
      </c>
      <c r="B2953">
        <v>2003</v>
      </c>
      <c r="C2953">
        <v>454.77032000000003</v>
      </c>
      <c r="D2953">
        <v>550.0000119</v>
      </c>
      <c r="E2953">
        <v>0.12</v>
      </c>
      <c r="F2953">
        <v>0</v>
      </c>
      <c r="G2953">
        <v>0.02</v>
      </c>
      <c r="H2953">
        <v>14.285714</v>
      </c>
      <c r="I2953">
        <v>0.77</v>
      </c>
      <c r="J2953">
        <v>86.53</v>
      </c>
      <c r="K2953">
        <v>111</v>
      </c>
      <c r="L2953">
        <v>10.055623000000001</v>
      </c>
      <c r="M2953">
        <v>0.2</v>
      </c>
      <c r="P2953">
        <v>9.3131209689999999</v>
      </c>
      <c r="Q2953">
        <v>266.44690539999999</v>
      </c>
      <c r="R2953">
        <v>9.06</v>
      </c>
      <c r="S2953">
        <v>71740</v>
      </c>
      <c r="T2953">
        <v>8.4605549999999994</v>
      </c>
      <c r="U2953">
        <v>-11.779889000000001</v>
      </c>
    </row>
    <row r="2954" spans="1:21">
      <c r="A2954" t="s">
        <v>163</v>
      </c>
      <c r="B2954">
        <v>2004</v>
      </c>
      <c r="C2954">
        <v>438.83154000000002</v>
      </c>
      <c r="D2954">
        <v>529.99997140000005</v>
      </c>
      <c r="E2954">
        <v>0.1</v>
      </c>
      <c r="F2954">
        <v>0</v>
      </c>
      <c r="G2954">
        <v>0.02</v>
      </c>
      <c r="H2954">
        <v>16.666668000000001</v>
      </c>
      <c r="I2954">
        <v>0.74</v>
      </c>
      <c r="J2954">
        <v>86.58</v>
      </c>
      <c r="K2954">
        <v>111</v>
      </c>
      <c r="L2954">
        <v>16.8</v>
      </c>
      <c r="M2954">
        <v>0.3</v>
      </c>
      <c r="O2954">
        <v>24790000</v>
      </c>
      <c r="P2954">
        <v>6.5979448600000001</v>
      </c>
      <c r="Q2954">
        <v>266.5693713</v>
      </c>
      <c r="R2954">
        <v>8.49</v>
      </c>
      <c r="S2954">
        <v>71740</v>
      </c>
      <c r="T2954">
        <v>8.4605549999999994</v>
      </c>
      <c r="U2954">
        <v>-11.779889000000001</v>
      </c>
    </row>
    <row r="2955" spans="1:21">
      <c r="A2955" t="s">
        <v>163</v>
      </c>
      <c r="B2955">
        <v>2005</v>
      </c>
      <c r="C2955">
        <v>386.95202999999998</v>
      </c>
      <c r="D2955">
        <v>449.9999881</v>
      </c>
      <c r="E2955">
        <v>0.06</v>
      </c>
      <c r="F2955">
        <v>0</v>
      </c>
      <c r="G2955">
        <v>0.02</v>
      </c>
      <c r="H2955">
        <v>25</v>
      </c>
      <c r="I2955">
        <v>0.71</v>
      </c>
      <c r="J2955">
        <v>88.13</v>
      </c>
      <c r="K2955">
        <v>111</v>
      </c>
      <c r="L2955">
        <v>11.332485</v>
      </c>
      <c r="M2955">
        <v>0.3</v>
      </c>
      <c r="O2955">
        <v>56410000</v>
      </c>
      <c r="P2955">
        <v>4.5050956720000004</v>
      </c>
      <c r="Q2955">
        <v>292.3490663</v>
      </c>
      <c r="R2955">
        <v>7.97</v>
      </c>
      <c r="S2955">
        <v>71740</v>
      </c>
      <c r="T2955">
        <v>8.4605549999999994</v>
      </c>
      <c r="U2955">
        <v>-11.779889000000001</v>
      </c>
    </row>
    <row r="2956" spans="1:21">
      <c r="A2956" t="s">
        <v>163</v>
      </c>
      <c r="B2956">
        <v>2006</v>
      </c>
      <c r="C2956">
        <v>457.99765000000002</v>
      </c>
      <c r="D2956">
        <v>589.99997380000002</v>
      </c>
      <c r="E2956">
        <v>0.04</v>
      </c>
      <c r="F2956">
        <v>0</v>
      </c>
      <c r="G2956">
        <v>0</v>
      </c>
      <c r="H2956">
        <v>0</v>
      </c>
      <c r="I2956">
        <v>0.69</v>
      </c>
      <c r="J2956">
        <v>84.37</v>
      </c>
      <c r="K2956">
        <v>111</v>
      </c>
      <c r="L2956">
        <v>12.297188</v>
      </c>
      <c r="M2956">
        <v>0.3</v>
      </c>
      <c r="O2956">
        <v>10000</v>
      </c>
      <c r="P2956">
        <v>4.2239142789999997</v>
      </c>
      <c r="Q2956">
        <v>323.3890184</v>
      </c>
      <c r="R2956">
        <v>7.97</v>
      </c>
      <c r="S2956">
        <v>71740</v>
      </c>
      <c r="T2956">
        <v>8.4605549999999994</v>
      </c>
      <c r="U2956">
        <v>-11.779889000000001</v>
      </c>
    </row>
    <row r="2957" spans="1:21">
      <c r="A2957" t="s">
        <v>163</v>
      </c>
      <c r="B2957">
        <v>2007</v>
      </c>
      <c r="C2957">
        <v>423.13287000000003</v>
      </c>
      <c r="D2957">
        <v>500</v>
      </c>
      <c r="E2957">
        <v>0.04</v>
      </c>
      <c r="F2957">
        <v>0</v>
      </c>
      <c r="G2957">
        <v>0.02</v>
      </c>
      <c r="H2957">
        <v>33.333336000000003</v>
      </c>
      <c r="I2957">
        <v>0.67</v>
      </c>
      <c r="J2957">
        <v>86.35</v>
      </c>
      <c r="K2957">
        <v>111</v>
      </c>
      <c r="L2957">
        <v>13.049968</v>
      </c>
      <c r="M2957">
        <v>0.3</v>
      </c>
      <c r="O2957">
        <v>15540000</v>
      </c>
      <c r="P2957">
        <v>8.0581451519999998</v>
      </c>
      <c r="Q2957">
        <v>360.37166050000002</v>
      </c>
      <c r="R2957">
        <v>7.29</v>
      </c>
      <c r="S2957">
        <v>71740</v>
      </c>
      <c r="T2957">
        <v>8.4605549999999994</v>
      </c>
      <c r="U2957">
        <v>-11.779889000000001</v>
      </c>
    </row>
    <row r="2958" spans="1:21">
      <c r="A2958" t="s">
        <v>163</v>
      </c>
      <c r="B2958">
        <v>2008</v>
      </c>
      <c r="C2958">
        <v>405.93869999999998</v>
      </c>
      <c r="D2958">
        <v>519.99998089999997</v>
      </c>
      <c r="E2958">
        <v>0.04</v>
      </c>
      <c r="F2958">
        <v>0</v>
      </c>
      <c r="G2958">
        <v>0.02</v>
      </c>
      <c r="H2958">
        <v>33.333336000000003</v>
      </c>
      <c r="I2958">
        <v>4.74</v>
      </c>
      <c r="J2958">
        <v>86.03</v>
      </c>
      <c r="K2958">
        <v>111</v>
      </c>
      <c r="L2958">
        <v>12.1</v>
      </c>
      <c r="M2958">
        <v>0.4</v>
      </c>
      <c r="O2958">
        <v>15600000</v>
      </c>
      <c r="P2958">
        <v>5.3982852100000001</v>
      </c>
      <c r="Q2958">
        <v>408.48100849999997</v>
      </c>
      <c r="R2958">
        <v>6.95</v>
      </c>
      <c r="S2958">
        <v>71740</v>
      </c>
      <c r="T2958">
        <v>8.4605549999999994</v>
      </c>
      <c r="U2958">
        <v>-11.779889000000001</v>
      </c>
    </row>
    <row r="2959" spans="1:21">
      <c r="A2959" t="s">
        <v>163</v>
      </c>
      <c r="B2959">
        <v>2009</v>
      </c>
      <c r="C2959">
        <v>396.56880000000001</v>
      </c>
      <c r="D2959">
        <v>519.99998089999997</v>
      </c>
      <c r="E2959">
        <v>0.04</v>
      </c>
      <c r="F2959">
        <v>0</v>
      </c>
      <c r="G2959">
        <v>0.02</v>
      </c>
      <c r="H2959">
        <v>33.333336000000003</v>
      </c>
      <c r="I2959">
        <v>4.63</v>
      </c>
      <c r="J2959">
        <v>86.14</v>
      </c>
      <c r="K2959">
        <v>111</v>
      </c>
      <c r="L2959">
        <v>14.579927</v>
      </c>
      <c r="M2959">
        <v>0.4</v>
      </c>
      <c r="O2959">
        <v>50000</v>
      </c>
      <c r="P2959">
        <v>3.1880512159999999</v>
      </c>
      <c r="Q2959">
        <v>391.200943</v>
      </c>
      <c r="R2959">
        <v>6.77</v>
      </c>
      <c r="S2959">
        <v>71740</v>
      </c>
      <c r="T2959">
        <v>8.4605549999999994</v>
      </c>
      <c r="U2959">
        <v>-11.779889000000001</v>
      </c>
    </row>
    <row r="2960" spans="1:21">
      <c r="A2960" t="s">
        <v>163</v>
      </c>
      <c r="B2960">
        <v>2010</v>
      </c>
      <c r="C2960">
        <v>458.27346999999997</v>
      </c>
      <c r="D2960">
        <v>560.00000239999997</v>
      </c>
      <c r="E2960">
        <v>0.04</v>
      </c>
      <c r="F2960">
        <v>0</v>
      </c>
      <c r="G2960">
        <v>0.12</v>
      </c>
      <c r="H2960">
        <v>75</v>
      </c>
      <c r="I2960">
        <v>8.43</v>
      </c>
      <c r="J2960">
        <v>84.89</v>
      </c>
      <c r="K2960">
        <v>111</v>
      </c>
      <c r="L2960">
        <v>11.462173</v>
      </c>
      <c r="M2960">
        <v>0.4</v>
      </c>
      <c r="O2960">
        <v>9310000</v>
      </c>
      <c r="P2960">
        <v>5.3464660520000002</v>
      </c>
      <c r="Q2960">
        <v>401.83487609999997</v>
      </c>
      <c r="R2960">
        <v>6.55</v>
      </c>
      <c r="S2960">
        <v>71740</v>
      </c>
      <c r="T2960">
        <v>8.4605549999999994</v>
      </c>
      <c r="U2960">
        <v>-11.779889000000001</v>
      </c>
    </row>
    <row r="2961" spans="1:21">
      <c r="A2961" t="s">
        <v>163</v>
      </c>
      <c r="B2961">
        <v>2011</v>
      </c>
      <c r="C2961">
        <v>564.6626</v>
      </c>
      <c r="D2961">
        <v>740.00000950000003</v>
      </c>
      <c r="E2961">
        <v>0.02</v>
      </c>
      <c r="F2961">
        <v>0</v>
      </c>
      <c r="G2961">
        <v>0.15</v>
      </c>
      <c r="H2961">
        <v>88.235299999999995</v>
      </c>
      <c r="I2961">
        <v>8.25</v>
      </c>
      <c r="J2961">
        <v>81</v>
      </c>
      <c r="K2961">
        <v>111</v>
      </c>
      <c r="L2961">
        <v>14.2</v>
      </c>
      <c r="M2961">
        <v>0.4</v>
      </c>
      <c r="P2961">
        <v>6.3150450359999999</v>
      </c>
      <c r="Q2961">
        <v>448.33766209999999</v>
      </c>
      <c r="R2961">
        <v>6.46</v>
      </c>
      <c r="S2961">
        <v>71740</v>
      </c>
      <c r="T2961">
        <v>8.4605549999999994</v>
      </c>
      <c r="U2961">
        <v>-11.779889000000001</v>
      </c>
    </row>
    <row r="2962" spans="1:21">
      <c r="A2962" t="s">
        <v>163</v>
      </c>
      <c r="B2962">
        <v>2012</v>
      </c>
      <c r="C2962">
        <v>610.72439999999995</v>
      </c>
      <c r="D2962">
        <v>860.00001429999998</v>
      </c>
      <c r="E2962">
        <v>0.06</v>
      </c>
      <c r="F2962">
        <v>0</v>
      </c>
      <c r="G2962">
        <v>0.12</v>
      </c>
      <c r="H2962">
        <v>66.666663999999997</v>
      </c>
      <c r="I2962">
        <v>8.1199999999999992</v>
      </c>
      <c r="J2962">
        <v>79.06</v>
      </c>
      <c r="K2962">
        <v>111</v>
      </c>
      <c r="L2962">
        <v>16.976510999999999</v>
      </c>
      <c r="M2962">
        <v>0.4</v>
      </c>
      <c r="P2962">
        <v>15.18176908</v>
      </c>
      <c r="Q2962">
        <v>566.37823509999998</v>
      </c>
      <c r="R2962">
        <v>5.78</v>
      </c>
      <c r="S2962">
        <v>71740</v>
      </c>
      <c r="T2962">
        <v>8.4605549999999994</v>
      </c>
      <c r="U2962">
        <v>-11.779889000000001</v>
      </c>
    </row>
    <row r="2963" spans="1:21">
      <c r="A2963" t="s">
        <v>163</v>
      </c>
      <c r="B2963">
        <v>2013</v>
      </c>
      <c r="C2963">
        <v>692.69556</v>
      </c>
      <c r="D2963">
        <v>1039.9999620000001</v>
      </c>
      <c r="E2963">
        <v>0.05</v>
      </c>
      <c r="F2963">
        <v>0</v>
      </c>
      <c r="G2963">
        <v>0.1</v>
      </c>
      <c r="H2963">
        <v>66.666663999999997</v>
      </c>
      <c r="I2963">
        <v>7.96</v>
      </c>
      <c r="J2963">
        <v>75.67</v>
      </c>
      <c r="K2963">
        <v>111</v>
      </c>
      <c r="L2963">
        <v>13.5</v>
      </c>
      <c r="M2963">
        <v>0.5</v>
      </c>
      <c r="P2963">
        <v>20.71576829</v>
      </c>
      <c r="Q2963">
        <v>716.83582690000003</v>
      </c>
      <c r="R2963">
        <v>5</v>
      </c>
      <c r="S2963">
        <v>71740</v>
      </c>
      <c r="T2963">
        <v>8.4605549999999994</v>
      </c>
      <c r="U2963">
        <v>-11.779889000000001</v>
      </c>
    </row>
    <row r="2964" spans="1:21">
      <c r="A2964" t="s">
        <v>163</v>
      </c>
      <c r="B2964">
        <v>2014</v>
      </c>
      <c r="C2964">
        <v>743</v>
      </c>
      <c r="D2964">
        <v>1149.9999760000001</v>
      </c>
      <c r="E2964">
        <v>0.04</v>
      </c>
      <c r="F2964">
        <v>0</v>
      </c>
      <c r="G2964">
        <v>0.15</v>
      </c>
      <c r="H2964">
        <v>78.947370000000006</v>
      </c>
      <c r="I2964">
        <v>12.89</v>
      </c>
      <c r="J2964">
        <v>73.88</v>
      </c>
      <c r="K2964">
        <v>111</v>
      </c>
      <c r="L2964">
        <v>18.666029999999999</v>
      </c>
      <c r="M2964">
        <v>0.5</v>
      </c>
      <c r="O2964">
        <v>8400000</v>
      </c>
      <c r="P2964">
        <v>4.5567723659999997</v>
      </c>
      <c r="Q2964">
        <v>714.69979569999998</v>
      </c>
      <c r="R2964">
        <v>4.92</v>
      </c>
      <c r="S2964">
        <v>71740</v>
      </c>
      <c r="T2964">
        <v>8.4605549999999994</v>
      </c>
      <c r="U2964">
        <v>-11.779889000000001</v>
      </c>
    </row>
    <row r="2965" spans="1:21">
      <c r="A2965" t="s">
        <v>163</v>
      </c>
      <c r="B2965">
        <v>2015</v>
      </c>
      <c r="C2965">
        <v>592.62819999999999</v>
      </c>
      <c r="D2965">
        <v>910.00002619999998</v>
      </c>
      <c r="E2965">
        <v>0.05</v>
      </c>
      <c r="F2965">
        <v>0</v>
      </c>
      <c r="G2965">
        <v>0.14000000000000001</v>
      </c>
      <c r="H2965">
        <v>73.684209999999993</v>
      </c>
      <c r="I2965">
        <v>12.61</v>
      </c>
      <c r="J2965">
        <v>75</v>
      </c>
      <c r="K2965">
        <v>111</v>
      </c>
      <c r="L2965">
        <v>19.534535999999999</v>
      </c>
      <c r="M2965">
        <v>0.5</v>
      </c>
      <c r="P2965">
        <v>-20.598770720000001</v>
      </c>
      <c r="Q2965">
        <v>588.2288628</v>
      </c>
      <c r="R2965">
        <v>6.18</v>
      </c>
      <c r="S2965">
        <v>71740</v>
      </c>
      <c r="T2965">
        <v>8.4605549999999994</v>
      </c>
      <c r="U2965">
        <v>-11.779889000000001</v>
      </c>
    </row>
    <row r="2966" spans="1:21">
      <c r="A2966" t="s">
        <v>163</v>
      </c>
      <c r="B2966">
        <v>2016</v>
      </c>
      <c r="C2966">
        <v>591.51733000000002</v>
      </c>
      <c r="D2966">
        <v>930.00000720000003</v>
      </c>
      <c r="E2966">
        <v>0.06</v>
      </c>
      <c r="F2966">
        <v>0</v>
      </c>
      <c r="G2966">
        <v>0.16</v>
      </c>
      <c r="H2966">
        <v>72.727270000000004</v>
      </c>
      <c r="I2966">
        <v>12.35</v>
      </c>
      <c r="J2966">
        <v>73.599999999999994</v>
      </c>
      <c r="K2966">
        <v>111</v>
      </c>
      <c r="L2966">
        <v>20.3</v>
      </c>
      <c r="M2966">
        <v>0.5</v>
      </c>
      <c r="O2966">
        <v>29280000</v>
      </c>
      <c r="P2966">
        <v>6.055474029</v>
      </c>
      <c r="Q2966">
        <v>501.4151655</v>
      </c>
      <c r="R2966">
        <v>6</v>
      </c>
      <c r="S2966">
        <v>71740</v>
      </c>
      <c r="T2966">
        <v>8.4605549999999994</v>
      </c>
      <c r="U2966">
        <v>-11.779889000000001</v>
      </c>
    </row>
    <row r="2967" spans="1:21">
      <c r="A2967" t="s">
        <v>163</v>
      </c>
      <c r="B2967">
        <v>2017</v>
      </c>
      <c r="C2967">
        <v>573.70354999999995</v>
      </c>
      <c r="D2967">
        <v>939.99999760000003</v>
      </c>
      <c r="E2967">
        <v>0.06</v>
      </c>
      <c r="F2967">
        <v>0</v>
      </c>
      <c r="G2967">
        <v>0.17</v>
      </c>
      <c r="H2967">
        <v>73.913039999999995</v>
      </c>
      <c r="I2967">
        <v>13.16</v>
      </c>
      <c r="J2967">
        <v>74.61</v>
      </c>
      <c r="K2967">
        <v>111</v>
      </c>
      <c r="L2967">
        <v>23.4</v>
      </c>
      <c r="M2967">
        <v>0.6</v>
      </c>
      <c r="O2967">
        <v>380000</v>
      </c>
      <c r="P2967">
        <v>4.1926100740000001</v>
      </c>
      <c r="Q2967">
        <v>496.68229489999999</v>
      </c>
      <c r="R2967">
        <v>5.68</v>
      </c>
      <c r="S2967">
        <v>71740</v>
      </c>
      <c r="T2967">
        <v>8.4605549999999994</v>
      </c>
      <c r="U2967">
        <v>-11.779889000000001</v>
      </c>
    </row>
    <row r="2968" spans="1:21">
      <c r="A2968" t="s">
        <v>163</v>
      </c>
      <c r="B2968">
        <v>2018</v>
      </c>
      <c r="C2968">
        <v>568.16583000000003</v>
      </c>
      <c r="D2968">
        <v>860.00001429999998</v>
      </c>
      <c r="E2968">
        <v>0.06</v>
      </c>
      <c r="F2968">
        <v>0</v>
      </c>
      <c r="G2968">
        <v>0.2</v>
      </c>
      <c r="H2968">
        <v>76.923079999999999</v>
      </c>
      <c r="I2968">
        <v>12.95</v>
      </c>
      <c r="J2968">
        <v>75.95</v>
      </c>
      <c r="K2968">
        <v>111</v>
      </c>
      <c r="L2968">
        <v>26.1</v>
      </c>
      <c r="M2968">
        <v>0.65</v>
      </c>
      <c r="O2968">
        <v>240000</v>
      </c>
      <c r="P2968">
        <v>3.4646021400000002</v>
      </c>
      <c r="Q2968">
        <v>533.99153330000001</v>
      </c>
      <c r="R2968">
        <v>5.51</v>
      </c>
      <c r="S2968">
        <v>71740</v>
      </c>
      <c r="T2968">
        <v>8.4605549999999994</v>
      </c>
      <c r="U2968">
        <v>-11.779889000000001</v>
      </c>
    </row>
    <row r="2969" spans="1:21">
      <c r="A2969" t="s">
        <v>163</v>
      </c>
      <c r="B2969">
        <v>2019</v>
      </c>
      <c r="C2969">
        <v>513.00440000000003</v>
      </c>
      <c r="D2969">
        <v>899.99997619999999</v>
      </c>
      <c r="E2969">
        <v>0.02</v>
      </c>
      <c r="F2969">
        <v>0</v>
      </c>
      <c r="G2969">
        <v>0.19</v>
      </c>
      <c r="H2969">
        <v>90.476200000000006</v>
      </c>
      <c r="I2969">
        <v>12.68</v>
      </c>
      <c r="J2969">
        <v>75.44</v>
      </c>
      <c r="K2969">
        <v>111</v>
      </c>
      <c r="L2969">
        <v>22.7</v>
      </c>
      <c r="M2969">
        <v>0.7</v>
      </c>
      <c r="O2969">
        <v>170000</v>
      </c>
      <c r="P2969">
        <v>5.2542412030000003</v>
      </c>
      <c r="Q2969">
        <v>521.75483670000006</v>
      </c>
      <c r="R2969">
        <v>5.4</v>
      </c>
      <c r="S2969">
        <v>71740</v>
      </c>
      <c r="T2969">
        <v>8.4605549999999994</v>
      </c>
      <c r="U2969">
        <v>-11.779889000000001</v>
      </c>
    </row>
    <row r="2970" spans="1:21">
      <c r="A2970" t="s">
        <v>163</v>
      </c>
      <c r="B2970">
        <v>2020</v>
      </c>
      <c r="C2970">
        <v>480.52710000000002</v>
      </c>
      <c r="E2970">
        <v>0.02</v>
      </c>
      <c r="F2970">
        <v>0</v>
      </c>
      <c r="G2970">
        <v>0.19</v>
      </c>
      <c r="H2970">
        <v>90.476200000000006</v>
      </c>
      <c r="I2970">
        <v>12.42</v>
      </c>
      <c r="K2970">
        <v>111</v>
      </c>
      <c r="L2970">
        <v>26.200886000000001</v>
      </c>
      <c r="M2970">
        <v>0.8</v>
      </c>
      <c r="P2970">
        <v>-1.9689478199999999</v>
      </c>
      <c r="Q2970">
        <v>509.37659400000001</v>
      </c>
      <c r="S2970">
        <v>71740</v>
      </c>
      <c r="T2970">
        <v>8.4605549999999994</v>
      </c>
      <c r="U2970">
        <v>-11.779889000000001</v>
      </c>
    </row>
    <row r="2971" spans="1:21">
      <c r="A2971" t="s">
        <v>164</v>
      </c>
      <c r="B2971">
        <v>2000</v>
      </c>
      <c r="C2971">
        <v>109289.08</v>
      </c>
      <c r="D2971">
        <v>42120</v>
      </c>
      <c r="E2971">
        <v>29</v>
      </c>
      <c r="F2971">
        <v>0</v>
      </c>
      <c r="G2971">
        <v>0</v>
      </c>
      <c r="H2971">
        <v>0</v>
      </c>
      <c r="I2971">
        <v>37.950000000000003</v>
      </c>
      <c r="J2971">
        <v>0.33</v>
      </c>
      <c r="K2971">
        <v>8358</v>
      </c>
      <c r="L2971">
        <v>100</v>
      </c>
      <c r="M2971">
        <v>100</v>
      </c>
      <c r="N2971">
        <v>0.17653827</v>
      </c>
      <c r="P2971">
        <v>9.0391467510000005</v>
      </c>
      <c r="Q2971">
        <v>23852.32703</v>
      </c>
      <c r="R2971">
        <v>3.46</v>
      </c>
      <c r="S2971">
        <v>716</v>
      </c>
      <c r="T2971">
        <v>1.3520829999999999</v>
      </c>
      <c r="U2971">
        <v>103.819836</v>
      </c>
    </row>
    <row r="2972" spans="1:21">
      <c r="A2972" t="s">
        <v>164</v>
      </c>
      <c r="B2972">
        <v>2001</v>
      </c>
      <c r="C2972">
        <v>121494.55499999999</v>
      </c>
      <c r="D2972">
        <v>42030</v>
      </c>
      <c r="E2972">
        <v>32.049999999999997</v>
      </c>
      <c r="F2972">
        <v>0</v>
      </c>
      <c r="G2972">
        <v>0</v>
      </c>
      <c r="H2972">
        <v>0</v>
      </c>
      <c r="I2972">
        <v>37.5</v>
      </c>
      <c r="J2972">
        <v>0.6</v>
      </c>
      <c r="K2972">
        <v>8358</v>
      </c>
      <c r="L2972">
        <v>100</v>
      </c>
      <c r="M2972">
        <v>100</v>
      </c>
      <c r="N2972">
        <v>0.30012923000000002</v>
      </c>
      <c r="P2972">
        <v>-1.069015885</v>
      </c>
      <c r="Q2972">
        <v>21700.020049999999</v>
      </c>
      <c r="R2972">
        <v>3.99</v>
      </c>
      <c r="S2972">
        <v>716</v>
      </c>
      <c r="T2972">
        <v>1.3520829999999999</v>
      </c>
      <c r="U2972">
        <v>103.819836</v>
      </c>
    </row>
    <row r="2973" spans="1:21">
      <c r="A2973" t="s">
        <v>164</v>
      </c>
      <c r="B2973">
        <v>2002</v>
      </c>
      <c r="C2973">
        <v>115456.87</v>
      </c>
      <c r="D2973">
        <v>41290.000919999999</v>
      </c>
      <c r="E2973">
        <v>33.53</v>
      </c>
      <c r="F2973">
        <v>0</v>
      </c>
      <c r="G2973">
        <v>0</v>
      </c>
      <c r="H2973">
        <v>0</v>
      </c>
      <c r="I2973">
        <v>37.25</v>
      </c>
      <c r="J2973">
        <v>0.57999999999999996</v>
      </c>
      <c r="K2973">
        <v>8358</v>
      </c>
      <c r="L2973">
        <v>100</v>
      </c>
      <c r="M2973">
        <v>100</v>
      </c>
      <c r="N2973">
        <v>0.30550741999999997</v>
      </c>
      <c r="P2973">
        <v>3.9146097449999999</v>
      </c>
      <c r="Q2973">
        <v>22159.688859999998</v>
      </c>
      <c r="R2973">
        <v>3.81</v>
      </c>
      <c r="S2973">
        <v>716</v>
      </c>
      <c r="T2973">
        <v>1.3520829999999999</v>
      </c>
      <c r="U2973">
        <v>103.819836</v>
      </c>
    </row>
    <row r="2974" spans="1:21">
      <c r="A2974" t="s">
        <v>164</v>
      </c>
      <c r="B2974">
        <v>2003</v>
      </c>
      <c r="C2974">
        <v>107484.375</v>
      </c>
      <c r="D2974">
        <v>38159.99985</v>
      </c>
      <c r="E2974">
        <v>34.21</v>
      </c>
      <c r="F2974">
        <v>0</v>
      </c>
      <c r="G2974">
        <v>0</v>
      </c>
      <c r="H2974">
        <v>0</v>
      </c>
      <c r="I2974">
        <v>37.03</v>
      </c>
      <c r="J2974">
        <v>0.57999999999999996</v>
      </c>
      <c r="K2974">
        <v>8358</v>
      </c>
      <c r="L2974">
        <v>100</v>
      </c>
      <c r="M2974">
        <v>100</v>
      </c>
      <c r="N2974">
        <v>0.33836690000000003</v>
      </c>
      <c r="P2974">
        <v>4.5357796539999997</v>
      </c>
      <c r="Q2974">
        <v>23730.152450000001</v>
      </c>
      <c r="R2974">
        <v>4.41</v>
      </c>
      <c r="S2974">
        <v>716</v>
      </c>
      <c r="T2974">
        <v>1.3520829999999999</v>
      </c>
      <c r="U2974">
        <v>103.819836</v>
      </c>
    </row>
    <row r="2975" spans="1:21">
      <c r="A2975" t="s">
        <v>164</v>
      </c>
      <c r="B2975">
        <v>2004</v>
      </c>
      <c r="C2975">
        <v>119262.51</v>
      </c>
      <c r="D2975">
        <v>39619.998930000002</v>
      </c>
      <c r="E2975">
        <v>35.56</v>
      </c>
      <c r="F2975">
        <v>0</v>
      </c>
      <c r="G2975">
        <v>0</v>
      </c>
      <c r="H2975">
        <v>0</v>
      </c>
      <c r="I2975">
        <v>36.6</v>
      </c>
      <c r="J2975">
        <v>0.53</v>
      </c>
      <c r="K2975">
        <v>8358</v>
      </c>
      <c r="L2975">
        <v>100</v>
      </c>
      <c r="M2975">
        <v>100</v>
      </c>
      <c r="N2975">
        <v>0.2925276</v>
      </c>
      <c r="P2975">
        <v>9.819591677</v>
      </c>
      <c r="Q2975">
        <v>27608.537369999998</v>
      </c>
      <c r="R2975">
        <v>4.82</v>
      </c>
      <c r="S2975">
        <v>716</v>
      </c>
      <c r="T2975">
        <v>1.3520829999999999</v>
      </c>
      <c r="U2975">
        <v>103.819836</v>
      </c>
    </row>
    <row r="2976" spans="1:21">
      <c r="A2976" t="s">
        <v>164</v>
      </c>
      <c r="B2976">
        <v>2005</v>
      </c>
      <c r="C2976">
        <v>123551.64</v>
      </c>
      <c r="D2976">
        <v>36900.001530000001</v>
      </c>
      <c r="E2976">
        <v>36.840000000000003</v>
      </c>
      <c r="F2976">
        <v>0</v>
      </c>
      <c r="G2976">
        <v>0</v>
      </c>
      <c r="H2976">
        <v>0</v>
      </c>
      <c r="I2976">
        <v>35.840000000000003</v>
      </c>
      <c r="J2976">
        <v>0.54</v>
      </c>
      <c r="K2976">
        <v>8358</v>
      </c>
      <c r="L2976">
        <v>100</v>
      </c>
      <c r="M2976">
        <v>100</v>
      </c>
      <c r="N2976">
        <v>0.27761882999999998</v>
      </c>
      <c r="P2976">
        <v>7.3590336770000002</v>
      </c>
      <c r="Q2976">
        <v>29961.263279999999</v>
      </c>
      <c r="R2976">
        <v>3.07</v>
      </c>
      <c r="S2976">
        <v>716</v>
      </c>
      <c r="T2976">
        <v>1.3520829999999999</v>
      </c>
      <c r="U2976">
        <v>103.819836</v>
      </c>
    </row>
    <row r="2977" spans="1:21">
      <c r="A2977" t="s">
        <v>164</v>
      </c>
      <c r="B2977">
        <v>2006</v>
      </c>
      <c r="C2977">
        <v>131721.67000000001</v>
      </c>
      <c r="D2977">
        <v>37169.998169999999</v>
      </c>
      <c r="E2977">
        <v>38.03</v>
      </c>
      <c r="F2977">
        <v>0</v>
      </c>
      <c r="G2977">
        <v>0</v>
      </c>
      <c r="H2977">
        <v>0</v>
      </c>
      <c r="I2977">
        <v>34.729999999999997</v>
      </c>
      <c r="J2977">
        <v>0.52</v>
      </c>
      <c r="K2977">
        <v>8358</v>
      </c>
      <c r="L2977">
        <v>100</v>
      </c>
      <c r="M2977">
        <v>100</v>
      </c>
      <c r="N2977">
        <v>0.25025176999999998</v>
      </c>
      <c r="P2977">
        <v>9.0051437300000003</v>
      </c>
      <c r="Q2977">
        <v>33769.154159999998</v>
      </c>
      <c r="R2977">
        <v>3.03</v>
      </c>
      <c r="S2977">
        <v>716</v>
      </c>
      <c r="T2977">
        <v>1.3520829999999999</v>
      </c>
      <c r="U2977">
        <v>103.819836</v>
      </c>
    </row>
    <row r="2978" spans="1:21">
      <c r="A2978" t="s">
        <v>164</v>
      </c>
      <c r="B2978">
        <v>2007</v>
      </c>
      <c r="C2978">
        <v>136257.9</v>
      </c>
      <c r="D2978">
        <v>38290.000919999999</v>
      </c>
      <c r="E2978">
        <v>39.64</v>
      </c>
      <c r="F2978">
        <v>0</v>
      </c>
      <c r="G2978">
        <v>0</v>
      </c>
      <c r="H2978">
        <v>0</v>
      </c>
      <c r="I2978">
        <v>33.39</v>
      </c>
      <c r="J2978">
        <v>0.5</v>
      </c>
      <c r="K2978">
        <v>8358</v>
      </c>
      <c r="L2978">
        <v>100</v>
      </c>
      <c r="M2978">
        <v>100</v>
      </c>
      <c r="N2978">
        <v>0.24283740000000001</v>
      </c>
      <c r="P2978">
        <v>9.0221330139999996</v>
      </c>
      <c r="Q2978">
        <v>39432.938349999997</v>
      </c>
      <c r="R2978">
        <v>2.56</v>
      </c>
      <c r="S2978">
        <v>716</v>
      </c>
      <c r="T2978">
        <v>1.3520829999999999</v>
      </c>
      <c r="U2978">
        <v>103.819836</v>
      </c>
    </row>
    <row r="2979" spans="1:21">
      <c r="A2979" t="s">
        <v>164</v>
      </c>
      <c r="B2979">
        <v>2008</v>
      </c>
      <c r="C2979">
        <v>140055.12</v>
      </c>
      <c r="D2979">
        <v>38419.998169999999</v>
      </c>
      <c r="E2979">
        <v>40.270000000000003</v>
      </c>
      <c r="F2979">
        <v>0</v>
      </c>
      <c r="G2979">
        <v>0</v>
      </c>
      <c r="H2979">
        <v>0</v>
      </c>
      <c r="I2979">
        <v>32.07</v>
      </c>
      <c r="J2979">
        <v>0.53</v>
      </c>
      <c r="K2979">
        <v>8358</v>
      </c>
      <c r="L2979">
        <v>100</v>
      </c>
      <c r="M2979">
        <v>100</v>
      </c>
      <c r="N2979">
        <v>0.24099081999999999</v>
      </c>
      <c r="P2979">
        <v>1.8682455339999999</v>
      </c>
      <c r="Q2979">
        <v>40007.469259999998</v>
      </c>
      <c r="R2979">
        <v>2.9</v>
      </c>
      <c r="S2979">
        <v>716</v>
      </c>
      <c r="T2979">
        <v>1.3520829999999999</v>
      </c>
      <c r="U2979">
        <v>103.819836</v>
      </c>
    </row>
    <row r="2980" spans="1:21">
      <c r="A2980" t="s">
        <v>164</v>
      </c>
      <c r="B2980">
        <v>2009</v>
      </c>
      <c r="C2980">
        <v>145354.04999999999</v>
      </c>
      <c r="D2980">
        <v>38830.001830000001</v>
      </c>
      <c r="E2980">
        <v>40.47</v>
      </c>
      <c r="F2980">
        <v>0</v>
      </c>
      <c r="G2980">
        <v>0</v>
      </c>
      <c r="H2980">
        <v>0</v>
      </c>
      <c r="I2980">
        <v>26.16</v>
      </c>
      <c r="J2980">
        <v>0.48</v>
      </c>
      <c r="K2980">
        <v>8358</v>
      </c>
      <c r="L2980">
        <v>100</v>
      </c>
      <c r="M2980">
        <v>100</v>
      </c>
      <c r="N2980">
        <v>0.22723757</v>
      </c>
      <c r="P2980">
        <v>0.120982742</v>
      </c>
      <c r="Q2980">
        <v>38927.206879999998</v>
      </c>
      <c r="R2980">
        <v>3.05</v>
      </c>
      <c r="S2980">
        <v>716</v>
      </c>
      <c r="T2980">
        <v>1.3520829999999999</v>
      </c>
      <c r="U2980">
        <v>103.819836</v>
      </c>
    </row>
    <row r="2981" spans="1:21">
      <c r="A2981" t="s">
        <v>164</v>
      </c>
      <c r="B2981">
        <v>2010</v>
      </c>
      <c r="C2981">
        <v>149763.22</v>
      </c>
      <c r="D2981">
        <v>42409.99985</v>
      </c>
      <c r="E2981">
        <v>43.05</v>
      </c>
      <c r="F2981">
        <v>0</v>
      </c>
      <c r="G2981">
        <v>0</v>
      </c>
      <c r="H2981">
        <v>0</v>
      </c>
      <c r="I2981">
        <v>25.61</v>
      </c>
      <c r="J2981">
        <v>0.47</v>
      </c>
      <c r="K2981">
        <v>8358</v>
      </c>
      <c r="L2981">
        <v>100</v>
      </c>
      <c r="M2981">
        <v>100</v>
      </c>
      <c r="N2981">
        <v>0.23598696</v>
      </c>
      <c r="P2981">
        <v>14.525638989999999</v>
      </c>
      <c r="Q2981">
        <v>47236.960229999997</v>
      </c>
      <c r="R2981">
        <v>2.48</v>
      </c>
      <c r="S2981">
        <v>716</v>
      </c>
      <c r="T2981">
        <v>1.3520829999999999</v>
      </c>
      <c r="U2981">
        <v>103.819836</v>
      </c>
    </row>
    <row r="2982" spans="1:21">
      <c r="A2982" t="s">
        <v>164</v>
      </c>
      <c r="B2982">
        <v>2011</v>
      </c>
      <c r="C2982">
        <v>151959.9</v>
      </c>
      <c r="D2982">
        <v>44770.000460000003</v>
      </c>
      <c r="E2982">
        <v>43.66</v>
      </c>
      <c r="F2982">
        <v>0</v>
      </c>
      <c r="G2982">
        <v>0.01</v>
      </c>
      <c r="H2982">
        <v>2.2899017000000001E-2</v>
      </c>
      <c r="I2982">
        <v>25.27</v>
      </c>
      <c r="J2982">
        <v>0.48</v>
      </c>
      <c r="K2982">
        <v>8358</v>
      </c>
      <c r="L2982">
        <v>100</v>
      </c>
      <c r="M2982">
        <v>100</v>
      </c>
      <c r="N2982">
        <v>0.23450488</v>
      </c>
      <c r="P2982">
        <v>6.3378708140000004</v>
      </c>
      <c r="Q2982">
        <v>53890.42873</v>
      </c>
      <c r="R2982">
        <v>2.0499999999999998</v>
      </c>
      <c r="S2982">
        <v>716</v>
      </c>
      <c r="T2982">
        <v>1.3520829999999999</v>
      </c>
      <c r="U2982">
        <v>103.819836</v>
      </c>
    </row>
    <row r="2983" spans="1:21">
      <c r="A2983" t="s">
        <v>164</v>
      </c>
      <c r="B2983">
        <v>2012</v>
      </c>
      <c r="C2983">
        <v>149476.57999999999</v>
      </c>
      <c r="D2983">
        <v>43689.998630000002</v>
      </c>
      <c r="E2983">
        <v>44.51</v>
      </c>
      <c r="F2983">
        <v>0</v>
      </c>
      <c r="G2983">
        <v>0.01</v>
      </c>
      <c r="H2983">
        <v>2.2461815E-2</v>
      </c>
      <c r="I2983">
        <v>25.37</v>
      </c>
      <c r="J2983">
        <v>0.51</v>
      </c>
      <c r="K2983">
        <v>8358</v>
      </c>
      <c r="L2983">
        <v>100</v>
      </c>
      <c r="M2983">
        <v>100</v>
      </c>
      <c r="N2983">
        <v>0.24628179</v>
      </c>
      <c r="P2983">
        <v>4.4616089509999997</v>
      </c>
      <c r="Q2983">
        <v>55546.488539999998</v>
      </c>
      <c r="R2983">
        <v>2.31</v>
      </c>
      <c r="S2983">
        <v>716</v>
      </c>
      <c r="T2983">
        <v>1.3520829999999999</v>
      </c>
      <c r="U2983">
        <v>103.819836</v>
      </c>
    </row>
    <row r="2984" spans="1:21">
      <c r="A2984" t="s">
        <v>164</v>
      </c>
      <c r="B2984">
        <v>2013</v>
      </c>
      <c r="C2984">
        <v>148317.19</v>
      </c>
      <c r="D2984">
        <v>43909.99985</v>
      </c>
      <c r="E2984">
        <v>45.5</v>
      </c>
      <c r="F2984">
        <v>0</v>
      </c>
      <c r="G2984">
        <v>0.16</v>
      </c>
      <c r="H2984">
        <v>0.35041612</v>
      </c>
      <c r="I2984">
        <v>31.58</v>
      </c>
      <c r="J2984">
        <v>0.56000000000000005</v>
      </c>
      <c r="K2984">
        <v>8358</v>
      </c>
      <c r="L2984">
        <v>100</v>
      </c>
      <c r="M2984">
        <v>100</v>
      </c>
      <c r="N2984">
        <v>0.26858902000000001</v>
      </c>
      <c r="P2984">
        <v>4.8372986459999998</v>
      </c>
      <c r="Q2984">
        <v>56967.425790000001</v>
      </c>
      <c r="R2984">
        <v>2.39</v>
      </c>
      <c r="S2984">
        <v>716</v>
      </c>
      <c r="T2984">
        <v>1.3520829999999999</v>
      </c>
      <c r="U2984">
        <v>103.819836</v>
      </c>
    </row>
    <row r="2985" spans="1:21">
      <c r="A2985" t="s">
        <v>164</v>
      </c>
      <c r="B2985">
        <v>2014</v>
      </c>
      <c r="C2985">
        <v>148692.51999999999</v>
      </c>
      <c r="D2985">
        <v>44400.001530000001</v>
      </c>
      <c r="E2985">
        <v>46.68</v>
      </c>
      <c r="F2985">
        <v>0</v>
      </c>
      <c r="G2985">
        <v>0.28000000000000003</v>
      </c>
      <c r="H2985">
        <v>0.59625214000000004</v>
      </c>
      <c r="I2985">
        <v>37.770000000000003</v>
      </c>
      <c r="J2985">
        <v>0.59</v>
      </c>
      <c r="K2985">
        <v>8358</v>
      </c>
      <c r="L2985">
        <v>100</v>
      </c>
      <c r="M2985">
        <v>100</v>
      </c>
      <c r="N2985">
        <v>0.27851320000000002</v>
      </c>
      <c r="P2985">
        <v>3.9380027289999999</v>
      </c>
      <c r="Q2985">
        <v>57562.530789999997</v>
      </c>
      <c r="R2985">
        <v>2.52</v>
      </c>
      <c r="S2985">
        <v>716</v>
      </c>
      <c r="T2985">
        <v>1.3520829999999999</v>
      </c>
      <c r="U2985">
        <v>103.819836</v>
      </c>
    </row>
    <row r="2986" spans="1:21">
      <c r="A2986" t="s">
        <v>164</v>
      </c>
      <c r="B2986">
        <v>2015</v>
      </c>
      <c r="C2986">
        <v>155468.98000000001</v>
      </c>
      <c r="D2986">
        <v>45430.000310000003</v>
      </c>
      <c r="E2986">
        <v>47.45</v>
      </c>
      <c r="F2986">
        <v>0</v>
      </c>
      <c r="G2986">
        <v>0.41</v>
      </c>
      <c r="H2986">
        <v>0.85666525000000004</v>
      </c>
      <c r="I2986">
        <v>44.91</v>
      </c>
      <c r="J2986">
        <v>0.65</v>
      </c>
      <c r="K2986">
        <v>8358</v>
      </c>
      <c r="L2986">
        <v>100</v>
      </c>
      <c r="M2986">
        <v>100</v>
      </c>
      <c r="N2986">
        <v>0.29237183999999999</v>
      </c>
      <c r="P2986">
        <v>2.9885206759999998</v>
      </c>
      <c r="Q2986">
        <v>55646.618750000001</v>
      </c>
      <c r="R2986">
        <v>2.68</v>
      </c>
      <c r="S2986">
        <v>716</v>
      </c>
      <c r="T2986">
        <v>1.3520829999999999</v>
      </c>
      <c r="U2986">
        <v>103.819836</v>
      </c>
    </row>
    <row r="2987" spans="1:21">
      <c r="A2987" t="s">
        <v>164</v>
      </c>
      <c r="B2987">
        <v>2016</v>
      </c>
      <c r="C2987">
        <v>162248.22</v>
      </c>
      <c r="D2987">
        <v>46099.998469999999</v>
      </c>
      <c r="E2987">
        <v>48.58</v>
      </c>
      <c r="F2987">
        <v>0</v>
      </c>
      <c r="G2987">
        <v>0.53</v>
      </c>
      <c r="H2987">
        <v>1.0792098000000001</v>
      </c>
      <c r="I2987">
        <v>54.31</v>
      </c>
      <c r="J2987">
        <v>0.68</v>
      </c>
      <c r="K2987">
        <v>8358</v>
      </c>
      <c r="L2987">
        <v>100</v>
      </c>
      <c r="M2987">
        <v>100</v>
      </c>
      <c r="N2987">
        <v>0.28913800000000001</v>
      </c>
      <c r="P2987">
        <v>3.3290344580000002</v>
      </c>
      <c r="Q2987">
        <v>56848.175389999997</v>
      </c>
      <c r="R2987">
        <v>2.66</v>
      </c>
      <c r="S2987">
        <v>716</v>
      </c>
      <c r="T2987">
        <v>1.3520829999999999</v>
      </c>
      <c r="U2987">
        <v>103.819836</v>
      </c>
    </row>
    <row r="2988" spans="1:21">
      <c r="A2988" t="s">
        <v>164</v>
      </c>
      <c r="B2988">
        <v>2017</v>
      </c>
      <c r="C2988">
        <v>164801.44</v>
      </c>
      <c r="D2988">
        <v>49139.999389999997</v>
      </c>
      <c r="E2988">
        <v>49.16</v>
      </c>
      <c r="F2988">
        <v>0</v>
      </c>
      <c r="G2988">
        <v>0.55000000000000004</v>
      </c>
      <c r="H2988">
        <v>1.1064172999999999</v>
      </c>
      <c r="I2988">
        <v>57.36</v>
      </c>
      <c r="J2988">
        <v>0.67</v>
      </c>
      <c r="K2988">
        <v>8358</v>
      </c>
      <c r="L2988">
        <v>100</v>
      </c>
      <c r="M2988">
        <v>100</v>
      </c>
      <c r="N2988">
        <v>0.28081223</v>
      </c>
      <c r="P2988">
        <v>4.5203794759999996</v>
      </c>
      <c r="Q2988">
        <v>61176.456359999996</v>
      </c>
      <c r="R2988">
        <v>2.8</v>
      </c>
      <c r="S2988">
        <v>716</v>
      </c>
      <c r="T2988">
        <v>1.3520829999999999</v>
      </c>
      <c r="U2988">
        <v>103.819836</v>
      </c>
    </row>
    <row r="2989" spans="1:21">
      <c r="A2989" t="s">
        <v>164</v>
      </c>
      <c r="B2989">
        <v>2018</v>
      </c>
      <c r="C2989">
        <v>163526.76999999999</v>
      </c>
      <c r="D2989">
        <v>47400.001530000001</v>
      </c>
      <c r="E2989">
        <v>49.87</v>
      </c>
      <c r="F2989">
        <v>0</v>
      </c>
      <c r="G2989">
        <v>0.67</v>
      </c>
      <c r="H2989">
        <v>1.3256825999999999</v>
      </c>
      <c r="I2989">
        <v>65.66</v>
      </c>
      <c r="J2989">
        <v>0.73</v>
      </c>
      <c r="K2989">
        <v>8358</v>
      </c>
      <c r="L2989">
        <v>100</v>
      </c>
      <c r="M2989">
        <v>100</v>
      </c>
      <c r="N2989">
        <v>0.27842240000000001</v>
      </c>
      <c r="P2989">
        <v>3.4974696010000002</v>
      </c>
      <c r="Q2989">
        <v>66679.046489999993</v>
      </c>
      <c r="R2989">
        <v>2.5099999999999998</v>
      </c>
      <c r="S2989">
        <v>716</v>
      </c>
      <c r="T2989">
        <v>1.3520829999999999</v>
      </c>
      <c r="U2989">
        <v>103.819836</v>
      </c>
    </row>
    <row r="2990" spans="1:21">
      <c r="A2990" t="s">
        <v>164</v>
      </c>
      <c r="B2990">
        <v>2019</v>
      </c>
      <c r="C2990">
        <v>158657.89000000001</v>
      </c>
      <c r="D2990">
        <v>47380.001069999998</v>
      </c>
      <c r="E2990">
        <v>50.96</v>
      </c>
      <c r="F2990">
        <v>0</v>
      </c>
      <c r="G2990">
        <v>0.78</v>
      </c>
      <c r="H2990">
        <v>1.5075376</v>
      </c>
      <c r="I2990">
        <v>84.47</v>
      </c>
      <c r="J2990">
        <v>0.84</v>
      </c>
      <c r="K2990">
        <v>8358</v>
      </c>
      <c r="L2990">
        <v>100</v>
      </c>
      <c r="M2990">
        <v>100</v>
      </c>
      <c r="N2990">
        <v>0.2995429</v>
      </c>
      <c r="P2990">
        <v>1.3452174859999999</v>
      </c>
      <c r="Q2990">
        <v>65640.707949999996</v>
      </c>
      <c r="R2990">
        <v>2.57</v>
      </c>
      <c r="S2990">
        <v>716</v>
      </c>
      <c r="T2990">
        <v>1.3520829999999999</v>
      </c>
      <c r="U2990">
        <v>103.819836</v>
      </c>
    </row>
    <row r="2991" spans="1:21">
      <c r="A2991" t="s">
        <v>164</v>
      </c>
      <c r="B2991">
        <v>2020</v>
      </c>
      <c r="C2991">
        <v>154256.29999999999</v>
      </c>
      <c r="E2991">
        <v>50.04</v>
      </c>
      <c r="F2991">
        <v>0</v>
      </c>
      <c r="G2991">
        <v>0.83</v>
      </c>
      <c r="H2991">
        <v>1.63161</v>
      </c>
      <c r="I2991">
        <v>93.64</v>
      </c>
      <c r="K2991">
        <v>8358</v>
      </c>
      <c r="L2991">
        <v>100</v>
      </c>
      <c r="M2991">
        <v>100</v>
      </c>
      <c r="N2991">
        <v>0.30993884999999999</v>
      </c>
      <c r="P2991">
        <v>-5.3910214060000001</v>
      </c>
      <c r="Q2991">
        <v>59797.752180000003</v>
      </c>
      <c r="S2991">
        <v>716</v>
      </c>
      <c r="T2991">
        <v>1.3520829999999999</v>
      </c>
      <c r="U2991">
        <v>103.819836</v>
      </c>
    </row>
    <row r="2992" spans="1:21">
      <c r="A2992" t="s">
        <v>165</v>
      </c>
      <c r="B2992">
        <v>2000</v>
      </c>
      <c r="C2992">
        <v>40591.292999999998</v>
      </c>
      <c r="E2992">
        <v>9.68</v>
      </c>
      <c r="F2992">
        <v>16.489999999999998</v>
      </c>
      <c r="G2992">
        <v>4.6100000000000003</v>
      </c>
      <c r="H2992">
        <v>68.551000000000002</v>
      </c>
      <c r="J2992">
        <v>3.73</v>
      </c>
      <c r="K2992">
        <v>114</v>
      </c>
      <c r="L2992">
        <v>100</v>
      </c>
      <c r="M2992">
        <v>100</v>
      </c>
      <c r="N2992">
        <v>6.2527739999999996</v>
      </c>
      <c r="R2992">
        <v>8.8000000000000007</v>
      </c>
      <c r="S2992">
        <v>49035</v>
      </c>
      <c r="T2992">
        <v>48.669026000000002</v>
      </c>
      <c r="U2992">
        <v>19.699024000000001</v>
      </c>
    </row>
    <row r="2993" spans="1:21">
      <c r="A2993" t="s">
        <v>165</v>
      </c>
      <c r="B2993">
        <v>2001</v>
      </c>
      <c r="C2993">
        <v>41766.94</v>
      </c>
      <c r="E2993">
        <v>9.65</v>
      </c>
      <c r="F2993">
        <v>17.100000000000001</v>
      </c>
      <c r="G2993">
        <v>5.08</v>
      </c>
      <c r="H2993">
        <v>69.682686000000004</v>
      </c>
      <c r="J2993">
        <v>6</v>
      </c>
      <c r="K2993">
        <v>114</v>
      </c>
      <c r="L2993">
        <v>100</v>
      </c>
      <c r="M2993">
        <v>100</v>
      </c>
      <c r="N2993">
        <v>6.6646789999999996</v>
      </c>
      <c r="R2993">
        <v>8.93</v>
      </c>
      <c r="S2993">
        <v>49035</v>
      </c>
      <c r="T2993">
        <v>48.669026000000002</v>
      </c>
      <c r="U2993">
        <v>19.699024000000001</v>
      </c>
    </row>
    <row r="2994" spans="1:21">
      <c r="A2994" t="s">
        <v>165</v>
      </c>
      <c r="B2994">
        <v>2002</v>
      </c>
      <c r="C2994">
        <v>42124.3</v>
      </c>
      <c r="E2994">
        <v>8.81</v>
      </c>
      <c r="F2994">
        <v>17.95</v>
      </c>
      <c r="G2994">
        <v>5.42</v>
      </c>
      <c r="H2994">
        <v>72.622749999999996</v>
      </c>
      <c r="J2994">
        <v>5.48</v>
      </c>
      <c r="K2994">
        <v>114</v>
      </c>
      <c r="L2994">
        <v>100</v>
      </c>
      <c r="M2994">
        <v>100</v>
      </c>
      <c r="N2994">
        <v>7.0051930000000002</v>
      </c>
      <c r="R2994">
        <v>8.61</v>
      </c>
      <c r="S2994">
        <v>49035</v>
      </c>
      <c r="T2994">
        <v>48.669026000000002</v>
      </c>
      <c r="U2994">
        <v>19.699024000000001</v>
      </c>
    </row>
    <row r="2995" spans="1:21">
      <c r="A2995" t="s">
        <v>165</v>
      </c>
      <c r="B2995">
        <v>2003</v>
      </c>
      <c r="C2995">
        <v>40913.17</v>
      </c>
      <c r="E2995">
        <v>9.52</v>
      </c>
      <c r="F2995">
        <v>17.86</v>
      </c>
      <c r="G2995">
        <v>3.58</v>
      </c>
      <c r="H2995">
        <v>69.250649999999993</v>
      </c>
      <c r="J2995">
        <v>5.35</v>
      </c>
      <c r="K2995">
        <v>114</v>
      </c>
      <c r="L2995">
        <v>100</v>
      </c>
      <c r="M2995">
        <v>100</v>
      </c>
      <c r="N2995">
        <v>4.4944214999999996</v>
      </c>
      <c r="R2995">
        <v>8.1199999999999992</v>
      </c>
      <c r="S2995">
        <v>49035</v>
      </c>
      <c r="T2995">
        <v>48.669026000000002</v>
      </c>
      <c r="U2995">
        <v>19.699024000000001</v>
      </c>
    </row>
    <row r="2996" spans="1:21">
      <c r="A2996" t="s">
        <v>165</v>
      </c>
      <c r="B2996">
        <v>2004</v>
      </c>
      <c r="C2996">
        <v>40008.508000000002</v>
      </c>
      <c r="E2996">
        <v>9.2899999999999991</v>
      </c>
      <c r="F2996">
        <v>17.03</v>
      </c>
      <c r="G2996">
        <v>4.13</v>
      </c>
      <c r="H2996">
        <v>69.490970000000004</v>
      </c>
      <c r="J2996">
        <v>6.25</v>
      </c>
      <c r="K2996">
        <v>114</v>
      </c>
      <c r="L2996">
        <v>100</v>
      </c>
      <c r="M2996">
        <v>100</v>
      </c>
      <c r="N2996">
        <v>5.4249919999999996</v>
      </c>
      <c r="R2996">
        <v>7.6</v>
      </c>
      <c r="S2996">
        <v>49035</v>
      </c>
      <c r="T2996">
        <v>48.669026000000002</v>
      </c>
      <c r="U2996">
        <v>19.699024000000001</v>
      </c>
    </row>
    <row r="2997" spans="1:21">
      <c r="A2997" t="s">
        <v>165</v>
      </c>
      <c r="B2997">
        <v>2005</v>
      </c>
      <c r="C2997">
        <v>42086.472999999998</v>
      </c>
      <c r="E2997">
        <v>8.93</v>
      </c>
      <c r="F2997">
        <v>17.73</v>
      </c>
      <c r="G2997">
        <v>4.68</v>
      </c>
      <c r="H2997">
        <v>71.506065000000007</v>
      </c>
      <c r="J2997">
        <v>6.31</v>
      </c>
      <c r="K2997">
        <v>114</v>
      </c>
      <c r="L2997">
        <v>100</v>
      </c>
      <c r="M2997">
        <v>100</v>
      </c>
      <c r="N2997">
        <v>5.8018390000000002</v>
      </c>
      <c r="R2997">
        <v>7.31</v>
      </c>
      <c r="S2997">
        <v>49035</v>
      </c>
      <c r="T2997">
        <v>48.669026000000002</v>
      </c>
      <c r="U2997">
        <v>19.699024000000001</v>
      </c>
    </row>
    <row r="2998" spans="1:21">
      <c r="A2998" t="s">
        <v>165</v>
      </c>
      <c r="B2998">
        <v>2006</v>
      </c>
      <c r="C2998">
        <v>40946.383000000002</v>
      </c>
      <c r="E2998">
        <v>8.39</v>
      </c>
      <c r="F2998">
        <v>18.010000000000002</v>
      </c>
      <c r="G2998">
        <v>4.8099999999999996</v>
      </c>
      <c r="H2998">
        <v>73.117590000000007</v>
      </c>
      <c r="J2998">
        <v>6.57</v>
      </c>
      <c r="K2998">
        <v>114</v>
      </c>
      <c r="L2998">
        <v>100</v>
      </c>
      <c r="M2998">
        <v>100</v>
      </c>
      <c r="N2998">
        <v>6.194248</v>
      </c>
      <c r="R2998">
        <v>6.67</v>
      </c>
      <c r="S2998">
        <v>49035</v>
      </c>
      <c r="T2998">
        <v>48.669026000000002</v>
      </c>
      <c r="U2998">
        <v>19.699024000000001</v>
      </c>
    </row>
    <row r="2999" spans="1:21">
      <c r="A2999" t="s">
        <v>165</v>
      </c>
      <c r="B2999">
        <v>2007</v>
      </c>
      <c r="C2999">
        <v>38418.406000000003</v>
      </c>
      <c r="E2999">
        <v>7.57</v>
      </c>
      <c r="F2999">
        <v>15.33</v>
      </c>
      <c r="G2999">
        <v>4.93</v>
      </c>
      <c r="H2999">
        <v>72.799139999999994</v>
      </c>
      <c r="J2999">
        <v>8.23</v>
      </c>
      <c r="K2999">
        <v>114</v>
      </c>
      <c r="L2999">
        <v>100</v>
      </c>
      <c r="M2999">
        <v>100</v>
      </c>
      <c r="N2999">
        <v>6.7466759999999999</v>
      </c>
      <c r="R2999">
        <v>5.76</v>
      </c>
      <c r="S2999">
        <v>49035</v>
      </c>
      <c r="T2999">
        <v>48.669026000000002</v>
      </c>
      <c r="U2999">
        <v>19.699024000000001</v>
      </c>
    </row>
    <row r="3000" spans="1:21">
      <c r="A3000" t="s">
        <v>165</v>
      </c>
      <c r="B3000">
        <v>2008</v>
      </c>
      <c r="C3000">
        <v>39431.949999999997</v>
      </c>
      <c r="E3000">
        <v>7.46</v>
      </c>
      <c r="F3000">
        <v>16.7</v>
      </c>
      <c r="G3000">
        <v>4.57</v>
      </c>
      <c r="H3000">
        <v>74.034109999999998</v>
      </c>
      <c r="J3000">
        <v>7.63</v>
      </c>
      <c r="K3000">
        <v>114</v>
      </c>
      <c r="L3000">
        <v>100</v>
      </c>
      <c r="M3000">
        <v>100</v>
      </c>
      <c r="N3000">
        <v>6.2277402999999998</v>
      </c>
      <c r="R3000">
        <v>5.6</v>
      </c>
      <c r="S3000">
        <v>49035</v>
      </c>
      <c r="T3000">
        <v>48.669026000000002</v>
      </c>
      <c r="U3000">
        <v>19.699024000000001</v>
      </c>
    </row>
    <row r="3001" spans="1:21">
      <c r="A3001" t="s">
        <v>165</v>
      </c>
      <c r="B3001">
        <v>2009</v>
      </c>
      <c r="C3001">
        <v>35687.54</v>
      </c>
      <c r="E3001">
        <v>6.89</v>
      </c>
      <c r="F3001">
        <v>14.08</v>
      </c>
      <c r="G3001">
        <v>4.92</v>
      </c>
      <c r="H3001">
        <v>73.387410000000003</v>
      </c>
      <c r="J3001">
        <v>10</v>
      </c>
      <c r="K3001">
        <v>114</v>
      </c>
      <c r="L3001">
        <v>100</v>
      </c>
      <c r="M3001">
        <v>100</v>
      </c>
      <c r="N3001">
        <v>7.3320429999999996</v>
      </c>
      <c r="R3001">
        <v>5.41</v>
      </c>
      <c r="S3001">
        <v>49035</v>
      </c>
      <c r="T3001">
        <v>48.669026000000002</v>
      </c>
      <c r="U3001">
        <v>19.699024000000001</v>
      </c>
    </row>
    <row r="3002" spans="1:21">
      <c r="A3002" t="s">
        <v>165</v>
      </c>
      <c r="B3002">
        <v>2010</v>
      </c>
      <c r="C3002">
        <v>38080.726999999999</v>
      </c>
      <c r="E3002">
        <v>6.9</v>
      </c>
      <c r="F3002">
        <v>14.57</v>
      </c>
      <c r="G3002">
        <v>5.95</v>
      </c>
      <c r="H3002">
        <v>74.835883999999993</v>
      </c>
      <c r="J3002">
        <v>10.28</v>
      </c>
      <c r="K3002">
        <v>114</v>
      </c>
      <c r="L3002">
        <v>100</v>
      </c>
      <c r="M3002">
        <v>100</v>
      </c>
      <c r="N3002">
        <v>7.9761633999999999</v>
      </c>
      <c r="R3002">
        <v>5.45</v>
      </c>
      <c r="S3002">
        <v>49035</v>
      </c>
      <c r="T3002">
        <v>48.669026000000002</v>
      </c>
      <c r="U3002">
        <v>19.699024000000001</v>
      </c>
    </row>
    <row r="3003" spans="1:21">
      <c r="A3003" t="s">
        <v>165</v>
      </c>
      <c r="B3003">
        <v>2011</v>
      </c>
      <c r="C3003">
        <v>36591.31</v>
      </c>
      <c r="E3003">
        <v>7.8</v>
      </c>
      <c r="F3003">
        <v>15.41</v>
      </c>
      <c r="G3003">
        <v>5</v>
      </c>
      <c r="H3003">
        <v>72.350234999999998</v>
      </c>
      <c r="J3003">
        <v>10.36</v>
      </c>
      <c r="K3003">
        <v>114</v>
      </c>
      <c r="L3003">
        <v>100</v>
      </c>
      <c r="M3003">
        <v>100</v>
      </c>
      <c r="N3003">
        <v>6.9843500000000001</v>
      </c>
      <c r="R3003">
        <v>5.15</v>
      </c>
      <c r="S3003">
        <v>49035</v>
      </c>
      <c r="T3003">
        <v>48.669026000000002</v>
      </c>
      <c r="U3003">
        <v>19.699024000000001</v>
      </c>
    </row>
    <row r="3004" spans="1:21">
      <c r="A3004" t="s">
        <v>165</v>
      </c>
      <c r="B3004">
        <v>2012</v>
      </c>
      <c r="C3004">
        <v>35105.086000000003</v>
      </c>
      <c r="E3004">
        <v>7.28</v>
      </c>
      <c r="F3004">
        <v>15.49</v>
      </c>
      <c r="G3004">
        <v>5.47</v>
      </c>
      <c r="H3004">
        <v>74.220960000000005</v>
      </c>
      <c r="J3004">
        <v>10.47</v>
      </c>
      <c r="K3004">
        <v>114</v>
      </c>
      <c r="L3004">
        <v>100</v>
      </c>
      <c r="M3004">
        <v>100</v>
      </c>
      <c r="N3004">
        <v>8.0147069999999996</v>
      </c>
      <c r="R3004">
        <v>4.8600000000000003</v>
      </c>
      <c r="S3004">
        <v>49035</v>
      </c>
      <c r="T3004">
        <v>48.669026000000002</v>
      </c>
      <c r="U3004">
        <v>19.699024000000001</v>
      </c>
    </row>
    <row r="3005" spans="1:21">
      <c r="A3005" t="s">
        <v>165</v>
      </c>
      <c r="B3005">
        <v>2013</v>
      </c>
      <c r="C3005">
        <v>35936.51</v>
      </c>
      <c r="E3005">
        <v>6.36</v>
      </c>
      <c r="F3005">
        <v>15.72</v>
      </c>
      <c r="G3005">
        <v>6.36</v>
      </c>
      <c r="H3005">
        <v>77.637129999999999</v>
      </c>
      <c r="J3005">
        <v>10.68</v>
      </c>
      <c r="K3005">
        <v>114</v>
      </c>
      <c r="L3005">
        <v>100</v>
      </c>
      <c r="M3005">
        <v>100</v>
      </c>
      <c r="N3005">
        <v>8.9944140000000008</v>
      </c>
      <c r="R3005">
        <v>4.91</v>
      </c>
      <c r="S3005">
        <v>49035</v>
      </c>
      <c r="T3005">
        <v>48.669026000000002</v>
      </c>
      <c r="U3005">
        <v>19.699024000000001</v>
      </c>
    </row>
    <row r="3006" spans="1:21">
      <c r="A3006" t="s">
        <v>165</v>
      </c>
      <c r="B3006">
        <v>2014</v>
      </c>
      <c r="C3006">
        <v>33419.593999999997</v>
      </c>
      <c r="E3006">
        <v>5.3</v>
      </c>
      <c r="F3006">
        <v>15.5</v>
      </c>
      <c r="G3006">
        <v>6.24</v>
      </c>
      <c r="H3006">
        <v>80.399410000000003</v>
      </c>
      <c r="J3006">
        <v>12.24</v>
      </c>
      <c r="K3006">
        <v>114</v>
      </c>
      <c r="L3006">
        <v>100</v>
      </c>
      <c r="M3006">
        <v>100</v>
      </c>
      <c r="N3006">
        <v>9.855442</v>
      </c>
      <c r="R3006">
        <v>4.5</v>
      </c>
      <c r="S3006">
        <v>49035</v>
      </c>
      <c r="T3006">
        <v>48.669026000000002</v>
      </c>
      <c r="U3006">
        <v>19.699024000000001</v>
      </c>
    </row>
    <row r="3007" spans="1:21">
      <c r="A3007" t="s">
        <v>165</v>
      </c>
      <c r="B3007">
        <v>2015</v>
      </c>
      <c r="C3007">
        <v>33734.29</v>
      </c>
      <c r="E3007">
        <v>5.34</v>
      </c>
      <c r="F3007">
        <v>15.15</v>
      </c>
      <c r="G3007">
        <v>6.05</v>
      </c>
      <c r="H3007">
        <v>79.879424999999998</v>
      </c>
      <c r="J3007">
        <v>13.41</v>
      </c>
      <c r="K3007">
        <v>114</v>
      </c>
      <c r="L3007">
        <v>100</v>
      </c>
      <c r="M3007">
        <v>100</v>
      </c>
      <c r="N3007">
        <v>9.6388929999999995</v>
      </c>
      <c r="R3007">
        <v>4.41</v>
      </c>
      <c r="S3007">
        <v>49035</v>
      </c>
      <c r="T3007">
        <v>48.669026000000002</v>
      </c>
      <c r="U3007">
        <v>19.699024000000001</v>
      </c>
    </row>
    <row r="3008" spans="1:21">
      <c r="A3008" t="s">
        <v>165</v>
      </c>
      <c r="B3008">
        <v>2016</v>
      </c>
      <c r="C3008">
        <v>34015.233999999997</v>
      </c>
      <c r="E3008">
        <v>5.28</v>
      </c>
      <c r="F3008">
        <v>14.77</v>
      </c>
      <c r="G3008">
        <v>6.63</v>
      </c>
      <c r="H3008">
        <v>80.209890000000001</v>
      </c>
      <c r="J3008">
        <v>13.09</v>
      </c>
      <c r="K3008">
        <v>114</v>
      </c>
      <c r="L3008">
        <v>100</v>
      </c>
      <c r="M3008">
        <v>100</v>
      </c>
      <c r="N3008">
        <v>9.9969429999999999</v>
      </c>
      <c r="R3008">
        <v>4.3499999999999996</v>
      </c>
      <c r="S3008">
        <v>49035</v>
      </c>
      <c r="T3008">
        <v>48.669026000000002</v>
      </c>
      <c r="U3008">
        <v>19.699024000000001</v>
      </c>
    </row>
    <row r="3009" spans="1:21">
      <c r="A3009" t="s">
        <v>165</v>
      </c>
      <c r="B3009">
        <v>2017</v>
      </c>
      <c r="C3009">
        <v>35774.910000000003</v>
      </c>
      <c r="E3009">
        <v>5.67</v>
      </c>
      <c r="F3009">
        <v>15.08</v>
      </c>
      <c r="G3009">
        <v>6.54</v>
      </c>
      <c r="H3009">
        <v>79.223159999999993</v>
      </c>
      <c r="J3009">
        <v>12.43</v>
      </c>
      <c r="K3009">
        <v>114</v>
      </c>
      <c r="L3009">
        <v>100</v>
      </c>
      <c r="M3009">
        <v>100</v>
      </c>
      <c r="N3009">
        <v>9.4126729999999998</v>
      </c>
      <c r="R3009">
        <v>4.45</v>
      </c>
      <c r="S3009">
        <v>49035</v>
      </c>
      <c r="T3009">
        <v>48.669026000000002</v>
      </c>
      <c r="U3009">
        <v>19.699024000000001</v>
      </c>
    </row>
    <row r="3010" spans="1:21">
      <c r="A3010" t="s">
        <v>165</v>
      </c>
      <c r="B3010">
        <v>2018</v>
      </c>
      <c r="C3010">
        <v>35121.086000000003</v>
      </c>
      <c r="E3010">
        <v>5.92</v>
      </c>
      <c r="F3010">
        <v>14.84</v>
      </c>
      <c r="G3010">
        <v>5.81</v>
      </c>
      <c r="H3010">
        <v>77.719229999999996</v>
      </c>
      <c r="J3010">
        <v>12.43</v>
      </c>
      <c r="K3010">
        <v>114</v>
      </c>
      <c r="L3010">
        <v>100</v>
      </c>
      <c r="M3010">
        <v>100</v>
      </c>
      <c r="N3010">
        <v>8.5041630000000001</v>
      </c>
      <c r="R3010">
        <v>4.28</v>
      </c>
      <c r="S3010">
        <v>49035</v>
      </c>
      <c r="T3010">
        <v>48.669026000000002</v>
      </c>
      <c r="U3010">
        <v>19.699024000000001</v>
      </c>
    </row>
    <row r="3011" spans="1:21">
      <c r="A3011" t="s">
        <v>165</v>
      </c>
      <c r="B3011">
        <v>2019</v>
      </c>
      <c r="C3011">
        <v>33892.78</v>
      </c>
      <c r="E3011">
        <v>6.26</v>
      </c>
      <c r="F3011">
        <v>15.28</v>
      </c>
      <c r="G3011">
        <v>6.65</v>
      </c>
      <c r="H3011">
        <v>77.793539999999993</v>
      </c>
      <c r="J3011">
        <v>17.64</v>
      </c>
      <c r="K3011">
        <v>114</v>
      </c>
      <c r="L3011">
        <v>100</v>
      </c>
      <c r="M3011">
        <v>100</v>
      </c>
      <c r="N3011">
        <v>9.9838780000000007</v>
      </c>
      <c r="R3011">
        <v>4.1100000000000003</v>
      </c>
      <c r="S3011">
        <v>49035</v>
      </c>
      <c r="T3011">
        <v>48.669026000000002</v>
      </c>
      <c r="U3011">
        <v>19.699024000000001</v>
      </c>
    </row>
    <row r="3012" spans="1:21">
      <c r="A3012" t="s">
        <v>165</v>
      </c>
      <c r="B3012">
        <v>2020</v>
      </c>
      <c r="C3012">
        <v>33193.33</v>
      </c>
      <c r="E3012">
        <v>6.22</v>
      </c>
      <c r="F3012">
        <v>15.44</v>
      </c>
      <c r="G3012">
        <v>6.85</v>
      </c>
      <c r="H3012">
        <v>78.183090000000007</v>
      </c>
      <c r="K3012">
        <v>114</v>
      </c>
      <c r="L3012">
        <v>100</v>
      </c>
      <c r="M3012">
        <v>100</v>
      </c>
      <c r="N3012">
        <v>10.48076</v>
      </c>
      <c r="S3012">
        <v>49035</v>
      </c>
      <c r="T3012">
        <v>48.669026000000002</v>
      </c>
      <c r="U3012">
        <v>19.699024000000001</v>
      </c>
    </row>
    <row r="3013" spans="1:21">
      <c r="A3013" t="s">
        <v>166</v>
      </c>
      <c r="B3013">
        <v>2000</v>
      </c>
      <c r="C3013">
        <v>39623.406000000003</v>
      </c>
      <c r="D3013">
        <v>14540</v>
      </c>
      <c r="E3013">
        <v>4.95</v>
      </c>
      <c r="F3013">
        <v>4.76</v>
      </c>
      <c r="G3013">
        <v>3.9</v>
      </c>
      <c r="H3013">
        <v>63.629683999999997</v>
      </c>
      <c r="J3013">
        <v>17.96</v>
      </c>
      <c r="K3013">
        <v>103</v>
      </c>
      <c r="L3013">
        <v>100</v>
      </c>
      <c r="M3013">
        <v>100</v>
      </c>
      <c r="N3013">
        <v>14.703167000000001</v>
      </c>
      <c r="P3013">
        <v>3.6723715499999998</v>
      </c>
      <c r="Q3013">
        <v>10201.303540000001</v>
      </c>
      <c r="R3013">
        <v>5.23</v>
      </c>
      <c r="S3013">
        <v>20273</v>
      </c>
      <c r="T3013">
        <v>46.151240999999999</v>
      </c>
      <c r="U3013">
        <v>14.995463000000001</v>
      </c>
    </row>
    <row r="3014" spans="1:21">
      <c r="A3014" t="s">
        <v>166</v>
      </c>
      <c r="B3014">
        <v>2001</v>
      </c>
      <c r="C3014">
        <v>41459.707000000002</v>
      </c>
      <c r="D3014">
        <v>15380</v>
      </c>
      <c r="E3014">
        <v>5.35</v>
      </c>
      <c r="F3014">
        <v>5.26</v>
      </c>
      <c r="G3014">
        <v>3.87</v>
      </c>
      <c r="H3014">
        <v>63.052486000000002</v>
      </c>
      <c r="J3014">
        <v>18.670000000000002</v>
      </c>
      <c r="K3014">
        <v>103</v>
      </c>
      <c r="L3014">
        <v>100</v>
      </c>
      <c r="M3014">
        <v>100</v>
      </c>
      <c r="N3014">
        <v>13.847439</v>
      </c>
      <c r="P3014">
        <v>3.216560335</v>
      </c>
      <c r="Q3014">
        <v>10479.75963</v>
      </c>
      <c r="R3014">
        <v>5.39</v>
      </c>
      <c r="S3014">
        <v>20273</v>
      </c>
      <c r="T3014">
        <v>46.151240999999999</v>
      </c>
      <c r="U3014">
        <v>14.995463000000001</v>
      </c>
    </row>
    <row r="3015" spans="1:21">
      <c r="A3015" t="s">
        <v>166</v>
      </c>
      <c r="B3015">
        <v>2002</v>
      </c>
      <c r="C3015">
        <v>41222.29</v>
      </c>
      <c r="D3015">
        <v>15520.000459999999</v>
      </c>
      <c r="E3015">
        <v>5.66</v>
      </c>
      <c r="F3015">
        <v>5.53</v>
      </c>
      <c r="G3015">
        <v>3.41</v>
      </c>
      <c r="H3015">
        <v>61.232872</v>
      </c>
      <c r="J3015">
        <v>16.309999999999999</v>
      </c>
      <c r="K3015">
        <v>103</v>
      </c>
      <c r="L3015">
        <v>100</v>
      </c>
      <c r="M3015">
        <v>100</v>
      </c>
      <c r="N3015">
        <v>12.223348</v>
      </c>
      <c r="P3015">
        <v>3.5055980569999998</v>
      </c>
      <c r="Q3015">
        <v>11777.15566</v>
      </c>
      <c r="R3015">
        <v>5.21</v>
      </c>
      <c r="S3015">
        <v>20273</v>
      </c>
      <c r="T3015">
        <v>46.151240999999999</v>
      </c>
      <c r="U3015">
        <v>14.995463000000001</v>
      </c>
    </row>
    <row r="3016" spans="1:21">
      <c r="A3016" t="s">
        <v>166</v>
      </c>
      <c r="B3016">
        <v>2003</v>
      </c>
      <c r="C3016">
        <v>40319.9</v>
      </c>
      <c r="D3016">
        <v>15409.99985</v>
      </c>
      <c r="E3016">
        <v>5.54</v>
      </c>
      <c r="F3016">
        <v>5.21</v>
      </c>
      <c r="G3016">
        <v>3.08</v>
      </c>
      <c r="H3016">
        <v>59.942154000000002</v>
      </c>
      <c r="J3016">
        <v>16.899999999999999</v>
      </c>
      <c r="K3016">
        <v>103</v>
      </c>
      <c r="L3016">
        <v>100</v>
      </c>
      <c r="M3016">
        <v>100</v>
      </c>
      <c r="N3016">
        <v>11.176646</v>
      </c>
      <c r="P3016">
        <v>2.960260286</v>
      </c>
      <c r="Q3016">
        <v>14849.03724</v>
      </c>
      <c r="R3016">
        <v>5.14</v>
      </c>
      <c r="S3016">
        <v>20273</v>
      </c>
      <c r="T3016">
        <v>46.151240999999999</v>
      </c>
      <c r="U3016">
        <v>14.995463000000001</v>
      </c>
    </row>
    <row r="3017" spans="1:21">
      <c r="A3017" t="s">
        <v>166</v>
      </c>
      <c r="B3017">
        <v>2004</v>
      </c>
      <c r="C3017">
        <v>42659.85</v>
      </c>
      <c r="D3017">
        <v>15699.999809999999</v>
      </c>
      <c r="E3017">
        <v>5.6</v>
      </c>
      <c r="F3017">
        <v>5.46</v>
      </c>
      <c r="G3017">
        <v>4.21</v>
      </c>
      <c r="H3017">
        <v>63.326782000000001</v>
      </c>
      <c r="J3017">
        <v>17.77</v>
      </c>
      <c r="K3017">
        <v>103</v>
      </c>
      <c r="L3017">
        <v>100</v>
      </c>
      <c r="M3017">
        <v>100</v>
      </c>
      <c r="N3017">
        <v>14.306863999999999</v>
      </c>
      <c r="P3017">
        <v>4.3591927779999997</v>
      </c>
      <c r="Q3017">
        <v>17233.138559999999</v>
      </c>
      <c r="R3017">
        <v>5.07</v>
      </c>
      <c r="S3017">
        <v>20273</v>
      </c>
      <c r="T3017">
        <v>46.151240999999999</v>
      </c>
      <c r="U3017">
        <v>14.995463000000001</v>
      </c>
    </row>
    <row r="3018" spans="1:21">
      <c r="A3018" t="s">
        <v>166</v>
      </c>
      <c r="B3018">
        <v>2005</v>
      </c>
      <c r="C3018">
        <v>42491.913999999997</v>
      </c>
      <c r="D3018">
        <v>15920.00008</v>
      </c>
      <c r="E3018">
        <v>5.66</v>
      </c>
      <c r="F3018">
        <v>5.88</v>
      </c>
      <c r="G3018">
        <v>3.57</v>
      </c>
      <c r="H3018">
        <v>62.541367000000001</v>
      </c>
      <c r="J3018">
        <v>18.579999999999998</v>
      </c>
      <c r="K3018">
        <v>103</v>
      </c>
      <c r="L3018">
        <v>100</v>
      </c>
      <c r="M3018">
        <v>100</v>
      </c>
      <c r="N3018">
        <v>12.045763000000001</v>
      </c>
      <c r="P3018">
        <v>3.797972642</v>
      </c>
      <c r="Q3018">
        <v>18098.90854</v>
      </c>
      <c r="R3018">
        <v>5.0599999999999996</v>
      </c>
      <c r="S3018">
        <v>20273</v>
      </c>
      <c r="T3018">
        <v>46.151240999999999</v>
      </c>
      <c r="U3018">
        <v>14.995463000000001</v>
      </c>
    </row>
    <row r="3019" spans="1:21">
      <c r="A3019" t="s">
        <v>166</v>
      </c>
      <c r="B3019">
        <v>2006</v>
      </c>
      <c r="C3019">
        <v>42687.347999999998</v>
      </c>
      <c r="D3019">
        <v>16290.00092</v>
      </c>
      <c r="E3019">
        <v>5.86</v>
      </c>
      <c r="F3019">
        <v>5.55</v>
      </c>
      <c r="G3019">
        <v>3.7</v>
      </c>
      <c r="H3019">
        <v>61.217739999999999</v>
      </c>
      <c r="J3019">
        <v>17.36</v>
      </c>
      <c r="K3019">
        <v>103</v>
      </c>
      <c r="L3019">
        <v>100</v>
      </c>
      <c r="M3019">
        <v>100</v>
      </c>
      <c r="N3019">
        <v>12.255212999999999</v>
      </c>
      <c r="P3019">
        <v>5.7463969009999998</v>
      </c>
      <c r="Q3019">
        <v>19672.965560000001</v>
      </c>
      <c r="R3019">
        <v>4.7699999999999996</v>
      </c>
      <c r="S3019">
        <v>20273</v>
      </c>
      <c r="T3019">
        <v>46.151240999999999</v>
      </c>
      <c r="U3019">
        <v>14.995463000000001</v>
      </c>
    </row>
    <row r="3020" spans="1:21">
      <c r="A3020" t="s">
        <v>166</v>
      </c>
      <c r="B3020">
        <v>2007</v>
      </c>
      <c r="C3020">
        <v>42242.93</v>
      </c>
      <c r="D3020">
        <v>16280.000690000001</v>
      </c>
      <c r="E3020">
        <v>5.96</v>
      </c>
      <c r="F3020">
        <v>5.7</v>
      </c>
      <c r="G3020">
        <v>3.38</v>
      </c>
      <c r="H3020">
        <v>60.372340000000001</v>
      </c>
      <c r="J3020">
        <v>18.350000000000001</v>
      </c>
      <c r="K3020">
        <v>103</v>
      </c>
      <c r="L3020">
        <v>100</v>
      </c>
      <c r="M3020">
        <v>100</v>
      </c>
      <c r="N3020">
        <v>11.193771</v>
      </c>
      <c r="P3020">
        <v>6.980160755</v>
      </c>
      <c r="Q3020">
        <v>23787.646560000001</v>
      </c>
      <c r="R3020">
        <v>4.51</v>
      </c>
      <c r="S3020">
        <v>20273</v>
      </c>
      <c r="T3020">
        <v>46.151240999999999</v>
      </c>
      <c r="U3020">
        <v>14.995463000000001</v>
      </c>
    </row>
    <row r="3021" spans="1:21">
      <c r="A3021" t="s">
        <v>166</v>
      </c>
      <c r="B3021">
        <v>2008</v>
      </c>
      <c r="C3021">
        <v>46037.57</v>
      </c>
      <c r="D3021">
        <v>17360.000609999999</v>
      </c>
      <c r="E3021">
        <v>5.83</v>
      </c>
      <c r="F3021">
        <v>6.27</v>
      </c>
      <c r="G3021">
        <v>4.3099999999999996</v>
      </c>
      <c r="H3021">
        <v>64.472885000000005</v>
      </c>
      <c r="J3021">
        <v>17.63</v>
      </c>
      <c r="K3021">
        <v>103</v>
      </c>
      <c r="L3021">
        <v>100</v>
      </c>
      <c r="M3021">
        <v>100</v>
      </c>
      <c r="N3021">
        <v>13.052405</v>
      </c>
      <c r="P3021">
        <v>3.5098415169999999</v>
      </c>
      <c r="Q3021">
        <v>27483.337169999999</v>
      </c>
      <c r="R3021">
        <v>4.59</v>
      </c>
      <c r="S3021">
        <v>20273</v>
      </c>
      <c r="T3021">
        <v>46.151240999999999</v>
      </c>
      <c r="U3021">
        <v>14.995463000000001</v>
      </c>
    </row>
    <row r="3022" spans="1:21">
      <c r="A3022" t="s">
        <v>166</v>
      </c>
      <c r="B3022">
        <v>2009</v>
      </c>
      <c r="C3022">
        <v>42289.82</v>
      </c>
      <c r="D3022">
        <v>15510.00023</v>
      </c>
      <c r="E3022">
        <v>5.75</v>
      </c>
      <c r="F3022">
        <v>5.74</v>
      </c>
      <c r="G3022">
        <v>4.9000000000000004</v>
      </c>
      <c r="H3022">
        <v>64.917630000000003</v>
      </c>
      <c r="J3022">
        <v>19.57</v>
      </c>
      <c r="K3022">
        <v>103</v>
      </c>
      <c r="L3022">
        <v>100</v>
      </c>
      <c r="M3022">
        <v>100</v>
      </c>
      <c r="N3022">
        <v>15.946547499999999</v>
      </c>
      <c r="P3022">
        <v>-7.5484377909999996</v>
      </c>
      <c r="Q3022">
        <v>24694.230490000002</v>
      </c>
      <c r="R3022">
        <v>4.45</v>
      </c>
      <c r="S3022">
        <v>20273</v>
      </c>
      <c r="T3022">
        <v>46.151240999999999</v>
      </c>
      <c r="U3022">
        <v>14.995463000000001</v>
      </c>
    </row>
    <row r="3023" spans="1:21">
      <c r="A3023" t="s">
        <v>166</v>
      </c>
      <c r="B3023">
        <v>2010</v>
      </c>
      <c r="C3023">
        <v>42123.360000000001</v>
      </c>
      <c r="D3023">
        <v>15779.99973</v>
      </c>
      <c r="E3023">
        <v>5.85</v>
      </c>
      <c r="F3023">
        <v>5.66</v>
      </c>
      <c r="G3023">
        <v>4.75</v>
      </c>
      <c r="H3023">
        <v>64.022139999999993</v>
      </c>
      <c r="J3023">
        <v>20.07</v>
      </c>
      <c r="K3023">
        <v>103</v>
      </c>
      <c r="L3023">
        <v>100</v>
      </c>
      <c r="M3023">
        <v>100</v>
      </c>
      <c r="N3023">
        <v>15.326107</v>
      </c>
      <c r="P3023">
        <v>1.3437484719999999</v>
      </c>
      <c r="Q3023">
        <v>23509.543140000002</v>
      </c>
      <c r="R3023">
        <v>4.51</v>
      </c>
      <c r="S3023">
        <v>20273</v>
      </c>
      <c r="T3023">
        <v>46.151240999999999</v>
      </c>
      <c r="U3023">
        <v>14.995463000000001</v>
      </c>
    </row>
    <row r="3024" spans="1:21">
      <c r="A3024" t="s">
        <v>166</v>
      </c>
      <c r="B3024">
        <v>2011</v>
      </c>
      <c r="C3024">
        <v>40734.336000000003</v>
      </c>
      <c r="D3024">
        <v>15699.999809999999</v>
      </c>
      <c r="E3024">
        <v>5.82</v>
      </c>
      <c r="F3024">
        <v>6.22</v>
      </c>
      <c r="G3024">
        <v>3.88</v>
      </c>
      <c r="H3024">
        <v>63.442214999999997</v>
      </c>
      <c r="J3024">
        <v>19.14</v>
      </c>
      <c r="K3024">
        <v>103</v>
      </c>
      <c r="L3024">
        <v>100</v>
      </c>
      <c r="M3024">
        <v>100</v>
      </c>
      <c r="N3024">
        <v>12.851766</v>
      </c>
      <c r="P3024">
        <v>0.86132773299999998</v>
      </c>
      <c r="Q3024">
        <v>25095.132290000001</v>
      </c>
      <c r="R3024">
        <v>4.47</v>
      </c>
      <c r="S3024">
        <v>20273</v>
      </c>
      <c r="T3024">
        <v>46.151240999999999</v>
      </c>
      <c r="U3024">
        <v>14.995463000000001</v>
      </c>
    </row>
    <row r="3025" spans="1:21">
      <c r="A3025" t="s">
        <v>166</v>
      </c>
      <c r="B3025">
        <v>2012</v>
      </c>
      <c r="C3025">
        <v>39508.945</v>
      </c>
      <c r="D3025">
        <v>15119.999889999999</v>
      </c>
      <c r="E3025">
        <v>5.69</v>
      </c>
      <c r="F3025">
        <v>5.53</v>
      </c>
      <c r="G3025">
        <v>4.33</v>
      </c>
      <c r="H3025">
        <v>63.408355999999998</v>
      </c>
      <c r="J3025">
        <v>20.22</v>
      </c>
      <c r="K3025">
        <v>103</v>
      </c>
      <c r="L3025">
        <v>100</v>
      </c>
      <c r="M3025">
        <v>100</v>
      </c>
      <c r="N3025">
        <v>14.665227</v>
      </c>
      <c r="P3025">
        <v>-2.6394387570000002</v>
      </c>
      <c r="Q3025">
        <v>22643.10025</v>
      </c>
      <c r="R3025">
        <v>4.4000000000000004</v>
      </c>
      <c r="S3025">
        <v>20273</v>
      </c>
      <c r="T3025">
        <v>46.151240999999999</v>
      </c>
      <c r="U3025">
        <v>14.995463000000001</v>
      </c>
    </row>
    <row r="3026" spans="1:21">
      <c r="A3026" t="s">
        <v>166</v>
      </c>
      <c r="B3026">
        <v>2013</v>
      </c>
      <c r="C3026">
        <v>39029.040000000001</v>
      </c>
      <c r="D3026">
        <v>14550.000190000001</v>
      </c>
      <c r="E3026">
        <v>5.39</v>
      </c>
      <c r="F3026">
        <v>5.3</v>
      </c>
      <c r="G3026">
        <v>5.1100000000000003</v>
      </c>
      <c r="H3026">
        <v>65.886080000000007</v>
      </c>
      <c r="J3026">
        <v>22.48</v>
      </c>
      <c r="K3026">
        <v>103</v>
      </c>
      <c r="L3026">
        <v>100</v>
      </c>
      <c r="M3026">
        <v>100</v>
      </c>
      <c r="N3026">
        <v>17.365846999999999</v>
      </c>
      <c r="P3026">
        <v>-1.029282772</v>
      </c>
      <c r="Q3026">
        <v>23496.602500000001</v>
      </c>
      <c r="R3026">
        <v>4.33</v>
      </c>
      <c r="S3026">
        <v>20273</v>
      </c>
      <c r="T3026">
        <v>46.151240999999999</v>
      </c>
      <c r="U3026">
        <v>14.995463000000001</v>
      </c>
    </row>
    <row r="3027" spans="1:21">
      <c r="A3027" t="s">
        <v>166</v>
      </c>
      <c r="B3027">
        <v>2014</v>
      </c>
      <c r="C3027">
        <v>39987.75</v>
      </c>
      <c r="D3027">
        <v>13109.999659999999</v>
      </c>
      <c r="E3027">
        <v>4.18</v>
      </c>
      <c r="F3027">
        <v>6.37</v>
      </c>
      <c r="G3027">
        <v>6.6</v>
      </c>
      <c r="H3027">
        <v>75.626819999999995</v>
      </c>
      <c r="J3027">
        <v>22.91</v>
      </c>
      <c r="K3027">
        <v>103</v>
      </c>
      <c r="L3027">
        <v>100</v>
      </c>
      <c r="M3027">
        <v>100</v>
      </c>
      <c r="N3027">
        <v>21.739605000000001</v>
      </c>
      <c r="P3027">
        <v>2.768158831</v>
      </c>
      <c r="Q3027">
        <v>24214.922070000001</v>
      </c>
      <c r="R3027">
        <v>4.09</v>
      </c>
      <c r="S3027">
        <v>20273</v>
      </c>
      <c r="T3027">
        <v>46.151240999999999</v>
      </c>
      <c r="U3027">
        <v>14.995463000000001</v>
      </c>
    </row>
    <row r="3028" spans="1:21">
      <c r="A3028" t="s">
        <v>166</v>
      </c>
      <c r="B3028">
        <v>2015</v>
      </c>
      <c r="C3028">
        <v>35959.714999999997</v>
      </c>
      <c r="D3028">
        <v>13140.000340000001</v>
      </c>
      <c r="E3028">
        <v>4.8</v>
      </c>
      <c r="F3028">
        <v>5.65</v>
      </c>
      <c r="G3028">
        <v>4.3499999999999996</v>
      </c>
      <c r="H3028">
        <v>67.567565999999999</v>
      </c>
      <c r="J3028">
        <v>21.38</v>
      </c>
      <c r="K3028">
        <v>103</v>
      </c>
      <c r="L3028">
        <v>100</v>
      </c>
      <c r="M3028">
        <v>100</v>
      </c>
      <c r="N3028">
        <v>15.851431</v>
      </c>
      <c r="P3028">
        <v>2.2100816069999998</v>
      </c>
      <c r="Q3028">
        <v>20881.766930000002</v>
      </c>
      <c r="R3028">
        <v>3.95</v>
      </c>
      <c r="S3028">
        <v>20273</v>
      </c>
      <c r="T3028">
        <v>46.151240999999999</v>
      </c>
      <c r="U3028">
        <v>14.995463000000001</v>
      </c>
    </row>
    <row r="3029" spans="1:21">
      <c r="A3029" t="s">
        <v>166</v>
      </c>
      <c r="B3029">
        <v>2016</v>
      </c>
      <c r="C3029">
        <v>38266.707000000002</v>
      </c>
      <c r="D3029">
        <v>13899.999620000001</v>
      </c>
      <c r="E3029">
        <v>5.45</v>
      </c>
      <c r="F3029">
        <v>5.72</v>
      </c>
      <c r="G3029">
        <v>5.0599999999999996</v>
      </c>
      <c r="H3029">
        <v>66.420209999999997</v>
      </c>
      <c r="J3029">
        <v>20.96</v>
      </c>
      <c r="K3029">
        <v>103</v>
      </c>
      <c r="L3029">
        <v>100</v>
      </c>
      <c r="M3029">
        <v>100</v>
      </c>
      <c r="N3029">
        <v>17.115887000000001</v>
      </c>
      <c r="P3029">
        <v>3.1918525180000001</v>
      </c>
      <c r="Q3029">
        <v>21663.643410000001</v>
      </c>
      <c r="R3029">
        <v>3.95</v>
      </c>
      <c r="S3029">
        <v>20273</v>
      </c>
      <c r="T3029">
        <v>46.151240999999999</v>
      </c>
      <c r="U3029">
        <v>14.995463000000001</v>
      </c>
    </row>
    <row r="3030" spans="1:21">
      <c r="A3030" t="s">
        <v>166</v>
      </c>
      <c r="B3030">
        <v>2017</v>
      </c>
      <c r="C3030">
        <v>38524.097999999998</v>
      </c>
      <c r="D3030">
        <v>14119.999889999999</v>
      </c>
      <c r="E3030">
        <v>5.32</v>
      </c>
      <c r="F3030">
        <v>6.29</v>
      </c>
      <c r="G3030">
        <v>4.4400000000000004</v>
      </c>
      <c r="H3030">
        <v>66.853583999999998</v>
      </c>
      <c r="J3030">
        <v>19.71</v>
      </c>
      <c r="K3030">
        <v>103</v>
      </c>
      <c r="L3030">
        <v>100</v>
      </c>
      <c r="M3030">
        <v>100</v>
      </c>
      <c r="N3030">
        <v>14.848827999999999</v>
      </c>
      <c r="P3030">
        <v>4.8153806320000001</v>
      </c>
      <c r="Q3030">
        <v>23455.944729999999</v>
      </c>
      <c r="R3030">
        <v>3.88</v>
      </c>
      <c r="S3030">
        <v>20273</v>
      </c>
      <c r="T3030">
        <v>46.151240999999999</v>
      </c>
      <c r="U3030">
        <v>14.995463000000001</v>
      </c>
    </row>
    <row r="3031" spans="1:21">
      <c r="A3031" t="s">
        <v>166</v>
      </c>
      <c r="B3031">
        <v>2018</v>
      </c>
      <c r="C3031">
        <v>39165.714999999997</v>
      </c>
      <c r="D3031">
        <v>14069.999690000001</v>
      </c>
      <c r="E3031">
        <v>5.12</v>
      </c>
      <c r="F3031">
        <v>5.78</v>
      </c>
      <c r="G3031">
        <v>5.22</v>
      </c>
      <c r="H3031">
        <v>68.238209999999995</v>
      </c>
      <c r="J3031">
        <v>20.61</v>
      </c>
      <c r="K3031">
        <v>103</v>
      </c>
      <c r="L3031">
        <v>100</v>
      </c>
      <c r="M3031">
        <v>100</v>
      </c>
      <c r="N3031">
        <v>16.982707999999999</v>
      </c>
      <c r="P3031">
        <v>4.4225215679999996</v>
      </c>
      <c r="Q3031">
        <v>26104.102790000001</v>
      </c>
      <c r="R3031">
        <v>3.67</v>
      </c>
      <c r="S3031">
        <v>20273</v>
      </c>
      <c r="T3031">
        <v>46.151240999999999</v>
      </c>
      <c r="U3031">
        <v>14.995463000000001</v>
      </c>
    </row>
    <row r="3032" spans="1:21">
      <c r="A3032" t="s">
        <v>166</v>
      </c>
      <c r="B3032">
        <v>2019</v>
      </c>
      <c r="C3032">
        <v>37905.919999999998</v>
      </c>
      <c r="D3032">
        <v>13600.000379999999</v>
      </c>
      <c r="E3032">
        <v>5.03</v>
      </c>
      <c r="F3032">
        <v>5.82</v>
      </c>
      <c r="G3032">
        <v>5.04</v>
      </c>
      <c r="H3032">
        <v>68.34487</v>
      </c>
      <c r="J3032">
        <v>20.86</v>
      </c>
      <c r="K3032">
        <v>103</v>
      </c>
      <c r="L3032">
        <v>100</v>
      </c>
      <c r="M3032">
        <v>100</v>
      </c>
      <c r="N3032">
        <v>16.781369999999999</v>
      </c>
      <c r="P3032">
        <v>3.2505313359999999</v>
      </c>
      <c r="Q3032">
        <v>25942.95477</v>
      </c>
      <c r="R3032">
        <v>3.5</v>
      </c>
      <c r="S3032">
        <v>20273</v>
      </c>
      <c r="T3032">
        <v>46.151240999999999</v>
      </c>
      <c r="U3032">
        <v>14.995463000000001</v>
      </c>
    </row>
    <row r="3033" spans="1:21">
      <c r="A3033" t="s">
        <v>166</v>
      </c>
      <c r="B3033">
        <v>2020</v>
      </c>
      <c r="C3033">
        <v>36542.866999999998</v>
      </c>
      <c r="E3033">
        <v>4.96</v>
      </c>
      <c r="F3033">
        <v>6.35</v>
      </c>
      <c r="G3033">
        <v>5.58</v>
      </c>
      <c r="H3033">
        <v>70.633514000000005</v>
      </c>
      <c r="K3033">
        <v>103</v>
      </c>
      <c r="L3033">
        <v>100</v>
      </c>
      <c r="M3033">
        <v>100</v>
      </c>
      <c r="N3033">
        <v>19.160215000000001</v>
      </c>
      <c r="P3033">
        <v>-4.2292613890000004</v>
      </c>
      <c r="Q3033">
        <v>25517.330669999999</v>
      </c>
      <c r="S3033">
        <v>20273</v>
      </c>
      <c r="T3033">
        <v>46.151240999999999</v>
      </c>
      <c r="U3033">
        <v>14.995463000000001</v>
      </c>
    </row>
    <row r="3034" spans="1:21">
      <c r="A3034" t="s">
        <v>167</v>
      </c>
      <c r="B3034">
        <v>2000</v>
      </c>
      <c r="C3034">
        <v>2456.5133999999998</v>
      </c>
      <c r="D3034">
        <v>240</v>
      </c>
      <c r="E3034">
        <v>0.06</v>
      </c>
      <c r="F3034">
        <v>0</v>
      </c>
      <c r="G3034">
        <v>0</v>
      </c>
      <c r="H3034">
        <v>0</v>
      </c>
      <c r="I3034">
        <v>0.75</v>
      </c>
      <c r="J3034">
        <v>55.26</v>
      </c>
      <c r="K3034">
        <v>25</v>
      </c>
      <c r="L3034">
        <v>4.5170292999999999</v>
      </c>
      <c r="M3034">
        <v>8.6999999999999993</v>
      </c>
      <c r="P3034">
        <v>-14.275136979999999</v>
      </c>
      <c r="Q3034">
        <v>1017.613757</v>
      </c>
      <c r="R3034">
        <v>6.99</v>
      </c>
      <c r="S3034">
        <v>28896</v>
      </c>
      <c r="T3034">
        <v>-9.6457099999999993</v>
      </c>
      <c r="U3034">
        <v>160.156194</v>
      </c>
    </row>
    <row r="3035" spans="1:21">
      <c r="A3035" t="s">
        <v>167</v>
      </c>
      <c r="B3035">
        <v>2001</v>
      </c>
      <c r="C3035">
        <v>2508.6143000000002</v>
      </c>
      <c r="D3035">
        <v>250</v>
      </c>
      <c r="E3035">
        <v>0.06</v>
      </c>
      <c r="F3035">
        <v>0</v>
      </c>
      <c r="G3035">
        <v>0</v>
      </c>
      <c r="H3035">
        <v>0</v>
      </c>
      <c r="I3035">
        <v>0.73</v>
      </c>
      <c r="J3035">
        <v>54.14</v>
      </c>
      <c r="K3035">
        <v>25</v>
      </c>
      <c r="L3035">
        <v>7.4752364</v>
      </c>
      <c r="M3035">
        <v>8.6999999999999993</v>
      </c>
      <c r="P3035">
        <v>-7.9633788220000001</v>
      </c>
      <c r="Q3035">
        <v>965.76567509999995</v>
      </c>
      <c r="R3035">
        <v>7.75</v>
      </c>
      <c r="S3035">
        <v>28896</v>
      </c>
      <c r="T3035">
        <v>-9.6457099999999993</v>
      </c>
      <c r="U3035">
        <v>160.156194</v>
      </c>
    </row>
    <row r="3036" spans="1:21">
      <c r="A3036" t="s">
        <v>167</v>
      </c>
      <c r="B3036">
        <v>2002</v>
      </c>
      <c r="C3036">
        <v>2532.7510000000002</v>
      </c>
      <c r="D3036">
        <v>259.99999050000002</v>
      </c>
      <c r="E3036">
        <v>0.06</v>
      </c>
      <c r="F3036">
        <v>0</v>
      </c>
      <c r="G3036">
        <v>0</v>
      </c>
      <c r="H3036">
        <v>0</v>
      </c>
      <c r="I3036">
        <v>0.78</v>
      </c>
      <c r="J3036">
        <v>52.82</v>
      </c>
      <c r="K3036">
        <v>25</v>
      </c>
      <c r="L3036">
        <v>10.4258585</v>
      </c>
      <c r="M3036">
        <v>8.6</v>
      </c>
      <c r="P3036">
        <v>-2.7965465470000002</v>
      </c>
      <c r="Q3036">
        <v>795.60153379999997</v>
      </c>
      <c r="R3036">
        <v>8.15</v>
      </c>
      <c r="S3036">
        <v>28896</v>
      </c>
      <c r="T3036">
        <v>-9.6457099999999993</v>
      </c>
      <c r="U3036">
        <v>160.156194</v>
      </c>
    </row>
    <row r="3037" spans="1:21">
      <c r="A3037" t="s">
        <v>167</v>
      </c>
      <c r="B3037">
        <v>2003</v>
      </c>
      <c r="C3037">
        <v>2587.0967000000001</v>
      </c>
      <c r="D3037">
        <v>270.00001070000002</v>
      </c>
      <c r="E3037">
        <v>0.06</v>
      </c>
      <c r="F3037">
        <v>0</v>
      </c>
      <c r="G3037">
        <v>0</v>
      </c>
      <c r="H3037">
        <v>0</v>
      </c>
      <c r="I3037">
        <v>0.76</v>
      </c>
      <c r="J3037">
        <v>51.46</v>
      </c>
      <c r="K3037">
        <v>25</v>
      </c>
      <c r="L3037">
        <v>13.371245999999999</v>
      </c>
      <c r="M3037">
        <v>8.6</v>
      </c>
      <c r="P3037">
        <v>6.5263564389999997</v>
      </c>
      <c r="Q3037">
        <v>788.61311929999999</v>
      </c>
      <c r="R3037">
        <v>7.82</v>
      </c>
      <c r="S3037">
        <v>28896</v>
      </c>
      <c r="T3037">
        <v>-9.6457099999999993</v>
      </c>
      <c r="U3037">
        <v>160.156194</v>
      </c>
    </row>
    <row r="3038" spans="1:21">
      <c r="A3038" t="s">
        <v>167</v>
      </c>
      <c r="B3038">
        <v>2004</v>
      </c>
      <c r="C3038">
        <v>2689.9602</v>
      </c>
      <c r="D3038">
        <v>310.00000240000003</v>
      </c>
      <c r="E3038">
        <v>0.06</v>
      </c>
      <c r="F3038">
        <v>0</v>
      </c>
      <c r="G3038">
        <v>0</v>
      </c>
      <c r="H3038">
        <v>0</v>
      </c>
      <c r="I3038">
        <v>0.81</v>
      </c>
      <c r="J3038">
        <v>49.91</v>
      </c>
      <c r="K3038">
        <v>25</v>
      </c>
      <c r="L3038">
        <v>16.313746999999999</v>
      </c>
      <c r="M3038">
        <v>8.5</v>
      </c>
      <c r="P3038">
        <v>6.6521660320000002</v>
      </c>
      <c r="Q3038">
        <v>867.10717220000004</v>
      </c>
      <c r="R3038">
        <v>7.59</v>
      </c>
      <c r="S3038">
        <v>28896</v>
      </c>
      <c r="T3038">
        <v>-9.6457099999999993</v>
      </c>
      <c r="U3038">
        <v>160.156194</v>
      </c>
    </row>
    <row r="3039" spans="1:21">
      <c r="A3039" t="s">
        <v>167</v>
      </c>
      <c r="B3039">
        <v>2005</v>
      </c>
      <c r="C3039">
        <v>2695.8420000000001</v>
      </c>
      <c r="D3039">
        <v>340.00000360000001</v>
      </c>
      <c r="E3039">
        <v>7.0000000000000007E-2</v>
      </c>
      <c r="F3039">
        <v>0</v>
      </c>
      <c r="G3039">
        <v>0</v>
      </c>
      <c r="H3039">
        <v>0</v>
      </c>
      <c r="I3039">
        <v>0.79</v>
      </c>
      <c r="J3039">
        <v>49.7</v>
      </c>
      <c r="K3039">
        <v>25</v>
      </c>
      <c r="L3039">
        <v>19.255710000000001</v>
      </c>
      <c r="M3039">
        <v>8.4</v>
      </c>
      <c r="P3039">
        <v>5.5404486740000003</v>
      </c>
      <c r="Q3039">
        <v>1014.85528</v>
      </c>
      <c r="R3039">
        <v>7.32</v>
      </c>
      <c r="S3039">
        <v>28896</v>
      </c>
      <c r="T3039">
        <v>-9.6457099999999993</v>
      </c>
      <c r="U3039">
        <v>160.156194</v>
      </c>
    </row>
    <row r="3040" spans="1:21">
      <c r="A3040" t="s">
        <v>167</v>
      </c>
      <c r="B3040">
        <v>2006</v>
      </c>
      <c r="C3040">
        <v>2734.6383999999998</v>
      </c>
      <c r="D3040">
        <v>340.00000360000001</v>
      </c>
      <c r="E3040">
        <v>7.0000000000000007E-2</v>
      </c>
      <c r="F3040">
        <v>0</v>
      </c>
      <c r="G3040">
        <v>0</v>
      </c>
      <c r="H3040">
        <v>0</v>
      </c>
      <c r="I3040">
        <v>1.81</v>
      </c>
      <c r="J3040">
        <v>48.93</v>
      </c>
      <c r="K3040">
        <v>25</v>
      </c>
      <c r="L3040">
        <v>14.4</v>
      </c>
      <c r="M3040">
        <v>8.3000000000000007</v>
      </c>
      <c r="P3040">
        <v>4.8631239940000004</v>
      </c>
      <c r="Q3040">
        <v>1119.693297</v>
      </c>
      <c r="R3040">
        <v>7.11</v>
      </c>
      <c r="S3040">
        <v>28896</v>
      </c>
      <c r="T3040">
        <v>-9.6457099999999993</v>
      </c>
      <c r="U3040">
        <v>160.156194</v>
      </c>
    </row>
    <row r="3041" spans="1:21">
      <c r="A3041" t="s">
        <v>167</v>
      </c>
      <c r="B3041">
        <v>2007</v>
      </c>
      <c r="C3041">
        <v>2850.4816999999998</v>
      </c>
      <c r="D3041">
        <v>340.00000360000001</v>
      </c>
      <c r="E3041">
        <v>0.08</v>
      </c>
      <c r="F3041">
        <v>0</v>
      </c>
      <c r="G3041">
        <v>0</v>
      </c>
      <c r="H3041">
        <v>0</v>
      </c>
      <c r="I3041">
        <v>1.77</v>
      </c>
      <c r="J3041">
        <v>47.42</v>
      </c>
      <c r="K3041">
        <v>25</v>
      </c>
      <c r="L3041">
        <v>12.9</v>
      </c>
      <c r="M3041">
        <v>8.1999999999999993</v>
      </c>
      <c r="P3041">
        <v>4.4533169529999999</v>
      </c>
      <c r="Q3041">
        <v>1260.2894040000001</v>
      </c>
      <c r="R3041">
        <v>6.89</v>
      </c>
      <c r="S3041">
        <v>28896</v>
      </c>
      <c r="T3041">
        <v>-9.6457099999999993</v>
      </c>
      <c r="U3041">
        <v>160.156194</v>
      </c>
    </row>
    <row r="3042" spans="1:21">
      <c r="A3042" t="s">
        <v>167</v>
      </c>
      <c r="B3042">
        <v>2008</v>
      </c>
      <c r="C3042">
        <v>2828.8800999999999</v>
      </c>
      <c r="D3042">
        <v>319.99999279999997</v>
      </c>
      <c r="E3042">
        <v>0.08</v>
      </c>
      <c r="F3042">
        <v>0</v>
      </c>
      <c r="G3042">
        <v>0</v>
      </c>
      <c r="H3042">
        <v>0</v>
      </c>
      <c r="I3042">
        <v>1.73</v>
      </c>
      <c r="J3042">
        <v>46.69</v>
      </c>
      <c r="K3042">
        <v>25</v>
      </c>
      <c r="L3042">
        <v>28.103497000000001</v>
      </c>
      <c r="M3042">
        <v>8.1999999999999993</v>
      </c>
      <c r="O3042">
        <v>90000</v>
      </c>
      <c r="P3042">
        <v>5.8071155540000001</v>
      </c>
      <c r="Q3042">
        <v>1388.9638769999999</v>
      </c>
      <c r="R3042">
        <v>6.61</v>
      </c>
      <c r="S3042">
        <v>28896</v>
      </c>
      <c r="T3042">
        <v>-9.6457099999999993</v>
      </c>
      <c r="U3042">
        <v>160.156194</v>
      </c>
    </row>
    <row r="3043" spans="1:21">
      <c r="A3043" t="s">
        <v>167</v>
      </c>
      <c r="B3043">
        <v>2009</v>
      </c>
      <c r="C3043">
        <v>2862.0273000000002</v>
      </c>
      <c r="D3043">
        <v>330.00001309999999</v>
      </c>
      <c r="E3043">
        <v>0.08</v>
      </c>
      <c r="F3043">
        <v>0</v>
      </c>
      <c r="G3043">
        <v>0</v>
      </c>
      <c r="H3043">
        <v>0</v>
      </c>
      <c r="I3043">
        <v>1.69</v>
      </c>
      <c r="J3043">
        <v>45.79</v>
      </c>
      <c r="K3043">
        <v>25</v>
      </c>
      <c r="L3043">
        <v>21.2</v>
      </c>
      <c r="M3043">
        <v>8.1999999999999993</v>
      </c>
      <c r="O3043">
        <v>80000</v>
      </c>
      <c r="P3043">
        <v>2.556620814</v>
      </c>
      <c r="Q3043">
        <v>1428.5056729999999</v>
      </c>
      <c r="R3043">
        <v>6.59</v>
      </c>
      <c r="S3043">
        <v>28896</v>
      </c>
      <c r="T3043">
        <v>-9.6457099999999993</v>
      </c>
      <c r="U3043">
        <v>160.156194</v>
      </c>
    </row>
    <row r="3044" spans="1:21">
      <c r="A3044" t="s">
        <v>167</v>
      </c>
      <c r="B3044">
        <v>2010</v>
      </c>
      <c r="C3044">
        <v>2880.25</v>
      </c>
      <c r="D3044">
        <v>340.00000360000001</v>
      </c>
      <c r="E3044">
        <v>0.08</v>
      </c>
      <c r="F3044">
        <v>0</v>
      </c>
      <c r="G3044">
        <v>0</v>
      </c>
      <c r="H3044">
        <v>0</v>
      </c>
      <c r="I3044">
        <v>1.31</v>
      </c>
      <c r="J3044">
        <v>45.07</v>
      </c>
      <c r="K3044">
        <v>25</v>
      </c>
      <c r="L3044">
        <v>34.774807000000003</v>
      </c>
      <c r="M3044">
        <v>8.1</v>
      </c>
      <c r="P3044">
        <v>8.6167186020000006</v>
      </c>
      <c r="Q3044">
        <v>1604.2058300000001</v>
      </c>
      <c r="R3044">
        <v>6.19</v>
      </c>
      <c r="S3044">
        <v>28896</v>
      </c>
      <c r="T3044">
        <v>-9.6457099999999993</v>
      </c>
      <c r="U3044">
        <v>160.156194</v>
      </c>
    </row>
    <row r="3045" spans="1:21">
      <c r="A3045" t="s">
        <v>167</v>
      </c>
      <c r="B3045">
        <v>2011</v>
      </c>
      <c r="C3045">
        <v>2918.4324000000001</v>
      </c>
      <c r="D3045">
        <v>349.99999400000002</v>
      </c>
      <c r="E3045">
        <v>0.08</v>
      </c>
      <c r="F3045">
        <v>0</v>
      </c>
      <c r="G3045">
        <v>0</v>
      </c>
      <c r="H3045">
        <v>0</v>
      </c>
      <c r="I3045">
        <v>2.76</v>
      </c>
      <c r="J3045">
        <v>43.61</v>
      </c>
      <c r="K3045">
        <v>25</v>
      </c>
      <c r="L3045">
        <v>38.679993000000003</v>
      </c>
      <c r="M3045">
        <v>8.1999999999999993</v>
      </c>
      <c r="O3045">
        <v>10000</v>
      </c>
      <c r="P3045">
        <v>7.2720469000000003</v>
      </c>
      <c r="Q3045">
        <v>1938.8911869999999</v>
      </c>
      <c r="R3045">
        <v>5.93</v>
      </c>
      <c r="S3045">
        <v>28896</v>
      </c>
      <c r="T3045">
        <v>-9.6457099999999993</v>
      </c>
      <c r="U3045">
        <v>160.156194</v>
      </c>
    </row>
    <row r="3046" spans="1:21">
      <c r="A3046" t="s">
        <v>167</v>
      </c>
      <c r="B3046">
        <v>2012</v>
      </c>
      <c r="C3046">
        <v>2854.3516</v>
      </c>
      <c r="D3046">
        <v>349.99999400000002</v>
      </c>
      <c r="E3046">
        <v>0.08</v>
      </c>
      <c r="F3046">
        <v>0</v>
      </c>
      <c r="G3046">
        <v>0</v>
      </c>
      <c r="H3046">
        <v>0</v>
      </c>
      <c r="I3046">
        <v>2.68</v>
      </c>
      <c r="J3046">
        <v>43.82</v>
      </c>
      <c r="K3046">
        <v>25</v>
      </c>
      <c r="L3046">
        <v>42.574210000000001</v>
      </c>
      <c r="M3046">
        <v>8.1999999999999993</v>
      </c>
      <c r="O3046">
        <v>1090000</v>
      </c>
      <c r="P3046">
        <v>1.8604651160000001</v>
      </c>
      <c r="Q3046">
        <v>2141.8215220000002</v>
      </c>
      <c r="R3046">
        <v>5.82</v>
      </c>
      <c r="S3046">
        <v>28896</v>
      </c>
      <c r="T3046">
        <v>-9.6457099999999993</v>
      </c>
      <c r="U3046">
        <v>160.156194</v>
      </c>
    </row>
    <row r="3047" spans="1:21">
      <c r="A3047" t="s">
        <v>167</v>
      </c>
      <c r="B3047">
        <v>2013</v>
      </c>
      <c r="C3047">
        <v>2771.7654000000002</v>
      </c>
      <c r="D3047">
        <v>389.99998570000002</v>
      </c>
      <c r="E3047">
        <v>0.09</v>
      </c>
      <c r="F3047">
        <v>0</v>
      </c>
      <c r="G3047">
        <v>0</v>
      </c>
      <c r="H3047">
        <v>0</v>
      </c>
      <c r="I3047">
        <v>2.61</v>
      </c>
      <c r="J3047">
        <v>41.83</v>
      </c>
      <c r="K3047">
        <v>25</v>
      </c>
      <c r="L3047">
        <v>44.7</v>
      </c>
      <c r="M3047">
        <v>8.1999999999999993</v>
      </c>
      <c r="O3047">
        <v>10000</v>
      </c>
      <c r="P3047">
        <v>5.3310502279999996</v>
      </c>
      <c r="Q3047">
        <v>2248.6149350000001</v>
      </c>
      <c r="R3047">
        <v>5.85</v>
      </c>
      <c r="S3047">
        <v>28896</v>
      </c>
      <c r="T3047">
        <v>-9.6457099999999993</v>
      </c>
      <c r="U3047">
        <v>160.156194</v>
      </c>
    </row>
    <row r="3048" spans="1:21">
      <c r="A3048" t="s">
        <v>167</v>
      </c>
      <c r="B3048">
        <v>2014</v>
      </c>
      <c r="C3048">
        <v>2543.9602</v>
      </c>
      <c r="D3048">
        <v>340.00000360000001</v>
      </c>
      <c r="E3048">
        <v>0.09</v>
      </c>
      <c r="F3048">
        <v>0</v>
      </c>
      <c r="G3048">
        <v>0</v>
      </c>
      <c r="H3048">
        <v>0</v>
      </c>
      <c r="I3048">
        <v>3.53</v>
      </c>
      <c r="J3048">
        <v>45.89</v>
      </c>
      <c r="K3048">
        <v>25</v>
      </c>
      <c r="L3048">
        <v>50.306759999999997</v>
      </c>
      <c r="M3048">
        <v>8.4</v>
      </c>
      <c r="O3048">
        <v>13060000</v>
      </c>
      <c r="P3048">
        <v>1.051262599</v>
      </c>
      <c r="Q3048">
        <v>2274.887866</v>
      </c>
      <c r="R3048">
        <v>5.37</v>
      </c>
      <c r="S3048">
        <v>28896</v>
      </c>
      <c r="T3048">
        <v>-9.6457099999999993</v>
      </c>
      <c r="U3048">
        <v>160.156194</v>
      </c>
    </row>
    <row r="3049" spans="1:21">
      <c r="A3049" t="s">
        <v>167</v>
      </c>
      <c r="B3049">
        <v>2015</v>
      </c>
      <c r="C3049">
        <v>2266.2013999999999</v>
      </c>
      <c r="D3049">
        <v>310.00000240000003</v>
      </c>
      <c r="E3049">
        <v>0.09</v>
      </c>
      <c r="F3049">
        <v>0</v>
      </c>
      <c r="G3049">
        <v>0</v>
      </c>
      <c r="H3049">
        <v>0</v>
      </c>
      <c r="I3049">
        <v>3.44</v>
      </c>
      <c r="J3049">
        <v>48.64</v>
      </c>
      <c r="K3049">
        <v>25</v>
      </c>
      <c r="L3049">
        <v>55.1</v>
      </c>
      <c r="M3049">
        <v>8.4</v>
      </c>
      <c r="O3049">
        <v>6830000</v>
      </c>
      <c r="P3049">
        <v>1.4157014160000001</v>
      </c>
      <c r="Q3049">
        <v>2167.1199280000001</v>
      </c>
      <c r="R3049">
        <v>4.99</v>
      </c>
      <c r="S3049">
        <v>28896</v>
      </c>
      <c r="T3049">
        <v>-9.6457099999999993</v>
      </c>
      <c r="U3049">
        <v>160.156194</v>
      </c>
    </row>
    <row r="3050" spans="1:21">
      <c r="A3050" t="s">
        <v>167</v>
      </c>
      <c r="B3050">
        <v>2016</v>
      </c>
      <c r="C3050">
        <v>2124.6658000000002</v>
      </c>
      <c r="D3050">
        <v>360.00001429999998</v>
      </c>
      <c r="E3050">
        <v>0.1</v>
      </c>
      <c r="F3050">
        <v>0</v>
      </c>
      <c r="G3050">
        <v>0</v>
      </c>
      <c r="H3050">
        <v>0</v>
      </c>
      <c r="I3050">
        <v>5.26</v>
      </c>
      <c r="J3050">
        <v>48.7</v>
      </c>
      <c r="K3050">
        <v>25</v>
      </c>
      <c r="L3050">
        <v>58.327193999999999</v>
      </c>
      <c r="M3050">
        <v>8.6</v>
      </c>
      <c r="O3050">
        <v>7100000</v>
      </c>
      <c r="P3050">
        <v>5.8798646359999998</v>
      </c>
      <c r="Q3050">
        <v>2225.4868419999998</v>
      </c>
      <c r="R3050">
        <v>4.66</v>
      </c>
      <c r="S3050">
        <v>28896</v>
      </c>
      <c r="T3050">
        <v>-9.6457099999999993</v>
      </c>
      <c r="U3050">
        <v>160.156194</v>
      </c>
    </row>
    <row r="3051" spans="1:21">
      <c r="A3051" t="s">
        <v>167</v>
      </c>
      <c r="B3051">
        <v>2017</v>
      </c>
      <c r="C3051">
        <v>2061.4520000000002</v>
      </c>
      <c r="D3051">
        <v>349.99999400000002</v>
      </c>
      <c r="E3051">
        <v>0.1</v>
      </c>
      <c r="F3051">
        <v>0</v>
      </c>
      <c r="G3051">
        <v>0</v>
      </c>
      <c r="H3051">
        <v>0</v>
      </c>
      <c r="I3051">
        <v>5.71</v>
      </c>
      <c r="J3051">
        <v>48.98</v>
      </c>
      <c r="K3051">
        <v>25</v>
      </c>
      <c r="L3051">
        <v>62.9</v>
      </c>
      <c r="M3051">
        <v>8.6</v>
      </c>
      <c r="O3051">
        <v>163010000</v>
      </c>
      <c r="P3051">
        <v>5.3435876950000001</v>
      </c>
      <c r="Q3051">
        <v>2332.844216</v>
      </c>
      <c r="R3051">
        <v>4.4000000000000004</v>
      </c>
      <c r="S3051">
        <v>28896</v>
      </c>
      <c r="T3051">
        <v>-9.6457099999999993</v>
      </c>
      <c r="U3051">
        <v>160.156194</v>
      </c>
    </row>
    <row r="3052" spans="1:21">
      <c r="A3052" t="s">
        <v>167</v>
      </c>
      <c r="B3052">
        <v>2018</v>
      </c>
      <c r="C3052">
        <v>2107.6089999999999</v>
      </c>
      <c r="D3052">
        <v>360.00001429999998</v>
      </c>
      <c r="E3052">
        <v>0.1</v>
      </c>
      <c r="F3052">
        <v>0</v>
      </c>
      <c r="G3052">
        <v>0</v>
      </c>
      <c r="H3052">
        <v>0</v>
      </c>
      <c r="I3052">
        <v>5.56</v>
      </c>
      <c r="J3052">
        <v>48.64</v>
      </c>
      <c r="K3052">
        <v>25</v>
      </c>
      <c r="L3052">
        <v>66.179760000000002</v>
      </c>
      <c r="M3052">
        <v>8.9</v>
      </c>
      <c r="O3052">
        <v>20550000</v>
      </c>
      <c r="P3052">
        <v>3.9442495499999999</v>
      </c>
      <c r="Q3052">
        <v>2411.8629259999998</v>
      </c>
      <c r="R3052">
        <v>4.28</v>
      </c>
      <c r="S3052">
        <v>28896</v>
      </c>
      <c r="T3052">
        <v>-9.6457099999999993</v>
      </c>
      <c r="U3052">
        <v>160.156194</v>
      </c>
    </row>
    <row r="3053" spans="1:21">
      <c r="A3053" t="s">
        <v>167</v>
      </c>
      <c r="B3053">
        <v>2019</v>
      </c>
      <c r="C3053">
        <v>2027.3756000000001</v>
      </c>
      <c r="D3053">
        <v>360.00001429999998</v>
      </c>
      <c r="E3053">
        <v>0.1</v>
      </c>
      <c r="F3053">
        <v>0</v>
      </c>
      <c r="G3053">
        <v>0</v>
      </c>
      <c r="H3053">
        <v>0</v>
      </c>
      <c r="I3053">
        <v>5.42</v>
      </c>
      <c r="J3053">
        <v>48.39</v>
      </c>
      <c r="K3053">
        <v>25</v>
      </c>
      <c r="L3053">
        <v>69.809420000000003</v>
      </c>
      <c r="M3053">
        <v>9.1999999999999993</v>
      </c>
      <c r="O3053">
        <v>46400000</v>
      </c>
      <c r="P3053">
        <v>1.204049986</v>
      </c>
      <c r="Q3053">
        <v>2344.048976</v>
      </c>
      <c r="R3053">
        <v>4.2699999999999996</v>
      </c>
      <c r="S3053">
        <v>28896</v>
      </c>
      <c r="T3053">
        <v>-9.6457099999999993</v>
      </c>
      <c r="U3053">
        <v>160.156194</v>
      </c>
    </row>
    <row r="3054" spans="1:21">
      <c r="A3054" t="s">
        <v>167</v>
      </c>
      <c r="B3054">
        <v>2020</v>
      </c>
      <c r="C3054">
        <v>1877.3190999999999</v>
      </c>
      <c r="E3054">
        <v>0.1</v>
      </c>
      <c r="F3054">
        <v>0</v>
      </c>
      <c r="G3054">
        <v>0</v>
      </c>
      <c r="H3054">
        <v>0</v>
      </c>
      <c r="I3054">
        <v>5.28</v>
      </c>
      <c r="K3054">
        <v>25</v>
      </c>
      <c r="L3054">
        <v>73.34648</v>
      </c>
      <c r="M3054">
        <v>9.1</v>
      </c>
      <c r="P3054">
        <v>-4.3172600269999997</v>
      </c>
      <c r="Q3054">
        <v>2250.6011640000002</v>
      </c>
      <c r="S3054">
        <v>28896</v>
      </c>
      <c r="T3054">
        <v>-9.6457099999999993</v>
      </c>
      <c r="U3054">
        <v>160.156194</v>
      </c>
    </row>
    <row r="3055" spans="1:21">
      <c r="A3055" t="s">
        <v>168</v>
      </c>
      <c r="B3055">
        <v>2000</v>
      </c>
      <c r="C3055">
        <v>340.10217</v>
      </c>
      <c r="D3055">
        <v>490</v>
      </c>
      <c r="E3055">
        <v>0.23</v>
      </c>
      <c r="F3055">
        <v>0</v>
      </c>
      <c r="G3055">
        <v>0</v>
      </c>
      <c r="H3055">
        <v>0</v>
      </c>
      <c r="I3055">
        <v>0</v>
      </c>
      <c r="J3055">
        <v>93.28</v>
      </c>
      <c r="K3055">
        <v>25</v>
      </c>
      <c r="L3055">
        <v>1.8925012000000001</v>
      </c>
      <c r="M3055">
        <v>0.4</v>
      </c>
      <c r="R3055">
        <v>11.22</v>
      </c>
      <c r="S3055">
        <v>637657</v>
      </c>
      <c r="T3055">
        <v>5.1521489999999996</v>
      </c>
      <c r="U3055">
        <v>46.199615999999999</v>
      </c>
    </row>
    <row r="3056" spans="1:21">
      <c r="A3056" t="s">
        <v>168</v>
      </c>
      <c r="B3056">
        <v>2001</v>
      </c>
      <c r="C3056">
        <v>332.43317000000002</v>
      </c>
      <c r="D3056">
        <v>510</v>
      </c>
      <c r="E3056">
        <v>0.25</v>
      </c>
      <c r="F3056">
        <v>0</v>
      </c>
      <c r="G3056">
        <v>0</v>
      </c>
      <c r="H3056">
        <v>0</v>
      </c>
      <c r="I3056">
        <v>0</v>
      </c>
      <c r="J3056">
        <v>93.26</v>
      </c>
      <c r="K3056">
        <v>25</v>
      </c>
      <c r="L3056">
        <v>4.5046160000000004</v>
      </c>
      <c r="M3056">
        <v>0.4</v>
      </c>
      <c r="R3056">
        <v>11.32</v>
      </c>
      <c r="S3056">
        <v>637657</v>
      </c>
      <c r="T3056">
        <v>5.1521489999999996</v>
      </c>
      <c r="U3056">
        <v>46.199615999999999</v>
      </c>
    </row>
    <row r="3057" spans="1:21">
      <c r="A3057" t="s">
        <v>168</v>
      </c>
      <c r="B3057">
        <v>2002</v>
      </c>
      <c r="C3057">
        <v>346.37853999999999</v>
      </c>
      <c r="D3057">
        <v>569.99999279999997</v>
      </c>
      <c r="E3057">
        <v>0.26</v>
      </c>
      <c r="F3057">
        <v>0</v>
      </c>
      <c r="G3057">
        <v>0</v>
      </c>
      <c r="H3057">
        <v>0</v>
      </c>
      <c r="I3057">
        <v>0</v>
      </c>
      <c r="J3057">
        <v>92.58</v>
      </c>
      <c r="K3057">
        <v>25</v>
      </c>
      <c r="L3057">
        <v>7.4</v>
      </c>
      <c r="M3057">
        <v>0.5</v>
      </c>
      <c r="R3057">
        <v>11.39</v>
      </c>
      <c r="S3057">
        <v>637657</v>
      </c>
      <c r="T3057">
        <v>5.1521489999999996</v>
      </c>
      <c r="U3057">
        <v>46.199615999999999</v>
      </c>
    </row>
    <row r="3058" spans="1:21">
      <c r="A3058" t="s">
        <v>168</v>
      </c>
      <c r="B3058">
        <v>2003</v>
      </c>
      <c r="C3058">
        <v>334.05520000000001</v>
      </c>
      <c r="D3058">
        <v>579.99998330000005</v>
      </c>
      <c r="E3058">
        <v>0.26</v>
      </c>
      <c r="F3058">
        <v>0</v>
      </c>
      <c r="G3058">
        <v>0</v>
      </c>
      <c r="H3058">
        <v>0</v>
      </c>
      <c r="I3058">
        <v>0</v>
      </c>
      <c r="J3058">
        <v>92.8</v>
      </c>
      <c r="K3058">
        <v>25</v>
      </c>
      <c r="L3058">
        <v>9.7084410000000005</v>
      </c>
      <c r="M3058">
        <v>0.5</v>
      </c>
      <c r="R3058">
        <v>11.51</v>
      </c>
      <c r="S3058">
        <v>637657</v>
      </c>
      <c r="T3058">
        <v>5.1521489999999996</v>
      </c>
      <c r="U3058">
        <v>46.199615999999999</v>
      </c>
    </row>
    <row r="3059" spans="1:21">
      <c r="A3059" t="s">
        <v>168</v>
      </c>
      <c r="B3059">
        <v>2004</v>
      </c>
      <c r="C3059">
        <v>322.42703</v>
      </c>
      <c r="D3059">
        <v>579.99998330000005</v>
      </c>
      <c r="E3059">
        <v>0.26</v>
      </c>
      <c r="F3059">
        <v>0</v>
      </c>
      <c r="G3059">
        <v>0</v>
      </c>
      <c r="H3059">
        <v>0</v>
      </c>
      <c r="I3059">
        <v>0</v>
      </c>
      <c r="J3059">
        <v>93</v>
      </c>
      <c r="K3059">
        <v>25</v>
      </c>
      <c r="L3059">
        <v>12.30485</v>
      </c>
      <c r="M3059">
        <v>0.6</v>
      </c>
      <c r="R3059">
        <v>11.48</v>
      </c>
      <c r="S3059">
        <v>637657</v>
      </c>
      <c r="T3059">
        <v>5.1521489999999996</v>
      </c>
      <c r="U3059">
        <v>46.199615999999999</v>
      </c>
    </row>
    <row r="3060" spans="1:21">
      <c r="A3060" t="s">
        <v>168</v>
      </c>
      <c r="B3060">
        <v>2005</v>
      </c>
      <c r="C3060">
        <v>314.66332999999997</v>
      </c>
      <c r="D3060">
        <v>579.99998330000005</v>
      </c>
      <c r="E3060">
        <v>0.27</v>
      </c>
      <c r="F3060">
        <v>0</v>
      </c>
      <c r="G3060">
        <v>0</v>
      </c>
      <c r="H3060">
        <v>0</v>
      </c>
      <c r="I3060">
        <v>0</v>
      </c>
      <c r="J3060">
        <v>93.3</v>
      </c>
      <c r="K3060">
        <v>25</v>
      </c>
      <c r="L3060">
        <v>14.900722</v>
      </c>
      <c r="M3060">
        <v>0.6</v>
      </c>
      <c r="R3060">
        <v>11.47</v>
      </c>
      <c r="S3060">
        <v>637657</v>
      </c>
      <c r="T3060">
        <v>5.1521489999999996</v>
      </c>
      <c r="U3060">
        <v>46.199615999999999</v>
      </c>
    </row>
    <row r="3061" spans="1:21">
      <c r="A3061" t="s">
        <v>168</v>
      </c>
      <c r="B3061">
        <v>2006</v>
      </c>
      <c r="C3061">
        <v>307.72528</v>
      </c>
      <c r="D3061">
        <v>579.99998330000005</v>
      </c>
      <c r="E3061">
        <v>0.28000000000000003</v>
      </c>
      <c r="F3061">
        <v>0</v>
      </c>
      <c r="G3061">
        <v>0</v>
      </c>
      <c r="H3061">
        <v>0</v>
      </c>
      <c r="I3061">
        <v>0</v>
      </c>
      <c r="J3061">
        <v>93.47</v>
      </c>
      <c r="K3061">
        <v>25</v>
      </c>
      <c r="L3061">
        <v>15.233786</v>
      </c>
      <c r="M3061">
        <v>0.7</v>
      </c>
      <c r="R3061">
        <v>11.6</v>
      </c>
      <c r="S3061">
        <v>637657</v>
      </c>
      <c r="T3061">
        <v>5.1521489999999996</v>
      </c>
      <c r="U3061">
        <v>46.199615999999999</v>
      </c>
    </row>
    <row r="3062" spans="1:21">
      <c r="A3062" t="s">
        <v>168</v>
      </c>
      <c r="B3062">
        <v>2007</v>
      </c>
      <c r="C3062">
        <v>302.79349999999999</v>
      </c>
      <c r="D3062">
        <v>620.00000480000006</v>
      </c>
      <c r="E3062">
        <v>0.28999999999999998</v>
      </c>
      <c r="F3062">
        <v>0</v>
      </c>
      <c r="G3062">
        <v>0</v>
      </c>
      <c r="H3062">
        <v>0</v>
      </c>
      <c r="I3062">
        <v>0</v>
      </c>
      <c r="J3062">
        <v>93.02</v>
      </c>
      <c r="K3062">
        <v>25</v>
      </c>
      <c r="L3062">
        <v>20.100733000000002</v>
      </c>
      <c r="M3062">
        <v>0.7</v>
      </c>
      <c r="R3062">
        <v>11.53</v>
      </c>
      <c r="S3062">
        <v>637657</v>
      </c>
      <c r="T3062">
        <v>5.1521489999999996</v>
      </c>
      <c r="U3062">
        <v>46.199615999999999</v>
      </c>
    </row>
    <row r="3063" spans="1:21">
      <c r="A3063" t="s">
        <v>168</v>
      </c>
      <c r="B3063">
        <v>2008</v>
      </c>
      <c r="C3063">
        <v>291.03379999999999</v>
      </c>
      <c r="D3063">
        <v>620.00000480000006</v>
      </c>
      <c r="E3063">
        <v>0.3</v>
      </c>
      <c r="F3063">
        <v>0</v>
      </c>
      <c r="G3063">
        <v>0</v>
      </c>
      <c r="H3063">
        <v>0</v>
      </c>
      <c r="I3063">
        <v>0</v>
      </c>
      <c r="J3063">
        <v>93.37</v>
      </c>
      <c r="K3063">
        <v>25</v>
      </c>
      <c r="L3063">
        <v>22.710229999999999</v>
      </c>
      <c r="M3063">
        <v>0.8</v>
      </c>
      <c r="R3063">
        <v>11.74</v>
      </c>
      <c r="S3063">
        <v>637657</v>
      </c>
      <c r="T3063">
        <v>5.1521489999999996</v>
      </c>
      <c r="U3063">
        <v>46.199615999999999</v>
      </c>
    </row>
    <row r="3064" spans="1:21">
      <c r="A3064" t="s">
        <v>168</v>
      </c>
      <c r="B3064">
        <v>2009</v>
      </c>
      <c r="C3064">
        <v>283.20413000000002</v>
      </c>
      <c r="D3064">
        <v>610.00001429999998</v>
      </c>
      <c r="E3064">
        <v>0.31</v>
      </c>
      <c r="F3064">
        <v>0</v>
      </c>
      <c r="G3064">
        <v>0</v>
      </c>
      <c r="H3064">
        <v>0</v>
      </c>
      <c r="I3064">
        <v>0</v>
      </c>
      <c r="J3064">
        <v>93.63</v>
      </c>
      <c r="K3064">
        <v>25</v>
      </c>
      <c r="L3064">
        <v>25.329666</v>
      </c>
      <c r="M3064">
        <v>1</v>
      </c>
      <c r="R3064">
        <v>11.82</v>
      </c>
      <c r="S3064">
        <v>637657</v>
      </c>
      <c r="T3064">
        <v>5.1521489999999996</v>
      </c>
      <c r="U3064">
        <v>46.199615999999999</v>
      </c>
    </row>
    <row r="3065" spans="1:21">
      <c r="A3065" t="s">
        <v>168</v>
      </c>
      <c r="B3065">
        <v>2010</v>
      </c>
      <c r="C3065">
        <v>283.12299999999999</v>
      </c>
      <c r="D3065">
        <v>629.99999519999994</v>
      </c>
      <c r="E3065">
        <v>0.31</v>
      </c>
      <c r="F3065">
        <v>0</v>
      </c>
      <c r="G3065">
        <v>0</v>
      </c>
      <c r="H3065">
        <v>0</v>
      </c>
      <c r="I3065">
        <v>0</v>
      </c>
      <c r="J3065">
        <v>93.57</v>
      </c>
      <c r="K3065">
        <v>25</v>
      </c>
      <c r="L3065">
        <v>52.163345</v>
      </c>
      <c r="M3065">
        <v>1.1000000000000001</v>
      </c>
      <c r="R3065">
        <v>11.87</v>
      </c>
      <c r="S3065">
        <v>637657</v>
      </c>
      <c r="T3065">
        <v>5.1521489999999996</v>
      </c>
      <c r="U3065">
        <v>46.199615999999999</v>
      </c>
    </row>
    <row r="3066" spans="1:21">
      <c r="A3066" t="s">
        <v>168</v>
      </c>
      <c r="B3066">
        <v>2011</v>
      </c>
      <c r="C3066">
        <v>278.71530000000001</v>
      </c>
      <c r="D3066">
        <v>629.99999519999994</v>
      </c>
      <c r="E3066">
        <v>0.31</v>
      </c>
      <c r="F3066">
        <v>0</v>
      </c>
      <c r="G3066">
        <v>0</v>
      </c>
      <c r="H3066">
        <v>0</v>
      </c>
      <c r="I3066">
        <v>0</v>
      </c>
      <c r="J3066">
        <v>93.65</v>
      </c>
      <c r="K3066">
        <v>25</v>
      </c>
      <c r="L3066">
        <v>51.968113000000002</v>
      </c>
      <c r="M3066">
        <v>1.3</v>
      </c>
      <c r="R3066">
        <v>11.79</v>
      </c>
      <c r="S3066">
        <v>637657</v>
      </c>
      <c r="T3066">
        <v>5.1521489999999996</v>
      </c>
      <c r="U3066">
        <v>46.199615999999999</v>
      </c>
    </row>
    <row r="3067" spans="1:21">
      <c r="A3067" t="s">
        <v>168</v>
      </c>
      <c r="B3067">
        <v>2012</v>
      </c>
      <c r="C3067">
        <v>274.60494999999997</v>
      </c>
      <c r="D3067">
        <v>629.99999519999994</v>
      </c>
      <c r="E3067">
        <v>0.32</v>
      </c>
      <c r="F3067">
        <v>0</v>
      </c>
      <c r="G3067">
        <v>0</v>
      </c>
      <c r="H3067">
        <v>0</v>
      </c>
      <c r="I3067">
        <v>0.17</v>
      </c>
      <c r="J3067">
        <v>93.9</v>
      </c>
      <c r="K3067">
        <v>25</v>
      </c>
      <c r="L3067">
        <v>51.761916999999997</v>
      </c>
      <c r="M3067">
        <v>1.4</v>
      </c>
      <c r="R3067">
        <v>11.68</v>
      </c>
      <c r="S3067">
        <v>637657</v>
      </c>
      <c r="T3067">
        <v>5.1521489999999996</v>
      </c>
      <c r="U3067">
        <v>46.199615999999999</v>
      </c>
    </row>
    <row r="3068" spans="1:21">
      <c r="A3068" t="s">
        <v>168</v>
      </c>
      <c r="B3068">
        <v>2013</v>
      </c>
      <c r="C3068">
        <v>265.80110000000002</v>
      </c>
      <c r="D3068">
        <v>649.99997619999999</v>
      </c>
      <c r="E3068">
        <v>0.33</v>
      </c>
      <c r="F3068">
        <v>0</v>
      </c>
      <c r="G3068">
        <v>0</v>
      </c>
      <c r="H3068">
        <v>0</v>
      </c>
      <c r="I3068">
        <v>0.17</v>
      </c>
      <c r="J3068">
        <v>94.4</v>
      </c>
      <c r="K3068">
        <v>25</v>
      </c>
      <c r="L3068">
        <v>51.533790000000003</v>
      </c>
      <c r="M3068">
        <v>1.6</v>
      </c>
      <c r="O3068">
        <v>3340000</v>
      </c>
      <c r="Q3068">
        <v>350.16816180000001</v>
      </c>
      <c r="R3068">
        <v>11.95</v>
      </c>
      <c r="S3068">
        <v>637657</v>
      </c>
      <c r="T3068">
        <v>5.1521489999999996</v>
      </c>
      <c r="U3068">
        <v>46.199615999999999</v>
      </c>
    </row>
    <row r="3069" spans="1:21">
      <c r="A3069" t="s">
        <v>168</v>
      </c>
      <c r="B3069">
        <v>2014</v>
      </c>
      <c r="C3069">
        <v>256.69754</v>
      </c>
      <c r="D3069">
        <v>649.99997619999999</v>
      </c>
      <c r="E3069">
        <v>0.33</v>
      </c>
      <c r="F3069">
        <v>0</v>
      </c>
      <c r="G3069">
        <v>0</v>
      </c>
      <c r="H3069">
        <v>0</v>
      </c>
      <c r="I3069">
        <v>0.17</v>
      </c>
      <c r="J3069">
        <v>94.64</v>
      </c>
      <c r="K3069">
        <v>25</v>
      </c>
      <c r="L3069">
        <v>51.293635999999999</v>
      </c>
      <c r="M3069">
        <v>1.8</v>
      </c>
      <c r="P3069">
        <v>7.507100039</v>
      </c>
      <c r="Q3069">
        <v>374.11478069999998</v>
      </c>
      <c r="R3069">
        <v>11.74</v>
      </c>
      <c r="S3069">
        <v>637657</v>
      </c>
      <c r="T3069">
        <v>5.1521489999999996</v>
      </c>
      <c r="U3069">
        <v>46.199615999999999</v>
      </c>
    </row>
    <row r="3070" spans="1:21">
      <c r="A3070" t="s">
        <v>168</v>
      </c>
      <c r="B3070">
        <v>2015</v>
      </c>
      <c r="C3070">
        <v>257.54523</v>
      </c>
      <c r="D3070">
        <v>649.99997619999999</v>
      </c>
      <c r="E3070">
        <v>0.33</v>
      </c>
      <c r="F3070">
        <v>0</v>
      </c>
      <c r="G3070">
        <v>0</v>
      </c>
      <c r="H3070">
        <v>0</v>
      </c>
      <c r="I3070">
        <v>0.22</v>
      </c>
      <c r="J3070">
        <v>94.5</v>
      </c>
      <c r="K3070">
        <v>25</v>
      </c>
      <c r="L3070">
        <v>51.134860000000003</v>
      </c>
      <c r="M3070">
        <v>2</v>
      </c>
      <c r="O3070">
        <v>310000</v>
      </c>
      <c r="P3070">
        <v>14.895301419999999</v>
      </c>
      <c r="Q3070">
        <v>386.437817</v>
      </c>
      <c r="R3070">
        <v>11.35</v>
      </c>
      <c r="S3070">
        <v>637657</v>
      </c>
      <c r="T3070">
        <v>5.1521489999999996</v>
      </c>
      <c r="U3070">
        <v>46.199615999999999</v>
      </c>
    </row>
    <row r="3071" spans="1:21">
      <c r="A3071" t="s">
        <v>168</v>
      </c>
      <c r="B3071">
        <v>2016</v>
      </c>
      <c r="C3071">
        <v>253.76219</v>
      </c>
      <c r="D3071">
        <v>660.00002619999998</v>
      </c>
      <c r="E3071">
        <v>0.33</v>
      </c>
      <c r="F3071">
        <v>0</v>
      </c>
      <c r="G3071">
        <v>0.01</v>
      </c>
      <c r="H3071">
        <v>2.9411763999999998</v>
      </c>
      <c r="I3071">
        <v>0.53</v>
      </c>
      <c r="J3071">
        <v>94.78</v>
      </c>
      <c r="K3071">
        <v>25</v>
      </c>
      <c r="L3071">
        <v>51.113235000000003</v>
      </c>
      <c r="M3071">
        <v>2.2999999999999998</v>
      </c>
      <c r="O3071">
        <v>800000</v>
      </c>
      <c r="P3071">
        <v>8.3993457809999992</v>
      </c>
      <c r="Q3071">
        <v>389.82206150000002</v>
      </c>
      <c r="R3071">
        <v>11.61</v>
      </c>
      <c r="S3071">
        <v>637657</v>
      </c>
      <c r="T3071">
        <v>5.1521489999999996</v>
      </c>
      <c r="U3071">
        <v>46.199615999999999</v>
      </c>
    </row>
    <row r="3072" spans="1:21">
      <c r="A3072" t="s">
        <v>168</v>
      </c>
      <c r="B3072">
        <v>2017</v>
      </c>
      <c r="C3072">
        <v>244.04947000000001</v>
      </c>
      <c r="D3072">
        <v>660.00002619999998</v>
      </c>
      <c r="E3072">
        <v>0.33</v>
      </c>
      <c r="F3072">
        <v>0</v>
      </c>
      <c r="G3072">
        <v>0.02</v>
      </c>
      <c r="H3072">
        <v>5.7142860000000004</v>
      </c>
      <c r="I3072">
        <v>0.72</v>
      </c>
      <c r="J3072">
        <v>94.9</v>
      </c>
      <c r="K3072">
        <v>25</v>
      </c>
      <c r="L3072">
        <v>52.1</v>
      </c>
      <c r="M3072">
        <v>2.4</v>
      </c>
      <c r="O3072">
        <v>20000</v>
      </c>
      <c r="P3072">
        <v>2.592560223</v>
      </c>
      <c r="Q3072">
        <v>384.46340140000001</v>
      </c>
      <c r="R3072">
        <v>11.73</v>
      </c>
      <c r="S3072">
        <v>637657</v>
      </c>
      <c r="T3072">
        <v>5.1521489999999996</v>
      </c>
      <c r="U3072">
        <v>46.199615999999999</v>
      </c>
    </row>
    <row r="3073" spans="1:21">
      <c r="A3073" t="s">
        <v>168</v>
      </c>
      <c r="B3073">
        <v>2018</v>
      </c>
      <c r="C3073">
        <v>236.28375</v>
      </c>
      <c r="D3073">
        <v>660.00002619999998</v>
      </c>
      <c r="E3073">
        <v>0.33</v>
      </c>
      <c r="F3073">
        <v>0</v>
      </c>
      <c r="G3073">
        <v>0.02</v>
      </c>
      <c r="H3073">
        <v>5.7142860000000004</v>
      </c>
      <c r="I3073">
        <v>0.71</v>
      </c>
      <c r="J3073">
        <v>94.93</v>
      </c>
      <c r="K3073">
        <v>25</v>
      </c>
      <c r="L3073">
        <v>50.764977000000002</v>
      </c>
      <c r="M3073">
        <v>2.7</v>
      </c>
      <c r="O3073">
        <v>3210000</v>
      </c>
      <c r="P3073">
        <v>7.678879802</v>
      </c>
      <c r="Q3073">
        <v>389.83139549999999</v>
      </c>
      <c r="R3073">
        <v>11.69</v>
      </c>
      <c r="S3073">
        <v>637657</v>
      </c>
      <c r="T3073">
        <v>5.1521489999999996</v>
      </c>
      <c r="U3073">
        <v>46.199615999999999</v>
      </c>
    </row>
    <row r="3074" spans="1:21">
      <c r="A3074" t="s">
        <v>168</v>
      </c>
      <c r="B3074">
        <v>2019</v>
      </c>
      <c r="C3074">
        <v>227.57283000000001</v>
      </c>
      <c r="D3074">
        <v>689.99999760000003</v>
      </c>
      <c r="E3074">
        <v>0.33</v>
      </c>
      <c r="F3074">
        <v>0</v>
      </c>
      <c r="G3074">
        <v>0.02</v>
      </c>
      <c r="H3074">
        <v>5.7142860000000004</v>
      </c>
      <c r="I3074">
        <v>0.69</v>
      </c>
      <c r="J3074">
        <v>95.03</v>
      </c>
      <c r="K3074">
        <v>25</v>
      </c>
      <c r="L3074">
        <v>49.2</v>
      </c>
      <c r="M3074">
        <v>2.9</v>
      </c>
      <c r="O3074">
        <v>21490000</v>
      </c>
      <c r="P3074">
        <v>8.0814400220000007</v>
      </c>
      <c r="Q3074">
        <v>419.3948077</v>
      </c>
      <c r="R3074">
        <v>11.64</v>
      </c>
      <c r="S3074">
        <v>637657</v>
      </c>
      <c r="T3074">
        <v>5.1521489999999996</v>
      </c>
      <c r="U3074">
        <v>46.199615999999999</v>
      </c>
    </row>
    <row r="3075" spans="1:21">
      <c r="A3075" t="s">
        <v>168</v>
      </c>
      <c r="B3075">
        <v>2020</v>
      </c>
      <c r="C3075">
        <v>212.09577999999999</v>
      </c>
      <c r="E3075">
        <v>0.35</v>
      </c>
      <c r="F3075">
        <v>0</v>
      </c>
      <c r="G3075">
        <v>0.03</v>
      </c>
      <c r="H3075">
        <v>7.8947370000000001</v>
      </c>
      <c r="I3075">
        <v>1.64</v>
      </c>
      <c r="K3075">
        <v>25</v>
      </c>
      <c r="L3075">
        <v>49.730870000000003</v>
      </c>
      <c r="M3075">
        <v>3.2</v>
      </c>
      <c r="P3075">
        <v>2.4402109730000001</v>
      </c>
      <c r="Q3075">
        <v>438.2551656</v>
      </c>
      <c r="S3075">
        <v>637657</v>
      </c>
      <c r="T3075">
        <v>5.1521489999999996</v>
      </c>
      <c r="U3075">
        <v>46.199615999999999</v>
      </c>
    </row>
    <row r="3076" spans="1:21">
      <c r="A3076" t="s">
        <v>169</v>
      </c>
      <c r="B3076">
        <v>2000</v>
      </c>
      <c r="C3076">
        <v>25321.518</v>
      </c>
      <c r="D3076">
        <v>284660</v>
      </c>
      <c r="E3076">
        <v>181.67</v>
      </c>
      <c r="F3076">
        <v>13.01</v>
      </c>
      <c r="G3076">
        <v>1.79</v>
      </c>
      <c r="H3076">
        <v>7.5329566000000003</v>
      </c>
      <c r="I3076">
        <v>27.76</v>
      </c>
      <c r="J3076">
        <v>16.25</v>
      </c>
      <c r="K3076">
        <v>49</v>
      </c>
      <c r="L3076">
        <v>72.28246</v>
      </c>
      <c r="M3076">
        <v>55.9</v>
      </c>
      <c r="N3076">
        <v>0.40555847</v>
      </c>
      <c r="O3076">
        <v>7020000</v>
      </c>
      <c r="P3076">
        <v>4.2000000010000003</v>
      </c>
      <c r="Q3076">
        <v>3374.7184229999998</v>
      </c>
      <c r="R3076">
        <v>10.07</v>
      </c>
      <c r="S3076">
        <v>1219090</v>
      </c>
      <c r="T3076">
        <v>-30.559481999999999</v>
      </c>
      <c r="U3076">
        <v>22.937505999999999</v>
      </c>
    </row>
    <row r="3077" spans="1:21">
      <c r="A3077" t="s">
        <v>169</v>
      </c>
      <c r="B3077">
        <v>2001</v>
      </c>
      <c r="C3077">
        <v>25228.530999999999</v>
      </c>
      <c r="D3077">
        <v>320540</v>
      </c>
      <c r="E3077">
        <v>183.36</v>
      </c>
      <c r="F3077">
        <v>10.72</v>
      </c>
      <c r="G3077">
        <v>2.46</v>
      </c>
      <c r="H3077">
        <v>6.7060139999999997</v>
      </c>
      <c r="I3077">
        <v>28.16</v>
      </c>
      <c r="J3077">
        <v>15.62</v>
      </c>
      <c r="K3077">
        <v>49</v>
      </c>
      <c r="L3077">
        <v>70.2</v>
      </c>
      <c r="M3077">
        <v>57.8</v>
      </c>
      <c r="N3077">
        <v>0.54033450000000005</v>
      </c>
      <c r="O3077">
        <v>1240000</v>
      </c>
      <c r="P3077">
        <v>2.7</v>
      </c>
      <c r="Q3077">
        <v>2971.8197690000002</v>
      </c>
      <c r="R3077">
        <v>9.48</v>
      </c>
      <c r="S3077">
        <v>1219090</v>
      </c>
      <c r="T3077">
        <v>-30.559481999999999</v>
      </c>
      <c r="U3077">
        <v>22.937505999999999</v>
      </c>
    </row>
    <row r="3078" spans="1:21">
      <c r="A3078" t="s">
        <v>169</v>
      </c>
      <c r="B3078">
        <v>2002</v>
      </c>
      <c r="C3078">
        <v>24361.893</v>
      </c>
      <c r="D3078">
        <v>331320.0073</v>
      </c>
      <c r="E3078">
        <v>188.79</v>
      </c>
      <c r="F3078">
        <v>11.99</v>
      </c>
      <c r="G3078">
        <v>2.81</v>
      </c>
      <c r="H3078">
        <v>7.2695119999999998</v>
      </c>
      <c r="I3078">
        <v>27.88</v>
      </c>
      <c r="J3078">
        <v>13.88</v>
      </c>
      <c r="K3078">
        <v>49</v>
      </c>
      <c r="L3078">
        <v>76.7</v>
      </c>
      <c r="M3078">
        <v>60</v>
      </c>
      <c r="N3078">
        <v>0.65354025000000004</v>
      </c>
      <c r="O3078">
        <v>25560000</v>
      </c>
      <c r="P3078">
        <v>3.7003744040000002</v>
      </c>
      <c r="Q3078">
        <v>2797.0872909999998</v>
      </c>
      <c r="R3078">
        <v>8.67</v>
      </c>
      <c r="S3078">
        <v>1219090</v>
      </c>
      <c r="T3078">
        <v>-30.559481999999999</v>
      </c>
      <c r="U3078">
        <v>22.937505999999999</v>
      </c>
    </row>
    <row r="3079" spans="1:21">
      <c r="A3079" t="s">
        <v>169</v>
      </c>
      <c r="B3079">
        <v>2003</v>
      </c>
      <c r="C3079">
        <v>26150.76</v>
      </c>
      <c r="D3079">
        <v>353089.9963</v>
      </c>
      <c r="E3079">
        <v>204.39</v>
      </c>
      <c r="F3079">
        <v>12.66</v>
      </c>
      <c r="G3079">
        <v>1.19</v>
      </c>
      <c r="H3079">
        <v>6.3462243000000003</v>
      </c>
      <c r="I3079">
        <v>33.96</v>
      </c>
      <c r="J3079">
        <v>13.05</v>
      </c>
      <c r="K3079">
        <v>49</v>
      </c>
      <c r="L3079">
        <v>78.8</v>
      </c>
      <c r="M3079">
        <v>62.1</v>
      </c>
      <c r="N3079">
        <v>0.29897629999999997</v>
      </c>
      <c r="P3079">
        <v>2.9490754680000002</v>
      </c>
      <c r="Q3079">
        <v>4217.1147799999999</v>
      </c>
      <c r="R3079">
        <v>9.48</v>
      </c>
      <c r="S3079">
        <v>1219090</v>
      </c>
      <c r="T3079">
        <v>-30.559481999999999</v>
      </c>
      <c r="U3079">
        <v>22.937505999999999</v>
      </c>
    </row>
    <row r="3080" spans="1:21">
      <c r="A3080" t="s">
        <v>169</v>
      </c>
      <c r="B3080">
        <v>2004</v>
      </c>
      <c r="C3080">
        <v>28271.896000000001</v>
      </c>
      <c r="D3080">
        <v>379989.9902</v>
      </c>
      <c r="E3080">
        <v>212.63</v>
      </c>
      <c r="F3080">
        <v>14.28</v>
      </c>
      <c r="G3080">
        <v>1.33</v>
      </c>
      <c r="H3080">
        <v>6.8392916000000001</v>
      </c>
      <c r="I3080">
        <v>20.04</v>
      </c>
      <c r="J3080">
        <v>12.29</v>
      </c>
      <c r="K3080">
        <v>49</v>
      </c>
      <c r="L3080">
        <v>80.900000000000006</v>
      </c>
      <c r="M3080">
        <v>64.400000000000006</v>
      </c>
      <c r="N3080">
        <v>0.29398482999999997</v>
      </c>
      <c r="O3080">
        <v>40000</v>
      </c>
      <c r="P3080">
        <v>4.5545599069999998</v>
      </c>
      <c r="Q3080">
        <v>5409.1334889999998</v>
      </c>
      <c r="R3080">
        <v>9.8800000000000008</v>
      </c>
      <c r="S3080">
        <v>1219090</v>
      </c>
      <c r="T3080">
        <v>-30.559481999999999</v>
      </c>
      <c r="U3080">
        <v>22.937505999999999</v>
      </c>
    </row>
    <row r="3081" spans="1:21">
      <c r="A3081" t="s">
        <v>169</v>
      </c>
      <c r="B3081">
        <v>2005</v>
      </c>
      <c r="C3081">
        <v>26508.63</v>
      </c>
      <c r="D3081">
        <v>377649.9939</v>
      </c>
      <c r="E3081">
        <v>215.23</v>
      </c>
      <c r="F3081">
        <v>12.24</v>
      </c>
      <c r="G3081">
        <v>1.75</v>
      </c>
      <c r="H3081">
        <v>6.103307</v>
      </c>
      <c r="I3081">
        <v>19.79</v>
      </c>
      <c r="J3081">
        <v>10.98</v>
      </c>
      <c r="K3081">
        <v>49</v>
      </c>
      <c r="L3081">
        <v>80.8</v>
      </c>
      <c r="M3081">
        <v>66.8</v>
      </c>
      <c r="N3081">
        <v>0.40433392000000001</v>
      </c>
      <c r="O3081">
        <v>13110000</v>
      </c>
      <c r="P3081">
        <v>5.2770519729999998</v>
      </c>
      <c r="Q3081">
        <v>6033.1014910000004</v>
      </c>
      <c r="R3081">
        <v>9.0299999999999994</v>
      </c>
      <c r="S3081">
        <v>1219090</v>
      </c>
      <c r="T3081">
        <v>-30.559481999999999</v>
      </c>
      <c r="U3081">
        <v>22.937505999999999</v>
      </c>
    </row>
    <row r="3082" spans="1:21">
      <c r="A3082" t="s">
        <v>169</v>
      </c>
      <c r="B3082">
        <v>2006</v>
      </c>
      <c r="C3082">
        <v>26793.563999999998</v>
      </c>
      <c r="D3082">
        <v>379790.0085</v>
      </c>
      <c r="E3082">
        <v>223.25</v>
      </c>
      <c r="F3082">
        <v>10.07</v>
      </c>
      <c r="G3082">
        <v>3.28</v>
      </c>
      <c r="H3082">
        <v>5.6424339999999997</v>
      </c>
      <c r="I3082">
        <v>19.54</v>
      </c>
      <c r="J3082">
        <v>10.74</v>
      </c>
      <c r="K3082">
        <v>49</v>
      </c>
      <c r="L3082">
        <v>80.7</v>
      </c>
      <c r="M3082">
        <v>69</v>
      </c>
      <c r="N3082">
        <v>0.72594017</v>
      </c>
      <c r="O3082">
        <v>7770000</v>
      </c>
      <c r="P3082">
        <v>5.6038064590000003</v>
      </c>
      <c r="Q3082">
        <v>6266.5339869999998</v>
      </c>
      <c r="R3082">
        <v>8.7200000000000006</v>
      </c>
      <c r="S3082">
        <v>1219090</v>
      </c>
      <c r="T3082">
        <v>-30.559481999999999</v>
      </c>
      <c r="U3082">
        <v>22.937505999999999</v>
      </c>
    </row>
    <row r="3083" spans="1:21">
      <c r="A3083" t="s">
        <v>169</v>
      </c>
      <c r="B3083">
        <v>2007</v>
      </c>
      <c r="C3083">
        <v>27245.98</v>
      </c>
      <c r="D3083">
        <v>397059.9976</v>
      </c>
      <c r="E3083">
        <v>232.91</v>
      </c>
      <c r="F3083">
        <v>12.6</v>
      </c>
      <c r="G3083">
        <v>1.3</v>
      </c>
      <c r="H3083">
        <v>5.6318625999999998</v>
      </c>
      <c r="I3083">
        <v>19.38</v>
      </c>
      <c r="J3083">
        <v>10.36</v>
      </c>
      <c r="K3083">
        <v>49</v>
      </c>
      <c r="L3083">
        <v>82</v>
      </c>
      <c r="M3083">
        <v>71.400000000000006</v>
      </c>
      <c r="N3083">
        <v>0.70238940000000005</v>
      </c>
      <c r="O3083">
        <v>1150000</v>
      </c>
      <c r="P3083">
        <v>5.360474054</v>
      </c>
      <c r="Q3083">
        <v>6780.8845549999996</v>
      </c>
      <c r="R3083">
        <v>9.01</v>
      </c>
      <c r="S3083">
        <v>1219090</v>
      </c>
      <c r="T3083">
        <v>-30.559481999999999</v>
      </c>
      <c r="U3083">
        <v>22.937505999999999</v>
      </c>
    </row>
    <row r="3084" spans="1:21">
      <c r="A3084" t="s">
        <v>169</v>
      </c>
      <c r="B3084">
        <v>2008</v>
      </c>
      <c r="C3084">
        <v>28867.243999999999</v>
      </c>
      <c r="D3084">
        <v>426739.9902</v>
      </c>
      <c r="E3084">
        <v>226.32</v>
      </c>
      <c r="F3084">
        <v>12.75</v>
      </c>
      <c r="G3084">
        <v>1.66</v>
      </c>
      <c r="H3084">
        <v>5.9859594999999999</v>
      </c>
      <c r="I3084">
        <v>19.23</v>
      </c>
      <c r="J3084">
        <v>11.55</v>
      </c>
      <c r="K3084">
        <v>49</v>
      </c>
      <c r="L3084">
        <v>81.900000000000006</v>
      </c>
      <c r="M3084">
        <v>73.5</v>
      </c>
      <c r="N3084">
        <v>0.35045083999999999</v>
      </c>
      <c r="O3084">
        <v>1170000</v>
      </c>
      <c r="P3084">
        <v>3.1910438860000001</v>
      </c>
      <c r="Q3084">
        <v>6350.6527100000003</v>
      </c>
      <c r="R3084">
        <v>9.4700000000000006</v>
      </c>
      <c r="S3084">
        <v>1219090</v>
      </c>
      <c r="T3084">
        <v>-30.559481999999999</v>
      </c>
      <c r="U3084">
        <v>22.937505999999999</v>
      </c>
    </row>
    <row r="3085" spans="1:21">
      <c r="A3085" t="s">
        <v>169</v>
      </c>
      <c r="B3085">
        <v>2009</v>
      </c>
      <c r="C3085">
        <v>28399.282999999999</v>
      </c>
      <c r="D3085">
        <v>404200.0122</v>
      </c>
      <c r="E3085">
        <v>218.17</v>
      </c>
      <c r="F3085">
        <v>11.57</v>
      </c>
      <c r="G3085">
        <v>1.86</v>
      </c>
      <c r="H3085">
        <v>5.7987909999999996</v>
      </c>
      <c r="I3085">
        <v>19.32</v>
      </c>
      <c r="J3085">
        <v>10.97</v>
      </c>
      <c r="K3085">
        <v>49</v>
      </c>
      <c r="L3085">
        <v>82.6</v>
      </c>
      <c r="M3085">
        <v>75.400000000000006</v>
      </c>
      <c r="N3085">
        <v>0.38785627</v>
      </c>
      <c r="O3085">
        <v>100000</v>
      </c>
      <c r="P3085">
        <v>-1.5380891350000001</v>
      </c>
      <c r="Q3085">
        <v>6532.7369680000002</v>
      </c>
      <c r="R3085">
        <v>9.74</v>
      </c>
      <c r="S3085">
        <v>1219090</v>
      </c>
      <c r="T3085">
        <v>-30.559481999999999</v>
      </c>
      <c r="U3085">
        <v>22.937505999999999</v>
      </c>
    </row>
    <row r="3086" spans="1:21">
      <c r="A3086" t="s">
        <v>169</v>
      </c>
      <c r="B3086">
        <v>2010</v>
      </c>
      <c r="C3086">
        <v>28247.576000000001</v>
      </c>
      <c r="D3086">
        <v>425309.9976</v>
      </c>
      <c r="E3086">
        <v>227.57</v>
      </c>
      <c r="F3086">
        <v>12.9</v>
      </c>
      <c r="G3086">
        <v>2.5099999999999998</v>
      </c>
      <c r="H3086">
        <v>6.3420860000000001</v>
      </c>
      <c r="I3086">
        <v>19.38</v>
      </c>
      <c r="J3086">
        <v>11.77</v>
      </c>
      <c r="K3086">
        <v>49</v>
      </c>
      <c r="L3086">
        <v>82.9</v>
      </c>
      <c r="M3086">
        <v>77.099999999999994</v>
      </c>
      <c r="N3086">
        <v>0.31502997999999999</v>
      </c>
      <c r="O3086">
        <v>261160000</v>
      </c>
      <c r="P3086">
        <v>3.0397328809999999</v>
      </c>
      <c r="Q3086">
        <v>8148.9612020000004</v>
      </c>
      <c r="R3086">
        <v>8.83</v>
      </c>
      <c r="S3086">
        <v>1219090</v>
      </c>
      <c r="T3086">
        <v>-30.559481999999999</v>
      </c>
      <c r="U3086">
        <v>22.937505999999999</v>
      </c>
    </row>
    <row r="3087" spans="1:21">
      <c r="A3087" t="s">
        <v>169</v>
      </c>
      <c r="B3087">
        <v>2011</v>
      </c>
      <c r="C3087">
        <v>27552.763999999999</v>
      </c>
      <c r="D3087">
        <v>409260.0098</v>
      </c>
      <c r="E3087">
        <v>229.06</v>
      </c>
      <c r="F3087">
        <v>12.94</v>
      </c>
      <c r="G3087">
        <v>2.4900000000000002</v>
      </c>
      <c r="H3087">
        <v>6.311096</v>
      </c>
      <c r="I3087">
        <v>19.170000000000002</v>
      </c>
      <c r="J3087">
        <v>11.36</v>
      </c>
      <c r="K3087">
        <v>49</v>
      </c>
      <c r="L3087">
        <v>83.6</v>
      </c>
      <c r="M3087">
        <v>78.8</v>
      </c>
      <c r="N3087">
        <v>0.69834609999999997</v>
      </c>
      <c r="O3087">
        <v>265140000</v>
      </c>
      <c r="P3087">
        <v>3.1685562790000001</v>
      </c>
      <c r="Q3087">
        <v>8810.9306510000006</v>
      </c>
      <c r="R3087">
        <v>8.6999999999999993</v>
      </c>
      <c r="S3087">
        <v>1219090</v>
      </c>
      <c r="T3087">
        <v>-30.559481999999999</v>
      </c>
      <c r="U3087">
        <v>22.937505999999999</v>
      </c>
    </row>
    <row r="3088" spans="1:21">
      <c r="A3088" t="s">
        <v>169</v>
      </c>
      <c r="B3088">
        <v>2012</v>
      </c>
      <c r="C3088">
        <v>26770.203000000001</v>
      </c>
      <c r="D3088">
        <v>426779.9988</v>
      </c>
      <c r="E3088">
        <v>226.84</v>
      </c>
      <c r="F3088">
        <v>12.4</v>
      </c>
      <c r="G3088">
        <v>1.66</v>
      </c>
      <c r="H3088">
        <v>5.8364469999999997</v>
      </c>
      <c r="I3088">
        <v>18.98</v>
      </c>
      <c r="J3088">
        <v>10.6</v>
      </c>
      <c r="K3088">
        <v>49</v>
      </c>
      <c r="L3088">
        <v>85.3</v>
      </c>
      <c r="M3088">
        <v>80.2</v>
      </c>
      <c r="N3088">
        <v>0.31482120000000002</v>
      </c>
      <c r="O3088">
        <v>484730000</v>
      </c>
      <c r="P3088">
        <v>2.3962323849999998</v>
      </c>
      <c r="Q3088">
        <v>8222.197279</v>
      </c>
      <c r="R3088">
        <v>8.14</v>
      </c>
      <c r="S3088">
        <v>1219090</v>
      </c>
      <c r="T3088">
        <v>-30.559481999999999</v>
      </c>
      <c r="U3088">
        <v>22.937505999999999</v>
      </c>
    </row>
    <row r="3089" spans="1:21">
      <c r="A3089" t="s">
        <v>169</v>
      </c>
      <c r="B3089">
        <v>2013</v>
      </c>
      <c r="C3089">
        <v>26525.145</v>
      </c>
      <c r="D3089">
        <v>436920.0134</v>
      </c>
      <c r="E3089">
        <v>223.28</v>
      </c>
      <c r="F3089">
        <v>13.61</v>
      </c>
      <c r="G3089">
        <v>1.62</v>
      </c>
      <c r="H3089">
        <v>6.3854765999999996</v>
      </c>
      <c r="I3089">
        <v>27.93</v>
      </c>
      <c r="J3089">
        <v>9.77</v>
      </c>
      <c r="K3089">
        <v>49</v>
      </c>
      <c r="L3089">
        <v>85.2</v>
      </c>
      <c r="M3089">
        <v>81.5</v>
      </c>
      <c r="N3089">
        <v>0.37065399999999998</v>
      </c>
      <c r="O3089">
        <v>409200000</v>
      </c>
      <c r="P3089">
        <v>2.4854680079999998</v>
      </c>
      <c r="Q3089">
        <v>7467.0791849999996</v>
      </c>
      <c r="R3089">
        <v>7.88</v>
      </c>
      <c r="S3089">
        <v>1219090</v>
      </c>
      <c r="T3089">
        <v>-30.559481999999999</v>
      </c>
      <c r="U3089">
        <v>22.937505999999999</v>
      </c>
    </row>
    <row r="3090" spans="1:21">
      <c r="A3090" t="s">
        <v>169</v>
      </c>
      <c r="B3090">
        <v>2014</v>
      </c>
      <c r="C3090">
        <v>26411.893</v>
      </c>
      <c r="D3090">
        <v>447929.9927</v>
      </c>
      <c r="E3090">
        <v>218.42</v>
      </c>
      <c r="F3090">
        <v>14.76</v>
      </c>
      <c r="G3090">
        <v>3.38</v>
      </c>
      <c r="H3090">
        <v>7.6682449999999998</v>
      </c>
      <c r="I3090">
        <v>49.69</v>
      </c>
      <c r="J3090">
        <v>9.85</v>
      </c>
      <c r="K3090">
        <v>49</v>
      </c>
      <c r="L3090">
        <v>85.9</v>
      </c>
      <c r="M3090">
        <v>82.65</v>
      </c>
      <c r="N3090">
        <v>0.81809825000000003</v>
      </c>
      <c r="O3090">
        <v>202270000</v>
      </c>
      <c r="P3090">
        <v>1.4138264519999999</v>
      </c>
      <c r="Q3090">
        <v>6988.8087390000001</v>
      </c>
      <c r="R3090">
        <v>8.1999999999999993</v>
      </c>
      <c r="S3090">
        <v>1219090</v>
      </c>
      <c r="T3090">
        <v>-30.559481999999999</v>
      </c>
      <c r="U3090">
        <v>22.937505999999999</v>
      </c>
    </row>
    <row r="3091" spans="1:21">
      <c r="A3091" t="s">
        <v>169</v>
      </c>
      <c r="B3091">
        <v>2015</v>
      </c>
      <c r="C3091">
        <v>25352.562000000002</v>
      </c>
      <c r="D3091">
        <v>424809.9976</v>
      </c>
      <c r="E3091">
        <v>214.88</v>
      </c>
      <c r="F3091">
        <v>10.97</v>
      </c>
      <c r="G3091">
        <v>6.09</v>
      </c>
      <c r="H3091">
        <v>7.3553505000000001</v>
      </c>
      <c r="I3091">
        <v>61.91</v>
      </c>
      <c r="J3091">
        <v>10.28</v>
      </c>
      <c r="K3091">
        <v>49</v>
      </c>
      <c r="L3091">
        <v>85.3</v>
      </c>
      <c r="M3091">
        <v>83.4</v>
      </c>
      <c r="N3091">
        <v>1.2246652</v>
      </c>
      <c r="O3091">
        <v>725580000</v>
      </c>
      <c r="P3091">
        <v>1.3218622369999999</v>
      </c>
      <c r="Q3091">
        <v>6259.8396810000004</v>
      </c>
      <c r="R3091">
        <v>7.58</v>
      </c>
      <c r="S3091">
        <v>1219090</v>
      </c>
      <c r="T3091">
        <v>-30.559481999999999</v>
      </c>
      <c r="U3091">
        <v>22.937505999999999</v>
      </c>
    </row>
    <row r="3092" spans="1:21">
      <c r="A3092" t="s">
        <v>169</v>
      </c>
      <c r="B3092">
        <v>2016</v>
      </c>
      <c r="C3092">
        <v>26236.474999999999</v>
      </c>
      <c r="D3092">
        <v>425140.01459999999</v>
      </c>
      <c r="E3092">
        <v>213.09</v>
      </c>
      <c r="F3092">
        <v>15.21</v>
      </c>
      <c r="G3092">
        <v>7.69</v>
      </c>
      <c r="H3092">
        <v>9.7038010000000003</v>
      </c>
      <c r="I3092">
        <v>82.73</v>
      </c>
      <c r="J3092">
        <v>10.53</v>
      </c>
      <c r="K3092">
        <v>49</v>
      </c>
      <c r="L3092">
        <v>83.9</v>
      </c>
      <c r="M3092">
        <v>84.4</v>
      </c>
      <c r="N3092">
        <v>1.6210165999999999</v>
      </c>
      <c r="O3092">
        <v>201750000</v>
      </c>
      <c r="P3092">
        <v>0.66455230799999998</v>
      </c>
      <c r="Q3092">
        <v>5756.965741</v>
      </c>
      <c r="R3092">
        <v>7.91</v>
      </c>
      <c r="S3092">
        <v>1219090</v>
      </c>
      <c r="T3092">
        <v>-30.559481999999999</v>
      </c>
      <c r="U3092">
        <v>22.937505999999999</v>
      </c>
    </row>
    <row r="3093" spans="1:21">
      <c r="A3093" t="s">
        <v>169</v>
      </c>
      <c r="B3093">
        <v>2017</v>
      </c>
      <c r="C3093">
        <v>26033.504000000001</v>
      </c>
      <c r="D3093">
        <v>435649.9939</v>
      </c>
      <c r="E3093">
        <v>212.77</v>
      </c>
      <c r="F3093">
        <v>15.09</v>
      </c>
      <c r="G3093">
        <v>10.039999999999999</v>
      </c>
      <c r="H3093">
        <v>10.563262</v>
      </c>
      <c r="I3093">
        <v>114.85</v>
      </c>
      <c r="J3093">
        <v>10.45</v>
      </c>
      <c r="K3093">
        <v>49</v>
      </c>
      <c r="L3093">
        <v>84.4</v>
      </c>
      <c r="M3093">
        <v>85.2</v>
      </c>
      <c r="N3093">
        <v>2.4061859999999999</v>
      </c>
      <c r="O3093">
        <v>26330000</v>
      </c>
      <c r="P3093">
        <v>1.1579469520000001</v>
      </c>
      <c r="Q3093">
        <v>6690.9398469999996</v>
      </c>
      <c r="R3093">
        <v>7.86</v>
      </c>
      <c r="S3093">
        <v>1219090</v>
      </c>
      <c r="T3093">
        <v>-30.559481999999999</v>
      </c>
      <c r="U3093">
        <v>22.937505999999999</v>
      </c>
    </row>
    <row r="3094" spans="1:21">
      <c r="A3094" t="s">
        <v>169</v>
      </c>
      <c r="B3094">
        <v>2018</v>
      </c>
      <c r="C3094">
        <v>24742.116999999998</v>
      </c>
      <c r="D3094">
        <v>434350.0061</v>
      </c>
      <c r="E3094">
        <v>214.25</v>
      </c>
      <c r="F3094">
        <v>10.56</v>
      </c>
      <c r="G3094">
        <v>12.22</v>
      </c>
      <c r="H3094">
        <v>9.6105979999999995</v>
      </c>
      <c r="I3094">
        <v>136.82</v>
      </c>
      <c r="J3094">
        <v>10.19</v>
      </c>
      <c r="K3094">
        <v>49</v>
      </c>
      <c r="L3094">
        <v>84.7</v>
      </c>
      <c r="M3094">
        <v>85.7</v>
      </c>
      <c r="N3094">
        <v>2.6591578</v>
      </c>
      <c r="O3094">
        <v>378180000</v>
      </c>
      <c r="P3094">
        <v>1.487617373</v>
      </c>
      <c r="Q3094">
        <v>7005.095413</v>
      </c>
      <c r="R3094">
        <v>7.73</v>
      </c>
      <c r="S3094">
        <v>1219090</v>
      </c>
      <c r="T3094">
        <v>-30.559481999999999</v>
      </c>
      <c r="U3094">
        <v>22.937505999999999</v>
      </c>
    </row>
    <row r="3095" spans="1:21">
      <c r="A3095" t="s">
        <v>169</v>
      </c>
      <c r="B3095">
        <v>2019</v>
      </c>
      <c r="C3095">
        <v>25511.208999999999</v>
      </c>
      <c r="D3095">
        <v>439640.01459999999</v>
      </c>
      <c r="E3095">
        <v>208.39</v>
      </c>
      <c r="F3095">
        <v>13.6</v>
      </c>
      <c r="G3095">
        <v>12.57</v>
      </c>
      <c r="H3095">
        <v>11.15706</v>
      </c>
      <c r="I3095">
        <v>136.80000000000001</v>
      </c>
      <c r="J3095">
        <v>10.5</v>
      </c>
      <c r="K3095">
        <v>49</v>
      </c>
      <c r="L3095">
        <v>85</v>
      </c>
      <c r="M3095">
        <v>86.3</v>
      </c>
      <c r="N3095">
        <v>2.6449362999999999</v>
      </c>
      <c r="O3095">
        <v>164100000</v>
      </c>
      <c r="P3095">
        <v>0.11305369699999999</v>
      </c>
      <c r="Q3095">
        <v>6624.7618650000004</v>
      </c>
      <c r="R3095">
        <v>8.0299999999999994</v>
      </c>
      <c r="S3095">
        <v>1219090</v>
      </c>
      <c r="T3095">
        <v>-30.559481999999999</v>
      </c>
      <c r="U3095">
        <v>22.937505999999999</v>
      </c>
    </row>
    <row r="3096" spans="1:21">
      <c r="A3096" t="s">
        <v>169</v>
      </c>
      <c r="B3096">
        <v>2020</v>
      </c>
      <c r="C3096">
        <v>23568.951000000001</v>
      </c>
      <c r="E3096">
        <v>197.5</v>
      </c>
      <c r="F3096">
        <v>11.62</v>
      </c>
      <c r="G3096">
        <v>12.83</v>
      </c>
      <c r="H3096">
        <v>11.015995</v>
      </c>
      <c r="I3096">
        <v>162.5</v>
      </c>
      <c r="K3096">
        <v>49</v>
      </c>
      <c r="L3096">
        <v>84.385540000000006</v>
      </c>
      <c r="M3096">
        <v>86.8</v>
      </c>
      <c r="N3096">
        <v>3.1502460000000001</v>
      </c>
      <c r="P3096">
        <v>-6.4319748260000003</v>
      </c>
      <c r="Q3096">
        <v>5655.8676539999997</v>
      </c>
      <c r="S3096">
        <v>1219090</v>
      </c>
      <c r="T3096">
        <v>-30.559481999999999</v>
      </c>
      <c r="U3096">
        <v>22.937505999999999</v>
      </c>
    </row>
    <row r="3097" spans="1:21">
      <c r="A3097" t="s">
        <v>170</v>
      </c>
      <c r="B3097">
        <v>2013</v>
      </c>
      <c r="C3097">
        <v>568.44323999999995</v>
      </c>
      <c r="D3097">
        <v>1450.0000480000001</v>
      </c>
      <c r="E3097">
        <v>0.44</v>
      </c>
      <c r="F3097">
        <v>0</v>
      </c>
      <c r="G3097">
        <v>0</v>
      </c>
      <c r="H3097">
        <v>0</v>
      </c>
      <c r="I3097">
        <v>0.01</v>
      </c>
      <c r="J3097">
        <v>30.13</v>
      </c>
      <c r="K3097">
        <v>18</v>
      </c>
      <c r="L3097">
        <v>3.6078682</v>
      </c>
      <c r="M3097">
        <v>0</v>
      </c>
      <c r="O3097">
        <v>28370000</v>
      </c>
      <c r="P3097">
        <v>13.129731140000001</v>
      </c>
      <c r="Q3097">
        <v>1779.4703649999999</v>
      </c>
      <c r="R3097">
        <v>1.2774795000000001</v>
      </c>
      <c r="S3097">
        <v>644329</v>
      </c>
      <c r="T3097">
        <v>6.8769919000000002</v>
      </c>
      <c r="U3097">
        <v>31.3069788</v>
      </c>
    </row>
    <row r="3098" spans="1:21">
      <c r="A3098" t="s">
        <v>170</v>
      </c>
      <c r="B3098">
        <v>2014</v>
      </c>
      <c r="C3098">
        <v>582.46180000000004</v>
      </c>
      <c r="D3098">
        <v>1529.999971</v>
      </c>
      <c r="E3098">
        <v>0.46</v>
      </c>
      <c r="F3098">
        <v>0</v>
      </c>
      <c r="G3098">
        <v>0</v>
      </c>
      <c r="H3098">
        <v>0</v>
      </c>
      <c r="I3098">
        <v>0.01</v>
      </c>
      <c r="J3098">
        <v>29.85</v>
      </c>
      <c r="K3098">
        <v>18</v>
      </c>
      <c r="L3098">
        <v>4.0971837000000004</v>
      </c>
      <c r="M3098">
        <v>0</v>
      </c>
      <c r="P3098">
        <v>3.3736484770000001</v>
      </c>
      <c r="Q3098">
        <v>1322.8203639999999</v>
      </c>
      <c r="R3098">
        <v>1.2983488999999999</v>
      </c>
      <c r="S3098">
        <v>644329</v>
      </c>
      <c r="T3098">
        <v>6.8769919000000002</v>
      </c>
      <c r="U3098">
        <v>31.3069788</v>
      </c>
    </row>
    <row r="3099" spans="1:21">
      <c r="A3099" t="s">
        <v>170</v>
      </c>
      <c r="B3099">
        <v>2015</v>
      </c>
      <c r="C3099">
        <v>714.99145999999996</v>
      </c>
      <c r="D3099">
        <v>1970.000029</v>
      </c>
      <c r="E3099">
        <v>0.54</v>
      </c>
      <c r="F3099">
        <v>0</v>
      </c>
      <c r="G3099">
        <v>0</v>
      </c>
      <c r="H3099">
        <v>0</v>
      </c>
      <c r="I3099">
        <v>0.01</v>
      </c>
      <c r="J3099">
        <v>26.7</v>
      </c>
      <c r="K3099">
        <v>18</v>
      </c>
      <c r="L3099">
        <v>4.6013400000000004</v>
      </c>
      <c r="M3099">
        <v>0</v>
      </c>
      <c r="O3099">
        <v>70000</v>
      </c>
      <c r="P3099">
        <v>-10.793364629999999</v>
      </c>
      <c r="Q3099">
        <v>1119.651437</v>
      </c>
      <c r="R3099">
        <v>1.0860981999999999</v>
      </c>
      <c r="S3099">
        <v>644329</v>
      </c>
      <c r="T3099">
        <v>6.8769919000000002</v>
      </c>
      <c r="U3099">
        <v>31.3069788</v>
      </c>
    </row>
    <row r="3100" spans="1:21">
      <c r="A3100" t="s">
        <v>170</v>
      </c>
      <c r="B3100">
        <v>2016</v>
      </c>
      <c r="C3100">
        <v>698.3854</v>
      </c>
      <c r="D3100">
        <v>1730.0000190000001</v>
      </c>
      <c r="E3100">
        <v>0.49</v>
      </c>
      <c r="F3100">
        <v>0</v>
      </c>
      <c r="G3100">
        <v>0</v>
      </c>
      <c r="H3100">
        <v>0</v>
      </c>
      <c r="I3100">
        <v>0.04</v>
      </c>
      <c r="J3100">
        <v>28.79</v>
      </c>
      <c r="K3100">
        <v>18</v>
      </c>
      <c r="L3100">
        <v>5.1173677</v>
      </c>
      <c r="M3100">
        <v>0</v>
      </c>
      <c r="O3100">
        <v>30000</v>
      </c>
      <c r="S3100">
        <v>644329</v>
      </c>
      <c r="T3100">
        <v>6.8769919000000002</v>
      </c>
      <c r="U3100">
        <v>31.3069788</v>
      </c>
    </row>
    <row r="3101" spans="1:21">
      <c r="A3101" t="s">
        <v>170</v>
      </c>
      <c r="B3101">
        <v>2017</v>
      </c>
      <c r="C3101">
        <v>635.44259999999997</v>
      </c>
      <c r="D3101">
        <v>1519.9999809999999</v>
      </c>
      <c r="E3101">
        <v>0.51</v>
      </c>
      <c r="F3101">
        <v>0</v>
      </c>
      <c r="G3101">
        <v>0</v>
      </c>
      <c r="H3101">
        <v>0</v>
      </c>
      <c r="I3101">
        <v>0.04</v>
      </c>
      <c r="J3101">
        <v>28.63</v>
      </c>
      <c r="K3101">
        <v>18</v>
      </c>
      <c r="L3101">
        <v>4.2</v>
      </c>
      <c r="M3101">
        <v>0</v>
      </c>
      <c r="O3101">
        <v>300000</v>
      </c>
      <c r="S3101">
        <v>644329</v>
      </c>
      <c r="T3101">
        <v>6.8769919000000002</v>
      </c>
      <c r="U3101">
        <v>31.3069788</v>
      </c>
    </row>
    <row r="3102" spans="1:21">
      <c r="A3102" t="s">
        <v>170</v>
      </c>
      <c r="B3102">
        <v>2018</v>
      </c>
      <c r="C3102">
        <v>671.75750000000005</v>
      </c>
      <c r="D3102">
        <v>1549.9999519999999</v>
      </c>
      <c r="E3102">
        <v>0.55000000000000004</v>
      </c>
      <c r="F3102">
        <v>0</v>
      </c>
      <c r="G3102">
        <v>0.01</v>
      </c>
      <c r="H3102">
        <v>1.7857143</v>
      </c>
      <c r="I3102">
        <v>0.05</v>
      </c>
      <c r="J3102">
        <v>28.65</v>
      </c>
      <c r="K3102">
        <v>18</v>
      </c>
      <c r="L3102">
        <v>6.1731695999999996</v>
      </c>
      <c r="M3102">
        <v>0</v>
      </c>
      <c r="O3102">
        <v>280000</v>
      </c>
      <c r="S3102">
        <v>644329</v>
      </c>
      <c r="T3102">
        <v>6.8769919000000002</v>
      </c>
      <c r="U3102">
        <v>31.3069788</v>
      </c>
    </row>
    <row r="3103" spans="1:21">
      <c r="A3103" t="s">
        <v>170</v>
      </c>
      <c r="B3103">
        <v>2019</v>
      </c>
      <c r="C3103">
        <v>747.48595999999998</v>
      </c>
      <c r="D3103">
        <v>1700.0000480000001</v>
      </c>
      <c r="E3103">
        <v>0.55000000000000004</v>
      </c>
      <c r="F3103">
        <v>0</v>
      </c>
      <c r="G3103">
        <v>0.01</v>
      </c>
      <c r="H3103">
        <v>1.7857143</v>
      </c>
      <c r="I3103">
        <v>0.06</v>
      </c>
      <c r="J3103">
        <v>26.65</v>
      </c>
      <c r="K3103">
        <v>18</v>
      </c>
      <c r="L3103">
        <v>6.7070069999999999</v>
      </c>
      <c r="M3103">
        <v>0</v>
      </c>
      <c r="O3103">
        <v>100000</v>
      </c>
      <c r="S3103">
        <v>644329</v>
      </c>
      <c r="T3103">
        <v>6.8769919000000002</v>
      </c>
      <c r="U3103">
        <v>31.3069788</v>
      </c>
    </row>
    <row r="3104" spans="1:21">
      <c r="A3104" t="s">
        <v>170</v>
      </c>
      <c r="B3104">
        <v>2020</v>
      </c>
      <c r="C3104">
        <v>703.13509999999997</v>
      </c>
      <c r="E3104">
        <v>0.53</v>
      </c>
      <c r="F3104">
        <v>0</v>
      </c>
      <c r="G3104">
        <v>0.01</v>
      </c>
      <c r="H3104">
        <v>1.8518517999999999</v>
      </c>
      <c r="I3104">
        <v>0.06</v>
      </c>
      <c r="K3104">
        <v>18</v>
      </c>
      <c r="L3104">
        <v>7.2413382999999998</v>
      </c>
      <c r="M3104">
        <v>0</v>
      </c>
      <c r="S3104">
        <v>644329</v>
      </c>
      <c r="T3104">
        <v>6.8769919000000002</v>
      </c>
      <c r="U3104">
        <v>31.3069788</v>
      </c>
    </row>
    <row r="3105" spans="1:21">
      <c r="A3105" t="s">
        <v>171</v>
      </c>
      <c r="B3105">
        <v>2000</v>
      </c>
      <c r="C3105">
        <v>37495.703000000001</v>
      </c>
      <c r="D3105">
        <v>293310</v>
      </c>
      <c r="E3105">
        <v>124.22</v>
      </c>
      <c r="F3105">
        <v>62.21</v>
      </c>
      <c r="G3105">
        <v>34.49</v>
      </c>
      <c r="H3105">
        <v>43.771500000000003</v>
      </c>
      <c r="J3105">
        <v>7.88</v>
      </c>
      <c r="K3105">
        <v>94</v>
      </c>
      <c r="L3105">
        <v>100</v>
      </c>
      <c r="M3105">
        <v>100</v>
      </c>
      <c r="N3105">
        <v>7.0082307000000004</v>
      </c>
      <c r="P3105">
        <v>5.2459946799999999</v>
      </c>
      <c r="Q3105">
        <v>14713.065710000001</v>
      </c>
      <c r="R3105">
        <v>3.6</v>
      </c>
      <c r="S3105">
        <v>505370</v>
      </c>
      <c r="T3105">
        <v>40.463667000000001</v>
      </c>
      <c r="U3105">
        <v>-3.7492200000000002</v>
      </c>
    </row>
    <row r="3106" spans="1:21">
      <c r="A3106" t="s">
        <v>171</v>
      </c>
      <c r="B3106">
        <v>2001</v>
      </c>
      <c r="C3106">
        <v>39003.945</v>
      </c>
      <c r="D3106">
        <v>294790</v>
      </c>
      <c r="E3106">
        <v>120.06</v>
      </c>
      <c r="F3106">
        <v>63.71</v>
      </c>
      <c r="G3106">
        <v>49.3</v>
      </c>
      <c r="H3106">
        <v>48.487575999999997</v>
      </c>
      <c r="J3106">
        <v>8.93</v>
      </c>
      <c r="K3106">
        <v>94</v>
      </c>
      <c r="L3106">
        <v>100</v>
      </c>
      <c r="M3106">
        <v>100</v>
      </c>
      <c r="N3106">
        <v>9.1675470000000008</v>
      </c>
      <c r="P3106">
        <v>3.9329488430000001</v>
      </c>
      <c r="Q3106">
        <v>15355.703170000001</v>
      </c>
      <c r="R3106">
        <v>3.56</v>
      </c>
      <c r="S3106">
        <v>505370</v>
      </c>
      <c r="T3106">
        <v>40.463667000000001</v>
      </c>
      <c r="U3106">
        <v>-3.7492200000000002</v>
      </c>
    </row>
    <row r="3107" spans="1:21">
      <c r="A3107" t="s">
        <v>171</v>
      </c>
      <c r="B3107">
        <v>2002</v>
      </c>
      <c r="C3107">
        <v>38938.438000000002</v>
      </c>
      <c r="D3107">
        <v>312750</v>
      </c>
      <c r="E3107">
        <v>143.72</v>
      </c>
      <c r="F3107">
        <v>63.02</v>
      </c>
      <c r="G3107">
        <v>33.17</v>
      </c>
      <c r="H3107">
        <v>40.094200000000001</v>
      </c>
      <c r="J3107">
        <v>7.42</v>
      </c>
      <c r="K3107">
        <v>94</v>
      </c>
      <c r="L3107">
        <v>100</v>
      </c>
      <c r="M3107">
        <v>100</v>
      </c>
      <c r="N3107">
        <v>6.4462704999999998</v>
      </c>
      <c r="P3107">
        <v>2.7310222319999999</v>
      </c>
      <c r="Q3107">
        <v>17025.53198</v>
      </c>
      <c r="R3107">
        <v>3.57</v>
      </c>
      <c r="S3107">
        <v>505370</v>
      </c>
      <c r="T3107">
        <v>40.463667000000001</v>
      </c>
      <c r="U3107">
        <v>-3.7492200000000002</v>
      </c>
    </row>
    <row r="3108" spans="1:21">
      <c r="A3108" t="s">
        <v>171</v>
      </c>
      <c r="B3108">
        <v>2003</v>
      </c>
      <c r="C3108">
        <v>40418.156000000003</v>
      </c>
      <c r="D3108">
        <v>318660.0037</v>
      </c>
      <c r="E3108">
        <v>139.66999999999999</v>
      </c>
      <c r="F3108">
        <v>61.88</v>
      </c>
      <c r="G3108">
        <v>55.75</v>
      </c>
      <c r="H3108">
        <v>45.717064000000001</v>
      </c>
      <c r="J3108">
        <v>8.92</v>
      </c>
      <c r="K3108">
        <v>94</v>
      </c>
      <c r="L3108">
        <v>100</v>
      </c>
      <c r="M3108">
        <v>100</v>
      </c>
      <c r="N3108">
        <v>9.7589035000000006</v>
      </c>
      <c r="P3108">
        <v>2.9818948359999999</v>
      </c>
      <c r="Q3108">
        <v>21463.442660000001</v>
      </c>
      <c r="R3108">
        <v>3.58</v>
      </c>
      <c r="S3108">
        <v>505370</v>
      </c>
      <c r="T3108">
        <v>40.463667000000001</v>
      </c>
      <c r="U3108">
        <v>-3.7492200000000002</v>
      </c>
    </row>
    <row r="3109" spans="1:21">
      <c r="A3109" t="s">
        <v>171</v>
      </c>
      <c r="B3109">
        <v>2004</v>
      </c>
      <c r="C3109">
        <v>41185.832000000002</v>
      </c>
      <c r="D3109">
        <v>335559.9976</v>
      </c>
      <c r="E3109">
        <v>159.91</v>
      </c>
      <c r="F3109">
        <v>63.61</v>
      </c>
      <c r="G3109">
        <v>50.13</v>
      </c>
      <c r="H3109">
        <v>41.564039999999999</v>
      </c>
      <c r="J3109">
        <v>8.0500000000000007</v>
      </c>
      <c r="K3109">
        <v>94</v>
      </c>
      <c r="L3109">
        <v>100</v>
      </c>
      <c r="M3109">
        <v>100</v>
      </c>
      <c r="N3109">
        <v>8.4409050000000008</v>
      </c>
      <c r="P3109">
        <v>3.122795242</v>
      </c>
      <c r="Q3109">
        <v>24861.282800000001</v>
      </c>
      <c r="R3109">
        <v>3.63</v>
      </c>
      <c r="S3109">
        <v>505370</v>
      </c>
      <c r="T3109">
        <v>40.463667000000001</v>
      </c>
      <c r="U3109">
        <v>-3.7492200000000002</v>
      </c>
    </row>
    <row r="3110" spans="1:21">
      <c r="A3110" t="s">
        <v>171</v>
      </c>
      <c r="B3110">
        <v>2005</v>
      </c>
      <c r="C3110">
        <v>40779.03</v>
      </c>
      <c r="D3110">
        <v>350500</v>
      </c>
      <c r="E3110">
        <v>184.65</v>
      </c>
      <c r="F3110">
        <v>57.54</v>
      </c>
      <c r="G3110">
        <v>42.27</v>
      </c>
      <c r="H3110">
        <v>35.087536</v>
      </c>
      <c r="J3110">
        <v>7.3</v>
      </c>
      <c r="K3110">
        <v>94</v>
      </c>
      <c r="L3110">
        <v>100</v>
      </c>
      <c r="M3110">
        <v>100</v>
      </c>
      <c r="N3110">
        <v>6.9234942999999998</v>
      </c>
      <c r="P3110">
        <v>3.652032674</v>
      </c>
      <c r="Q3110">
        <v>26419.296859999999</v>
      </c>
      <c r="R3110">
        <v>3.57</v>
      </c>
      <c r="S3110">
        <v>505370</v>
      </c>
      <c r="T3110">
        <v>40.463667000000001</v>
      </c>
      <c r="U3110">
        <v>-3.7492200000000002</v>
      </c>
    </row>
    <row r="3111" spans="1:21">
      <c r="A3111" t="s">
        <v>171</v>
      </c>
      <c r="B3111">
        <v>2006</v>
      </c>
      <c r="C3111">
        <v>40681.79</v>
      </c>
      <c r="D3111">
        <v>341779.9988</v>
      </c>
      <c r="E3111">
        <v>182.98</v>
      </c>
      <c r="F3111">
        <v>60.13</v>
      </c>
      <c r="G3111">
        <v>52.15</v>
      </c>
      <c r="H3111">
        <v>38.027500000000003</v>
      </c>
      <c r="J3111">
        <v>8.49</v>
      </c>
      <c r="K3111">
        <v>94</v>
      </c>
      <c r="L3111">
        <v>100</v>
      </c>
      <c r="M3111">
        <v>100</v>
      </c>
      <c r="N3111">
        <v>8.3609229999999997</v>
      </c>
      <c r="P3111">
        <v>4.1027271150000004</v>
      </c>
      <c r="Q3111">
        <v>28365.31349</v>
      </c>
      <c r="R3111">
        <v>3.43</v>
      </c>
      <c r="S3111">
        <v>505370</v>
      </c>
      <c r="T3111">
        <v>40.463667000000001</v>
      </c>
      <c r="U3111">
        <v>-3.7492200000000002</v>
      </c>
    </row>
    <row r="3112" spans="1:21">
      <c r="A3112" t="s">
        <v>171</v>
      </c>
      <c r="B3112">
        <v>2007</v>
      </c>
      <c r="C3112">
        <v>40817.644999999997</v>
      </c>
      <c r="D3112">
        <v>354679.9927</v>
      </c>
      <c r="E3112">
        <v>188.13</v>
      </c>
      <c r="F3112">
        <v>55.1</v>
      </c>
      <c r="G3112">
        <v>58.3</v>
      </c>
      <c r="H3112">
        <v>37.608199999999997</v>
      </c>
      <c r="J3112">
        <v>9.02</v>
      </c>
      <c r="K3112">
        <v>94</v>
      </c>
      <c r="L3112">
        <v>100</v>
      </c>
      <c r="M3112">
        <v>100</v>
      </c>
      <c r="N3112">
        <v>9.0648169999999997</v>
      </c>
      <c r="P3112">
        <v>3.6046879710000002</v>
      </c>
      <c r="Q3112">
        <v>32549.970979999998</v>
      </c>
      <c r="R3112">
        <v>3.36</v>
      </c>
      <c r="S3112">
        <v>505370</v>
      </c>
      <c r="T3112">
        <v>40.463667000000001</v>
      </c>
      <c r="U3112">
        <v>-3.7492200000000002</v>
      </c>
    </row>
    <row r="3113" spans="1:21">
      <c r="A3113" t="s">
        <v>171</v>
      </c>
      <c r="B3113">
        <v>2008</v>
      </c>
      <c r="C3113">
        <v>39067.870000000003</v>
      </c>
      <c r="D3113">
        <v>324269.989</v>
      </c>
      <c r="E3113">
        <v>189.55</v>
      </c>
      <c r="F3113">
        <v>58.97</v>
      </c>
      <c r="G3113">
        <v>62.15</v>
      </c>
      <c r="H3113">
        <v>38.986705999999998</v>
      </c>
      <c r="J3113">
        <v>9.76</v>
      </c>
      <c r="K3113">
        <v>94</v>
      </c>
      <c r="L3113">
        <v>100</v>
      </c>
      <c r="M3113">
        <v>100</v>
      </c>
      <c r="N3113">
        <v>9.9483709999999999</v>
      </c>
      <c r="P3113">
        <v>0.88714518200000003</v>
      </c>
      <c r="Q3113">
        <v>35366.259599999998</v>
      </c>
      <c r="R3113">
        <v>3.22</v>
      </c>
      <c r="S3113">
        <v>505370</v>
      </c>
      <c r="T3113">
        <v>40.463667000000001</v>
      </c>
      <c r="U3113">
        <v>-3.7492200000000002</v>
      </c>
    </row>
    <row r="3114" spans="1:21">
      <c r="A3114" t="s">
        <v>171</v>
      </c>
      <c r="B3114">
        <v>2009</v>
      </c>
      <c r="C3114">
        <v>35904.375</v>
      </c>
      <c r="D3114">
        <v>287489.9902</v>
      </c>
      <c r="E3114">
        <v>164.69</v>
      </c>
      <c r="F3114">
        <v>52.76</v>
      </c>
      <c r="G3114">
        <v>74.08</v>
      </c>
      <c r="H3114">
        <v>43.508389999999999</v>
      </c>
      <c r="J3114">
        <v>12.25</v>
      </c>
      <c r="K3114">
        <v>94</v>
      </c>
      <c r="L3114">
        <v>100</v>
      </c>
      <c r="M3114">
        <v>100</v>
      </c>
      <c r="N3114">
        <v>12.662101</v>
      </c>
      <c r="P3114">
        <v>-3.7632319270000001</v>
      </c>
      <c r="Q3114">
        <v>32042.47408</v>
      </c>
      <c r="R3114">
        <v>3.07</v>
      </c>
      <c r="S3114">
        <v>505370</v>
      </c>
      <c r="T3114">
        <v>40.463667000000001</v>
      </c>
      <c r="U3114">
        <v>-3.7492200000000002</v>
      </c>
    </row>
    <row r="3115" spans="1:21">
      <c r="A3115" t="s">
        <v>171</v>
      </c>
      <c r="B3115">
        <v>2010</v>
      </c>
      <c r="C3115">
        <v>36714.199999999997</v>
      </c>
      <c r="D3115">
        <v>273250</v>
      </c>
      <c r="E3115">
        <v>138.38999999999999</v>
      </c>
      <c r="F3115">
        <v>61.99</v>
      </c>
      <c r="G3115">
        <v>97.77</v>
      </c>
      <c r="H3115">
        <v>53.583762999999998</v>
      </c>
      <c r="J3115">
        <v>14.44</v>
      </c>
      <c r="K3115">
        <v>94</v>
      </c>
      <c r="L3115">
        <v>100</v>
      </c>
      <c r="M3115">
        <v>100</v>
      </c>
      <c r="N3115">
        <v>16.742804</v>
      </c>
      <c r="P3115">
        <v>0.16301023100000001</v>
      </c>
      <c r="Q3115">
        <v>30502.719710000001</v>
      </c>
      <c r="R3115">
        <v>3.07</v>
      </c>
      <c r="S3115">
        <v>505370</v>
      </c>
      <c r="T3115">
        <v>40.463667000000001</v>
      </c>
      <c r="U3115">
        <v>-3.7492200000000002</v>
      </c>
    </row>
    <row r="3116" spans="1:21">
      <c r="A3116" t="s">
        <v>171</v>
      </c>
      <c r="B3116">
        <v>2011</v>
      </c>
      <c r="C3116">
        <v>35901.07</v>
      </c>
      <c r="D3116">
        <v>274399.9939</v>
      </c>
      <c r="E3116">
        <v>146.12</v>
      </c>
      <c r="F3116">
        <v>57.72</v>
      </c>
      <c r="G3116">
        <v>87.53</v>
      </c>
      <c r="H3116">
        <v>49.850707999999997</v>
      </c>
      <c r="J3116">
        <v>14.79</v>
      </c>
      <c r="K3116">
        <v>94</v>
      </c>
      <c r="L3116">
        <v>100</v>
      </c>
      <c r="M3116">
        <v>100</v>
      </c>
      <c r="N3116">
        <v>15.473433999999999</v>
      </c>
      <c r="P3116">
        <v>-0.81437345500000002</v>
      </c>
      <c r="Q3116">
        <v>31636.446309999999</v>
      </c>
      <c r="R3116">
        <v>3.04</v>
      </c>
      <c r="S3116">
        <v>505370</v>
      </c>
      <c r="T3116">
        <v>40.463667000000001</v>
      </c>
      <c r="U3116">
        <v>-3.7492200000000002</v>
      </c>
    </row>
    <row r="3117" spans="1:21">
      <c r="A3117" t="s">
        <v>171</v>
      </c>
      <c r="B3117">
        <v>2012</v>
      </c>
      <c r="C3117">
        <v>35681.476999999999</v>
      </c>
      <c r="D3117">
        <v>269269.989</v>
      </c>
      <c r="E3117">
        <v>145.33000000000001</v>
      </c>
      <c r="F3117">
        <v>61.47</v>
      </c>
      <c r="G3117">
        <v>86.97</v>
      </c>
      <c r="H3117">
        <v>50.529327000000002</v>
      </c>
      <c r="J3117">
        <v>15.83</v>
      </c>
      <c r="K3117">
        <v>94</v>
      </c>
      <c r="L3117">
        <v>100</v>
      </c>
      <c r="M3117">
        <v>100</v>
      </c>
      <c r="N3117">
        <v>15.889772000000001</v>
      </c>
      <c r="P3117">
        <v>-2.9594413020000001</v>
      </c>
      <c r="Q3117">
        <v>28324.429339999999</v>
      </c>
      <c r="R3117">
        <v>3.13</v>
      </c>
      <c r="S3117">
        <v>505370</v>
      </c>
      <c r="T3117">
        <v>40.463667000000001</v>
      </c>
      <c r="U3117">
        <v>-3.7492200000000002</v>
      </c>
    </row>
    <row r="3118" spans="1:21">
      <c r="A3118" t="s">
        <v>171</v>
      </c>
      <c r="B3118">
        <v>2013</v>
      </c>
      <c r="C3118">
        <v>34008.008000000002</v>
      </c>
      <c r="D3118">
        <v>242809.9976</v>
      </c>
      <c r="E3118">
        <v>113.32</v>
      </c>
      <c r="F3118">
        <v>56.73</v>
      </c>
      <c r="G3118">
        <v>111.42</v>
      </c>
      <c r="H3118">
        <v>59.739936999999998</v>
      </c>
      <c r="J3118">
        <v>16.989999999999998</v>
      </c>
      <c r="K3118">
        <v>94</v>
      </c>
      <c r="L3118">
        <v>100</v>
      </c>
      <c r="M3118">
        <v>100</v>
      </c>
      <c r="N3118">
        <v>19.901302000000001</v>
      </c>
      <c r="P3118">
        <v>-1.435394259</v>
      </c>
      <c r="Q3118">
        <v>29059.54795</v>
      </c>
      <c r="R3118">
        <v>2.96</v>
      </c>
      <c r="S3118">
        <v>505370</v>
      </c>
      <c r="T3118">
        <v>40.463667000000001</v>
      </c>
      <c r="U3118">
        <v>-3.7492200000000002</v>
      </c>
    </row>
    <row r="3119" spans="1:21">
      <c r="A3119" t="s">
        <v>171</v>
      </c>
      <c r="B3119">
        <v>2014</v>
      </c>
      <c r="C3119">
        <v>33478.239999999998</v>
      </c>
      <c r="D3119">
        <v>240960.0067</v>
      </c>
      <c r="E3119">
        <v>107.37</v>
      </c>
      <c r="F3119">
        <v>57.31</v>
      </c>
      <c r="G3119">
        <v>110.26</v>
      </c>
      <c r="H3119">
        <v>60.947839999999999</v>
      </c>
      <c r="J3119">
        <v>17.41</v>
      </c>
      <c r="K3119">
        <v>94</v>
      </c>
      <c r="L3119">
        <v>100</v>
      </c>
      <c r="M3119">
        <v>100</v>
      </c>
      <c r="N3119">
        <v>20.088553999999998</v>
      </c>
      <c r="P3119">
        <v>1.3839079430000001</v>
      </c>
      <c r="Q3119">
        <v>29461.550329999998</v>
      </c>
      <c r="R3119">
        <v>2.86</v>
      </c>
      <c r="S3119">
        <v>505370</v>
      </c>
      <c r="T3119">
        <v>40.463667000000001</v>
      </c>
      <c r="U3119">
        <v>-3.7492200000000002</v>
      </c>
    </row>
    <row r="3120" spans="1:21">
      <c r="A3120" t="s">
        <v>171</v>
      </c>
      <c r="B3120">
        <v>2015</v>
      </c>
      <c r="C3120">
        <v>33920.239999999998</v>
      </c>
      <c r="D3120">
        <v>256279.9988</v>
      </c>
      <c r="E3120">
        <v>123.19</v>
      </c>
      <c r="F3120">
        <v>57.2</v>
      </c>
      <c r="G3120">
        <v>97.09</v>
      </c>
      <c r="H3120">
        <v>55.603999999999999</v>
      </c>
      <c r="J3120">
        <v>16.329999999999998</v>
      </c>
      <c r="K3120">
        <v>94</v>
      </c>
      <c r="L3120">
        <v>100</v>
      </c>
      <c r="M3120">
        <v>100</v>
      </c>
      <c r="N3120">
        <v>17.507902000000001</v>
      </c>
      <c r="P3120">
        <v>3.83517266</v>
      </c>
      <c r="Q3120">
        <v>25732.018359999998</v>
      </c>
      <c r="R3120">
        <v>2.85</v>
      </c>
      <c r="S3120">
        <v>505370</v>
      </c>
      <c r="T3120">
        <v>40.463667000000001</v>
      </c>
      <c r="U3120">
        <v>-3.7492200000000002</v>
      </c>
    </row>
    <row r="3121" spans="1:21">
      <c r="A3121" t="s">
        <v>171</v>
      </c>
      <c r="B3121">
        <v>2016</v>
      </c>
      <c r="C3121">
        <v>34212.625</v>
      </c>
      <c r="D3121">
        <v>247029.9988</v>
      </c>
      <c r="E3121">
        <v>107.93</v>
      </c>
      <c r="F3121">
        <v>58.63</v>
      </c>
      <c r="G3121">
        <v>104.63</v>
      </c>
      <c r="H3121">
        <v>60.201332000000001</v>
      </c>
      <c r="J3121">
        <v>17.21</v>
      </c>
      <c r="K3121">
        <v>94</v>
      </c>
      <c r="L3121">
        <v>100</v>
      </c>
      <c r="M3121">
        <v>100</v>
      </c>
      <c r="N3121">
        <v>18.609848</v>
      </c>
      <c r="P3121">
        <v>3.0313013299999998</v>
      </c>
      <c r="Q3121">
        <v>26505.343219999999</v>
      </c>
      <c r="R3121">
        <v>2.79</v>
      </c>
      <c r="S3121">
        <v>505370</v>
      </c>
      <c r="T3121">
        <v>40.463667000000001</v>
      </c>
      <c r="U3121">
        <v>-3.7492200000000002</v>
      </c>
    </row>
    <row r="3122" spans="1:21">
      <c r="A3122" t="s">
        <v>171</v>
      </c>
      <c r="B3122">
        <v>2017</v>
      </c>
      <c r="C3122">
        <v>34520.542999999998</v>
      </c>
      <c r="D3122">
        <v>263450.0122</v>
      </c>
      <c r="E3122">
        <v>126.93</v>
      </c>
      <c r="F3122">
        <v>58.04</v>
      </c>
      <c r="G3122">
        <v>87.93</v>
      </c>
      <c r="H3122">
        <v>53.488456999999997</v>
      </c>
      <c r="J3122">
        <v>15.71</v>
      </c>
      <c r="K3122">
        <v>94</v>
      </c>
      <c r="L3122">
        <v>100</v>
      </c>
      <c r="M3122">
        <v>100</v>
      </c>
      <c r="N3122">
        <v>15.68235</v>
      </c>
      <c r="P3122">
        <v>2.973641191</v>
      </c>
      <c r="Q3122">
        <v>28100.586240000001</v>
      </c>
      <c r="R3122">
        <v>2.86</v>
      </c>
      <c r="S3122">
        <v>505370</v>
      </c>
      <c r="T3122">
        <v>40.463667000000001</v>
      </c>
      <c r="U3122">
        <v>-3.7492200000000002</v>
      </c>
    </row>
    <row r="3123" spans="1:21">
      <c r="A3123" t="s">
        <v>171</v>
      </c>
      <c r="B3123">
        <v>2018</v>
      </c>
      <c r="C3123">
        <v>34986.292999999998</v>
      </c>
      <c r="D3123">
        <v>257040.0085</v>
      </c>
      <c r="E3123">
        <v>112.23</v>
      </c>
      <c r="F3123">
        <v>55.77</v>
      </c>
      <c r="G3123">
        <v>103.88</v>
      </c>
      <c r="H3123">
        <v>58.720753000000002</v>
      </c>
      <c r="J3123">
        <v>17.420000000000002</v>
      </c>
      <c r="K3123">
        <v>94</v>
      </c>
      <c r="L3123">
        <v>100</v>
      </c>
      <c r="M3123">
        <v>100</v>
      </c>
      <c r="N3123">
        <v>18.230533999999999</v>
      </c>
      <c r="P3123">
        <v>2.2887856759999998</v>
      </c>
      <c r="Q3123">
        <v>30349.752100000002</v>
      </c>
      <c r="R3123">
        <v>2.77</v>
      </c>
      <c r="S3123">
        <v>505370</v>
      </c>
      <c r="T3123">
        <v>40.463667000000001</v>
      </c>
      <c r="U3123">
        <v>-3.7492200000000002</v>
      </c>
    </row>
    <row r="3124" spans="1:21">
      <c r="A3124" t="s">
        <v>171</v>
      </c>
      <c r="B3124">
        <v>2019</v>
      </c>
      <c r="C3124">
        <v>33764.862999999998</v>
      </c>
      <c r="D3124">
        <v>239979.9957</v>
      </c>
      <c r="E3124">
        <v>111.55</v>
      </c>
      <c r="F3124">
        <v>58.35</v>
      </c>
      <c r="G3124">
        <v>100.99</v>
      </c>
      <c r="H3124">
        <v>58.820920000000001</v>
      </c>
      <c r="J3124">
        <v>17.27</v>
      </c>
      <c r="K3124">
        <v>94</v>
      </c>
      <c r="L3124">
        <v>100</v>
      </c>
      <c r="M3124">
        <v>100</v>
      </c>
      <c r="N3124">
        <v>17.37585</v>
      </c>
      <c r="P3124">
        <v>2.0851914210000002</v>
      </c>
      <c r="Q3124">
        <v>29555.315699999999</v>
      </c>
      <c r="R3124">
        <v>2.64</v>
      </c>
      <c r="S3124">
        <v>505370</v>
      </c>
      <c r="T3124">
        <v>40.463667000000001</v>
      </c>
      <c r="U3124">
        <v>-3.7492200000000002</v>
      </c>
    </row>
    <row r="3125" spans="1:21">
      <c r="A3125" t="s">
        <v>171</v>
      </c>
      <c r="B3125">
        <v>2020</v>
      </c>
      <c r="C3125">
        <v>30391.29</v>
      </c>
      <c r="E3125">
        <v>87.64</v>
      </c>
      <c r="F3125">
        <v>58.3</v>
      </c>
      <c r="G3125">
        <v>113.79</v>
      </c>
      <c r="H3125">
        <v>66.257260000000002</v>
      </c>
      <c r="K3125">
        <v>94</v>
      </c>
      <c r="L3125">
        <v>100</v>
      </c>
      <c r="M3125">
        <v>100</v>
      </c>
      <c r="N3125">
        <v>22.102654000000001</v>
      </c>
      <c r="P3125">
        <v>-10.82288649</v>
      </c>
      <c r="Q3125">
        <v>27063.193920000002</v>
      </c>
      <c r="S3125">
        <v>505370</v>
      </c>
      <c r="T3125">
        <v>40.463667000000001</v>
      </c>
      <c r="U3125">
        <v>-3.7492200000000002</v>
      </c>
    </row>
    <row r="3126" spans="1:21">
      <c r="A3126" t="s">
        <v>172</v>
      </c>
      <c r="B3126">
        <v>2000</v>
      </c>
      <c r="C3126">
        <v>2851.8083000000001</v>
      </c>
      <c r="D3126">
        <v>10930</v>
      </c>
      <c r="E3126">
        <v>3.28</v>
      </c>
      <c r="F3126">
        <v>0</v>
      </c>
      <c r="G3126">
        <v>3.17</v>
      </c>
      <c r="H3126">
        <v>49.147289999999998</v>
      </c>
      <c r="I3126">
        <v>61.59</v>
      </c>
      <c r="J3126">
        <v>64.16</v>
      </c>
      <c r="K3126">
        <v>341</v>
      </c>
      <c r="L3126">
        <v>70.262799999999999</v>
      </c>
      <c r="M3126">
        <v>16.899999999999999</v>
      </c>
      <c r="N3126">
        <v>17.715664</v>
      </c>
      <c r="O3126">
        <v>1470000</v>
      </c>
      <c r="P3126">
        <v>6.0000331600000001</v>
      </c>
      <c r="Q3126">
        <v>869.69628499999999</v>
      </c>
      <c r="R3126">
        <v>3.12</v>
      </c>
      <c r="S3126">
        <v>65610</v>
      </c>
      <c r="T3126">
        <v>7.8730539999999998</v>
      </c>
      <c r="U3126">
        <v>80.771797000000007</v>
      </c>
    </row>
    <row r="3127" spans="1:21">
      <c r="A3127" t="s">
        <v>172</v>
      </c>
      <c r="B3127">
        <v>2001</v>
      </c>
      <c r="C3127">
        <v>2750.116</v>
      </c>
      <c r="D3127">
        <v>10850</v>
      </c>
      <c r="E3127">
        <v>3.44</v>
      </c>
      <c r="F3127">
        <v>0</v>
      </c>
      <c r="G3127">
        <v>3.09</v>
      </c>
      <c r="H3127">
        <v>47.320059999999998</v>
      </c>
      <c r="I3127">
        <v>61.78</v>
      </c>
      <c r="J3127">
        <v>62.93</v>
      </c>
      <c r="K3127">
        <v>341</v>
      </c>
      <c r="L3127">
        <v>63.6</v>
      </c>
      <c r="M3127">
        <v>17.5</v>
      </c>
      <c r="N3127">
        <v>17.628239000000001</v>
      </c>
      <c r="O3127">
        <v>3810000</v>
      </c>
      <c r="P3127">
        <v>-1.5454081340000001</v>
      </c>
      <c r="Q3127">
        <v>832.80357230000004</v>
      </c>
      <c r="R3127">
        <v>3.06</v>
      </c>
      <c r="S3127">
        <v>65610</v>
      </c>
      <c r="T3127">
        <v>7.8730539999999998</v>
      </c>
      <c r="U3127">
        <v>80.771797000000007</v>
      </c>
    </row>
    <row r="3128" spans="1:21">
      <c r="A3128" t="s">
        <v>172</v>
      </c>
      <c r="B3128">
        <v>2002</v>
      </c>
      <c r="C3128">
        <v>2799.9560000000001</v>
      </c>
      <c r="D3128">
        <v>11390.000340000001</v>
      </c>
      <c r="E3128">
        <v>4.12</v>
      </c>
      <c r="F3128">
        <v>0</v>
      </c>
      <c r="G3128">
        <v>2.68</v>
      </c>
      <c r="H3128">
        <v>39.411762000000003</v>
      </c>
      <c r="I3128">
        <v>61.89</v>
      </c>
      <c r="J3128">
        <v>62.1</v>
      </c>
      <c r="K3128">
        <v>341</v>
      </c>
      <c r="L3128">
        <v>80.7</v>
      </c>
      <c r="M3128">
        <v>17.899999999999999</v>
      </c>
      <c r="N3128">
        <v>14.758176000000001</v>
      </c>
      <c r="O3128">
        <v>388260000</v>
      </c>
      <c r="P3128">
        <v>3.9646756860000001</v>
      </c>
      <c r="Q3128">
        <v>867.49148679999996</v>
      </c>
      <c r="R3128">
        <v>3</v>
      </c>
      <c r="S3128">
        <v>65610</v>
      </c>
      <c r="T3128">
        <v>7.8730539999999998</v>
      </c>
      <c r="U3128">
        <v>80.771797000000007</v>
      </c>
    </row>
    <row r="3129" spans="1:21">
      <c r="A3129" t="s">
        <v>172</v>
      </c>
      <c r="B3129">
        <v>2003</v>
      </c>
      <c r="C3129">
        <v>2852.4663</v>
      </c>
      <c r="D3129">
        <v>12409.99985</v>
      </c>
      <c r="E3129">
        <v>4.1399999999999997</v>
      </c>
      <c r="F3129">
        <v>0</v>
      </c>
      <c r="G3129">
        <v>3.27</v>
      </c>
      <c r="H3129">
        <v>44.129555000000003</v>
      </c>
      <c r="I3129">
        <v>65.33</v>
      </c>
      <c r="J3129">
        <v>61.31</v>
      </c>
      <c r="K3129">
        <v>341</v>
      </c>
      <c r="L3129">
        <v>74.998819999999995</v>
      </c>
      <c r="M3129">
        <v>18.5</v>
      </c>
      <c r="N3129">
        <v>17.510587999999998</v>
      </c>
      <c r="O3129">
        <v>40000</v>
      </c>
      <c r="P3129">
        <v>5.940269078</v>
      </c>
      <c r="Q3129">
        <v>982.195697</v>
      </c>
      <c r="R3129">
        <v>3</v>
      </c>
      <c r="S3129">
        <v>65610</v>
      </c>
      <c r="T3129">
        <v>7.8730539999999998</v>
      </c>
      <c r="U3129">
        <v>80.771797000000007</v>
      </c>
    </row>
    <row r="3130" spans="1:21">
      <c r="A3130" t="s">
        <v>172</v>
      </c>
      <c r="B3130">
        <v>2004</v>
      </c>
      <c r="C3130">
        <v>2745.2892999999999</v>
      </c>
      <c r="D3130">
        <v>12869.999889999999</v>
      </c>
      <c r="E3130">
        <v>4.9400000000000004</v>
      </c>
      <c r="F3130">
        <v>0</v>
      </c>
      <c r="G3130">
        <v>2.94</v>
      </c>
      <c r="H3130">
        <v>37.309643000000001</v>
      </c>
      <c r="I3130">
        <v>66.56</v>
      </c>
      <c r="J3130">
        <v>61.61</v>
      </c>
      <c r="K3130">
        <v>341</v>
      </c>
      <c r="L3130">
        <v>76.568579999999997</v>
      </c>
      <c r="M3130">
        <v>18.7</v>
      </c>
      <c r="N3130">
        <v>16.025321999999999</v>
      </c>
      <c r="O3130">
        <v>130000</v>
      </c>
      <c r="P3130">
        <v>5.4450612779999998</v>
      </c>
      <c r="Q3130">
        <v>1065.784437</v>
      </c>
      <c r="R3130">
        <v>2.88</v>
      </c>
      <c r="S3130">
        <v>65610</v>
      </c>
      <c r="T3130">
        <v>7.8730539999999998</v>
      </c>
      <c r="U3130">
        <v>80.771797000000007</v>
      </c>
    </row>
    <row r="3131" spans="1:21">
      <c r="A3131" t="s">
        <v>172</v>
      </c>
      <c r="B3131">
        <v>2005</v>
      </c>
      <c r="C3131">
        <v>3140.5315000000001</v>
      </c>
      <c r="D3131">
        <v>13979.999540000001</v>
      </c>
      <c r="E3131">
        <v>5.5</v>
      </c>
      <c r="F3131">
        <v>0</v>
      </c>
      <c r="G3131">
        <v>3.43</v>
      </c>
      <c r="H3131">
        <v>38.409855</v>
      </c>
      <c r="I3131">
        <v>66.64</v>
      </c>
      <c r="J3131">
        <v>60.08</v>
      </c>
      <c r="K3131">
        <v>341</v>
      </c>
      <c r="L3131">
        <v>78.137810000000002</v>
      </c>
      <c r="M3131">
        <v>19.5</v>
      </c>
      <c r="N3131">
        <v>16.077099</v>
      </c>
      <c r="O3131">
        <v>24750000</v>
      </c>
      <c r="P3131">
        <v>6.2417480449999996</v>
      </c>
      <c r="Q3131">
        <v>1248.698185</v>
      </c>
      <c r="R3131">
        <v>2.78</v>
      </c>
      <c r="S3131">
        <v>65610</v>
      </c>
      <c r="T3131">
        <v>7.8730539999999998</v>
      </c>
      <c r="U3131">
        <v>80.771797000000007</v>
      </c>
    </row>
    <row r="3132" spans="1:21">
      <c r="A3132" t="s">
        <v>172</v>
      </c>
      <c r="B3132">
        <v>2006</v>
      </c>
      <c r="C3132">
        <v>3338.2831999999999</v>
      </c>
      <c r="D3132">
        <v>12399.999620000001</v>
      </c>
      <c r="E3132">
        <v>4.55</v>
      </c>
      <c r="F3132">
        <v>0</v>
      </c>
      <c r="G3132">
        <v>3.86</v>
      </c>
      <c r="H3132">
        <v>45.897742999999998</v>
      </c>
      <c r="I3132">
        <v>67.319999999999993</v>
      </c>
      <c r="J3132">
        <v>62.18</v>
      </c>
      <c r="K3132">
        <v>341</v>
      </c>
      <c r="L3132">
        <v>82.05</v>
      </c>
      <c r="M3132">
        <v>19.8</v>
      </c>
      <c r="N3132">
        <v>19.959389000000002</v>
      </c>
      <c r="O3132">
        <v>90000</v>
      </c>
      <c r="P3132">
        <v>7.6682918999999998</v>
      </c>
      <c r="Q3132">
        <v>1435.8168129999999</v>
      </c>
      <c r="R3132">
        <v>2.6</v>
      </c>
      <c r="S3132">
        <v>65610</v>
      </c>
      <c r="T3132">
        <v>7.8730539999999998</v>
      </c>
      <c r="U3132">
        <v>80.771797000000007</v>
      </c>
    </row>
    <row r="3133" spans="1:21">
      <c r="A3133" t="s">
        <v>172</v>
      </c>
      <c r="B3133">
        <v>2007</v>
      </c>
      <c r="C3133">
        <v>3358.7993000000001</v>
      </c>
      <c r="D3133">
        <v>13590.00015</v>
      </c>
      <c r="E3133">
        <v>5.57</v>
      </c>
      <c r="F3133">
        <v>0</v>
      </c>
      <c r="G3133">
        <v>3.94</v>
      </c>
      <c r="H3133">
        <v>41.430073</v>
      </c>
      <c r="I3133">
        <v>67.2</v>
      </c>
      <c r="J3133">
        <v>60.2</v>
      </c>
      <c r="K3133">
        <v>341</v>
      </c>
      <c r="L3133">
        <v>80</v>
      </c>
      <c r="M3133">
        <v>20.3</v>
      </c>
      <c r="N3133">
        <v>16.628553</v>
      </c>
      <c r="O3133">
        <v>38210000</v>
      </c>
      <c r="P3133">
        <v>6.7968261190000003</v>
      </c>
      <c r="Q3133">
        <v>1630.3889059999999</v>
      </c>
      <c r="R3133">
        <v>2.48</v>
      </c>
      <c r="S3133">
        <v>65610</v>
      </c>
      <c r="T3133">
        <v>7.8730539999999998</v>
      </c>
      <c r="U3133">
        <v>80.771797000000007</v>
      </c>
    </row>
    <row r="3134" spans="1:21">
      <c r="A3134" t="s">
        <v>172</v>
      </c>
      <c r="B3134">
        <v>2008</v>
      </c>
      <c r="C3134">
        <v>3134.0297999999998</v>
      </c>
      <c r="D3134">
        <v>12810.00042</v>
      </c>
      <c r="E3134">
        <v>5.46</v>
      </c>
      <c r="F3134">
        <v>0</v>
      </c>
      <c r="G3134">
        <v>4.16</v>
      </c>
      <c r="H3134">
        <v>43.243243999999997</v>
      </c>
      <c r="I3134">
        <v>68.42</v>
      </c>
      <c r="J3134">
        <v>61.58</v>
      </c>
      <c r="K3134">
        <v>341</v>
      </c>
      <c r="L3134">
        <v>82.86739</v>
      </c>
      <c r="M3134">
        <v>20.9</v>
      </c>
      <c r="N3134">
        <v>18.366499999999998</v>
      </c>
      <c r="O3134">
        <v>120000</v>
      </c>
      <c r="P3134">
        <v>5.9500881449999996</v>
      </c>
      <c r="Q3134">
        <v>2037.322103</v>
      </c>
      <c r="R3134">
        <v>2.2799999999999998</v>
      </c>
      <c r="S3134">
        <v>65610</v>
      </c>
      <c r="T3134">
        <v>7.8730539999999998</v>
      </c>
      <c r="U3134">
        <v>80.771797000000007</v>
      </c>
    </row>
    <row r="3135" spans="1:21">
      <c r="A3135" t="s">
        <v>172</v>
      </c>
      <c r="B3135">
        <v>2009</v>
      </c>
      <c r="C3135">
        <v>3147.0713000000001</v>
      </c>
      <c r="D3135">
        <v>12289.999959999999</v>
      </c>
      <c r="E3135">
        <v>5.67</v>
      </c>
      <c r="F3135">
        <v>0</v>
      </c>
      <c r="G3135">
        <v>3.94</v>
      </c>
      <c r="H3135">
        <v>40.998961999999999</v>
      </c>
      <c r="I3135">
        <v>69.790000000000006</v>
      </c>
      <c r="J3135">
        <v>63.51</v>
      </c>
      <c r="K3135">
        <v>341</v>
      </c>
      <c r="L3135">
        <v>87.09</v>
      </c>
      <c r="M3135">
        <v>21.3</v>
      </c>
      <c r="N3135">
        <v>17.016684000000001</v>
      </c>
      <c r="O3135">
        <v>11750000</v>
      </c>
      <c r="P3135">
        <v>3.5389120529999998</v>
      </c>
      <c r="Q3135">
        <v>2090.4018259999998</v>
      </c>
      <c r="R3135">
        <v>2.2400000000000002</v>
      </c>
      <c r="S3135">
        <v>65610</v>
      </c>
      <c r="T3135">
        <v>7.8730539999999998</v>
      </c>
      <c r="U3135">
        <v>80.771797000000007</v>
      </c>
    </row>
    <row r="3136" spans="1:21">
      <c r="A3136" t="s">
        <v>172</v>
      </c>
      <c r="B3136">
        <v>2010</v>
      </c>
      <c r="C3136">
        <v>3368.2033999999999</v>
      </c>
      <c r="D3136">
        <v>13069.999690000001</v>
      </c>
      <c r="E3136">
        <v>4.76</v>
      </c>
      <c r="F3136">
        <v>0</v>
      </c>
      <c r="G3136">
        <v>5.69</v>
      </c>
      <c r="H3136">
        <v>54.449759999999998</v>
      </c>
      <c r="I3136">
        <v>71.14</v>
      </c>
      <c r="J3136">
        <v>61.85</v>
      </c>
      <c r="K3136">
        <v>341</v>
      </c>
      <c r="L3136">
        <v>85.3</v>
      </c>
      <c r="M3136">
        <v>21.7</v>
      </c>
      <c r="N3136">
        <v>22.894518000000001</v>
      </c>
      <c r="O3136">
        <v>44570000</v>
      </c>
      <c r="P3136">
        <v>8.0159673710000003</v>
      </c>
      <c r="Q3136">
        <v>2799.6487379999999</v>
      </c>
      <c r="R3136">
        <v>2.21</v>
      </c>
      <c r="S3136">
        <v>65610</v>
      </c>
      <c r="T3136">
        <v>7.8730539999999998</v>
      </c>
      <c r="U3136">
        <v>80.771797000000007</v>
      </c>
    </row>
    <row r="3137" spans="1:21">
      <c r="A3137" t="s">
        <v>172</v>
      </c>
      <c r="B3137">
        <v>2011</v>
      </c>
      <c r="C3137">
        <v>3623.1970000000001</v>
      </c>
      <c r="D3137">
        <v>15420.00008</v>
      </c>
      <c r="E3137">
        <v>6.47</v>
      </c>
      <c r="F3137">
        <v>0</v>
      </c>
      <c r="G3137">
        <v>4.72</v>
      </c>
      <c r="H3137">
        <v>42.180515</v>
      </c>
      <c r="I3137">
        <v>72.11</v>
      </c>
      <c r="J3137">
        <v>59.25</v>
      </c>
      <c r="K3137">
        <v>341</v>
      </c>
      <c r="L3137">
        <v>87.76</v>
      </c>
      <c r="M3137">
        <v>22.3</v>
      </c>
      <c r="N3137">
        <v>17.231127000000001</v>
      </c>
      <c r="O3137">
        <v>7090000</v>
      </c>
      <c r="P3137">
        <v>8.4047330210000002</v>
      </c>
      <c r="Q3137">
        <v>3200.861132</v>
      </c>
      <c r="R3137">
        <v>2.21</v>
      </c>
      <c r="S3137">
        <v>65610</v>
      </c>
      <c r="T3137">
        <v>7.8730539999999998</v>
      </c>
      <c r="U3137">
        <v>80.771797000000007</v>
      </c>
    </row>
    <row r="3138" spans="1:21">
      <c r="A3138" t="s">
        <v>172</v>
      </c>
      <c r="B3138">
        <v>2012</v>
      </c>
      <c r="C3138">
        <v>3708.9926999999998</v>
      </c>
      <c r="D3138">
        <v>16850.000380000001</v>
      </c>
      <c r="E3138">
        <v>7.89</v>
      </c>
      <c r="F3138">
        <v>0</v>
      </c>
      <c r="G3138">
        <v>3.48</v>
      </c>
      <c r="H3138">
        <v>30.606860999999999</v>
      </c>
      <c r="I3138">
        <v>82.19</v>
      </c>
      <c r="J3138">
        <v>60.7</v>
      </c>
      <c r="K3138">
        <v>341</v>
      </c>
      <c r="L3138">
        <v>87</v>
      </c>
      <c r="M3138">
        <v>23</v>
      </c>
      <c r="N3138">
        <v>12.257574</v>
      </c>
      <c r="O3138">
        <v>225580000</v>
      </c>
      <c r="P3138">
        <v>9.1445722459999992</v>
      </c>
      <c r="Q3138">
        <v>3350.5218759999998</v>
      </c>
      <c r="R3138">
        <v>2.1800000000000002</v>
      </c>
      <c r="S3138">
        <v>65610</v>
      </c>
      <c r="T3138">
        <v>7.8730539999999998</v>
      </c>
      <c r="U3138">
        <v>80.771797000000007</v>
      </c>
    </row>
    <row r="3139" spans="1:21">
      <c r="A3139" t="s">
        <v>172</v>
      </c>
      <c r="B3139">
        <v>2013</v>
      </c>
      <c r="C3139">
        <v>3748.5814999999998</v>
      </c>
      <c r="D3139">
        <v>14479.999540000001</v>
      </c>
      <c r="E3139">
        <v>4.5199999999999996</v>
      </c>
      <c r="F3139">
        <v>0</v>
      </c>
      <c r="G3139">
        <v>7.14</v>
      </c>
      <c r="H3139">
        <v>61.234993000000003</v>
      </c>
      <c r="I3139">
        <v>83.7</v>
      </c>
      <c r="J3139">
        <v>59.88</v>
      </c>
      <c r="K3139">
        <v>341</v>
      </c>
      <c r="L3139">
        <v>90.2</v>
      </c>
      <c r="M3139">
        <v>24</v>
      </c>
      <c r="N3139">
        <v>24.803470000000001</v>
      </c>
      <c r="O3139">
        <v>2340000</v>
      </c>
      <c r="P3139">
        <v>3.3957326499999998</v>
      </c>
      <c r="Q3139">
        <v>3610.2893629999999</v>
      </c>
      <c r="R3139">
        <v>1.87</v>
      </c>
      <c r="S3139">
        <v>65610</v>
      </c>
      <c r="T3139">
        <v>7.8730539999999998</v>
      </c>
      <c r="U3139">
        <v>80.771797000000007</v>
      </c>
    </row>
    <row r="3140" spans="1:21">
      <c r="A3140" t="s">
        <v>172</v>
      </c>
      <c r="B3140">
        <v>2014</v>
      </c>
      <c r="C3140">
        <v>4007.7143999999998</v>
      </c>
      <c r="D3140">
        <v>17600.000380000001</v>
      </c>
      <c r="E3140">
        <v>7.1</v>
      </c>
      <c r="F3140">
        <v>0</v>
      </c>
      <c r="G3140">
        <v>4.87</v>
      </c>
      <c r="H3140">
        <v>40.685043</v>
      </c>
      <c r="I3140">
        <v>88.37</v>
      </c>
      <c r="J3140">
        <v>57.31</v>
      </c>
      <c r="K3140">
        <v>341</v>
      </c>
      <c r="L3140">
        <v>92.660515000000004</v>
      </c>
      <c r="M3140">
        <v>24.8</v>
      </c>
      <c r="N3140">
        <v>15.632899999999999</v>
      </c>
      <c r="O3140">
        <v>119750000</v>
      </c>
      <c r="P3140">
        <v>4.9607005920000002</v>
      </c>
      <c r="Q3140">
        <v>3819.25353</v>
      </c>
      <c r="R3140">
        <v>1.93</v>
      </c>
      <c r="S3140">
        <v>65610</v>
      </c>
      <c r="T3140">
        <v>7.8730539999999998</v>
      </c>
      <c r="U3140">
        <v>80.771797000000007</v>
      </c>
    </row>
    <row r="3141" spans="1:21">
      <c r="A3141" t="s">
        <v>172</v>
      </c>
      <c r="B3141">
        <v>2015</v>
      </c>
      <c r="C3141">
        <v>4476.9306999999999</v>
      </c>
      <c r="D3141">
        <v>20360.000609999999</v>
      </c>
      <c r="E3141">
        <v>6.38</v>
      </c>
      <c r="F3141">
        <v>0</v>
      </c>
      <c r="G3141">
        <v>6.34</v>
      </c>
      <c r="H3141">
        <v>49.842765999999997</v>
      </c>
      <c r="I3141">
        <v>89.82</v>
      </c>
      <c r="J3141">
        <v>52.89</v>
      </c>
      <c r="K3141">
        <v>341</v>
      </c>
      <c r="L3141">
        <v>94.351870000000005</v>
      </c>
      <c r="M3141">
        <v>25.75</v>
      </c>
      <c r="N3141">
        <v>18.154892</v>
      </c>
      <c r="O3141">
        <v>450000</v>
      </c>
      <c r="P3141">
        <v>5.0076833049999996</v>
      </c>
      <c r="Q3141">
        <v>3843.7806719999999</v>
      </c>
      <c r="R3141">
        <v>1.94</v>
      </c>
      <c r="S3141">
        <v>65610</v>
      </c>
      <c r="T3141">
        <v>7.8730539999999998</v>
      </c>
      <c r="U3141">
        <v>80.771797000000007</v>
      </c>
    </row>
    <row r="3142" spans="1:21">
      <c r="A3142" t="s">
        <v>172</v>
      </c>
      <c r="B3142">
        <v>2016</v>
      </c>
      <c r="C3142">
        <v>4878.1419999999998</v>
      </c>
      <c r="D3142">
        <v>21930.000309999999</v>
      </c>
      <c r="E3142">
        <v>9.01</v>
      </c>
      <c r="F3142">
        <v>0</v>
      </c>
      <c r="G3142">
        <v>4.68</v>
      </c>
      <c r="H3142">
        <v>34.185535000000002</v>
      </c>
      <c r="I3142">
        <v>92.86</v>
      </c>
      <c r="J3142">
        <v>50.92</v>
      </c>
      <c r="K3142">
        <v>341</v>
      </c>
      <c r="L3142">
        <v>97.5</v>
      </c>
      <c r="M3142">
        <v>26.9</v>
      </c>
      <c r="N3142">
        <v>12.233840000000001</v>
      </c>
      <c r="O3142">
        <v>61260000</v>
      </c>
      <c r="P3142">
        <v>4.486634531</v>
      </c>
      <c r="Q3142">
        <v>3886.291502</v>
      </c>
      <c r="R3142">
        <v>1.91</v>
      </c>
      <c r="S3142">
        <v>65610</v>
      </c>
      <c r="T3142">
        <v>7.8730539999999998</v>
      </c>
      <c r="U3142">
        <v>80.771797000000007</v>
      </c>
    </row>
    <row r="3143" spans="1:21">
      <c r="A3143" t="s">
        <v>172</v>
      </c>
      <c r="B3143">
        <v>2017</v>
      </c>
      <c r="C3143">
        <v>4726.2839999999997</v>
      </c>
      <c r="D3143">
        <v>23360.000609999999</v>
      </c>
      <c r="E3143">
        <v>10.1</v>
      </c>
      <c r="F3143">
        <v>0</v>
      </c>
      <c r="G3143">
        <v>4.59</v>
      </c>
      <c r="H3143">
        <v>31.245747000000001</v>
      </c>
      <c r="I3143">
        <v>96.99</v>
      </c>
      <c r="J3143">
        <v>49.33</v>
      </c>
      <c r="K3143">
        <v>341</v>
      </c>
      <c r="L3143">
        <v>97.5</v>
      </c>
      <c r="M3143">
        <v>28.2</v>
      </c>
      <c r="N3143">
        <v>12.293098000000001</v>
      </c>
      <c r="O3143">
        <v>211630000</v>
      </c>
      <c r="P3143">
        <v>3.5781696790000002</v>
      </c>
      <c r="Q3143">
        <v>4077.0438410000002</v>
      </c>
      <c r="R3143">
        <v>1.81</v>
      </c>
      <c r="S3143">
        <v>65610</v>
      </c>
      <c r="T3143">
        <v>7.8730539999999998</v>
      </c>
      <c r="U3143">
        <v>80.771797000000007</v>
      </c>
    </row>
    <row r="3144" spans="1:21">
      <c r="A3144" t="s">
        <v>172</v>
      </c>
      <c r="B3144">
        <v>2018</v>
      </c>
      <c r="C3144">
        <v>4876.866</v>
      </c>
      <c r="D3144">
        <v>21690.000530000001</v>
      </c>
      <c r="E3144">
        <v>7.92</v>
      </c>
      <c r="F3144">
        <v>0</v>
      </c>
      <c r="G3144">
        <v>7.04</v>
      </c>
      <c r="H3144">
        <v>47.058822999999997</v>
      </c>
      <c r="I3144">
        <v>101.89</v>
      </c>
      <c r="J3144">
        <v>51.4</v>
      </c>
      <c r="K3144">
        <v>341</v>
      </c>
      <c r="L3144">
        <v>99.564869999999999</v>
      </c>
      <c r="M3144">
        <v>29.4</v>
      </c>
      <c r="N3144">
        <v>18.060566000000001</v>
      </c>
      <c r="O3144">
        <v>200450000</v>
      </c>
      <c r="P3144">
        <v>3.2720004789999999</v>
      </c>
      <c r="Q3144">
        <v>4059.2082300000002</v>
      </c>
      <c r="R3144">
        <v>1.76</v>
      </c>
      <c r="S3144">
        <v>65610</v>
      </c>
      <c r="T3144">
        <v>7.8730539999999998</v>
      </c>
      <c r="U3144">
        <v>80.771797000000007</v>
      </c>
    </row>
    <row r="3145" spans="1:21">
      <c r="A3145" t="s">
        <v>172</v>
      </c>
      <c r="B3145">
        <v>2019</v>
      </c>
      <c r="C3145">
        <v>4973.5986000000003</v>
      </c>
      <c r="D3145">
        <v>23780.000690000001</v>
      </c>
      <c r="E3145">
        <v>10.18</v>
      </c>
      <c r="F3145">
        <v>0</v>
      </c>
      <c r="G3145">
        <v>5.71</v>
      </c>
      <c r="H3145">
        <v>35.934547000000002</v>
      </c>
      <c r="I3145">
        <v>103.77</v>
      </c>
      <c r="J3145">
        <v>49.91</v>
      </c>
      <c r="K3145">
        <v>341</v>
      </c>
      <c r="L3145">
        <v>99.758570000000006</v>
      </c>
      <c r="M3145">
        <v>30.6</v>
      </c>
      <c r="N3145">
        <v>14.141156000000001</v>
      </c>
      <c r="O3145">
        <v>170000</v>
      </c>
      <c r="P3145">
        <v>2.2551765289999999</v>
      </c>
      <c r="Q3145">
        <v>3852.2656029999998</v>
      </c>
      <c r="R3145">
        <v>1.78</v>
      </c>
      <c r="S3145">
        <v>65610</v>
      </c>
      <c r="T3145">
        <v>7.8730539999999998</v>
      </c>
      <c r="U3145">
        <v>80.771797000000007</v>
      </c>
    </row>
    <row r="3146" spans="1:21">
      <c r="A3146" t="s">
        <v>172</v>
      </c>
      <c r="B3146">
        <v>2020</v>
      </c>
      <c r="C3146">
        <v>4853.1103999999996</v>
      </c>
      <c r="E3146">
        <v>9.64</v>
      </c>
      <c r="F3146">
        <v>0</v>
      </c>
      <c r="G3146">
        <v>5.94</v>
      </c>
      <c r="H3146">
        <v>38.125799999999998</v>
      </c>
      <c r="I3146">
        <v>109.83</v>
      </c>
      <c r="K3146">
        <v>341</v>
      </c>
      <c r="L3146">
        <v>100</v>
      </c>
      <c r="M3146">
        <v>32.200000000000003</v>
      </c>
      <c r="N3146">
        <v>15.967421999999999</v>
      </c>
      <c r="P3146">
        <v>-3.5690761370000001</v>
      </c>
      <c r="Q3146">
        <v>3680.6734769999998</v>
      </c>
      <c r="S3146">
        <v>65610</v>
      </c>
      <c r="T3146">
        <v>7.8730539999999998</v>
      </c>
      <c r="U3146">
        <v>80.771797000000007</v>
      </c>
    </row>
    <row r="3147" spans="1:21">
      <c r="A3147" t="s">
        <v>173</v>
      </c>
      <c r="B3147">
        <v>2000</v>
      </c>
      <c r="C3147">
        <v>1182.5435</v>
      </c>
      <c r="D3147">
        <v>5690</v>
      </c>
      <c r="E3147">
        <v>1.23</v>
      </c>
      <c r="F3147">
        <v>0</v>
      </c>
      <c r="G3147">
        <v>1.35</v>
      </c>
      <c r="H3147">
        <v>52.325583999999999</v>
      </c>
      <c r="I3147">
        <v>14.95</v>
      </c>
      <c r="J3147">
        <v>80.42</v>
      </c>
      <c r="K3147">
        <v>25</v>
      </c>
      <c r="L3147">
        <v>23</v>
      </c>
      <c r="M3147">
        <v>7.6</v>
      </c>
      <c r="P3147">
        <v>6.3458677689999998</v>
      </c>
      <c r="Q3147">
        <v>366.17274200000003</v>
      </c>
      <c r="R3147">
        <v>7.88</v>
      </c>
      <c r="S3147">
        <v>1861484</v>
      </c>
      <c r="T3147">
        <v>12.862807</v>
      </c>
      <c r="U3147">
        <v>30.217635999999999</v>
      </c>
    </row>
    <row r="3148" spans="1:21">
      <c r="A3148" t="s">
        <v>173</v>
      </c>
      <c r="B3148">
        <v>2001</v>
      </c>
      <c r="C3148">
        <v>1239.9237000000001</v>
      </c>
      <c r="D3148">
        <v>6250</v>
      </c>
      <c r="E3148">
        <v>1.38</v>
      </c>
      <c r="F3148">
        <v>0</v>
      </c>
      <c r="G3148">
        <v>1.45</v>
      </c>
      <c r="H3148">
        <v>51.236750000000001</v>
      </c>
      <c r="I3148">
        <v>14.58</v>
      </c>
      <c r="J3148">
        <v>79.38</v>
      </c>
      <c r="K3148">
        <v>25</v>
      </c>
      <c r="L3148">
        <v>29.255226</v>
      </c>
      <c r="M3148">
        <v>9.5</v>
      </c>
      <c r="P3148">
        <v>6.5003604209999999</v>
      </c>
      <c r="Q3148">
        <v>456.62423790000003</v>
      </c>
      <c r="R3148">
        <v>7.84</v>
      </c>
      <c r="S3148">
        <v>1861484</v>
      </c>
      <c r="T3148">
        <v>12.862807</v>
      </c>
      <c r="U3148">
        <v>30.217635999999999</v>
      </c>
    </row>
    <row r="3149" spans="1:21">
      <c r="A3149" t="s">
        <v>173</v>
      </c>
      <c r="B3149">
        <v>2002</v>
      </c>
      <c r="C3149">
        <v>1434.7619999999999</v>
      </c>
      <c r="D3149">
        <v>7710.0000380000001</v>
      </c>
      <c r="E3149">
        <v>1.59</v>
      </c>
      <c r="F3149">
        <v>0</v>
      </c>
      <c r="G3149">
        <v>1.5</v>
      </c>
      <c r="H3149">
        <v>48.543689999999998</v>
      </c>
      <c r="I3149">
        <v>14.21</v>
      </c>
      <c r="J3149">
        <v>76.760000000000005</v>
      </c>
      <c r="K3149">
        <v>25</v>
      </c>
      <c r="L3149">
        <v>29.525601999999999</v>
      </c>
      <c r="M3149">
        <v>11.2</v>
      </c>
      <c r="P3149">
        <v>6.0064715360000003</v>
      </c>
      <c r="Q3149">
        <v>512.44125819999999</v>
      </c>
      <c r="R3149">
        <v>7.91</v>
      </c>
      <c r="S3149">
        <v>1861484</v>
      </c>
      <c r="T3149">
        <v>12.862807</v>
      </c>
      <c r="U3149">
        <v>30.217635999999999</v>
      </c>
    </row>
    <row r="3150" spans="1:21">
      <c r="A3150" t="s">
        <v>173</v>
      </c>
      <c r="B3150">
        <v>2003</v>
      </c>
      <c r="C3150">
        <v>1455.1570999999999</v>
      </c>
      <c r="D3150">
        <v>7929.999828</v>
      </c>
      <c r="E3150">
        <v>2</v>
      </c>
      <c r="F3150">
        <v>0</v>
      </c>
      <c r="G3150">
        <v>1.33</v>
      </c>
      <c r="H3150">
        <v>39.93994</v>
      </c>
      <c r="I3150">
        <v>13.84</v>
      </c>
      <c r="J3150">
        <v>77</v>
      </c>
      <c r="K3150">
        <v>25</v>
      </c>
      <c r="L3150">
        <v>29.790566999999999</v>
      </c>
      <c r="M3150">
        <v>13.4</v>
      </c>
      <c r="O3150">
        <v>1317960000</v>
      </c>
      <c r="P3150">
        <v>6.2888081610000004</v>
      </c>
      <c r="Q3150">
        <v>586.75321140000005</v>
      </c>
      <c r="R3150">
        <v>7.13</v>
      </c>
      <c r="S3150">
        <v>1861484</v>
      </c>
      <c r="T3150">
        <v>12.862807</v>
      </c>
      <c r="U3150">
        <v>30.217635999999999</v>
      </c>
    </row>
    <row r="3151" spans="1:21">
      <c r="A3151" t="s">
        <v>173</v>
      </c>
      <c r="B3151">
        <v>2004</v>
      </c>
      <c r="C3151">
        <v>1560.1315</v>
      </c>
      <c r="D3151">
        <v>8829.9999239999997</v>
      </c>
      <c r="E3151">
        <v>2.2000000000000002</v>
      </c>
      <c r="F3151">
        <v>0</v>
      </c>
      <c r="G3151">
        <v>1.26</v>
      </c>
      <c r="H3151">
        <v>36.416182999999997</v>
      </c>
      <c r="I3151">
        <v>13.5</v>
      </c>
      <c r="J3151">
        <v>75.400000000000006</v>
      </c>
      <c r="K3151">
        <v>25</v>
      </c>
      <c r="L3151">
        <v>30.052392999999999</v>
      </c>
      <c r="M3151">
        <v>15.5</v>
      </c>
      <c r="P3151">
        <v>5.1408885179999997</v>
      </c>
      <c r="Q3151">
        <v>711.9219842</v>
      </c>
      <c r="R3151">
        <v>6.86</v>
      </c>
      <c r="S3151">
        <v>1861484</v>
      </c>
      <c r="T3151">
        <v>12.862807</v>
      </c>
      <c r="U3151">
        <v>30.217635999999999</v>
      </c>
    </row>
    <row r="3152" spans="1:21">
      <c r="A3152" t="s">
        <v>173</v>
      </c>
      <c r="B3152">
        <v>2005</v>
      </c>
      <c r="C3152">
        <v>1767.6343999999999</v>
      </c>
      <c r="D3152">
        <v>10500</v>
      </c>
      <c r="E3152">
        <v>2.38</v>
      </c>
      <c r="F3152">
        <v>0</v>
      </c>
      <c r="G3152">
        <v>1.42</v>
      </c>
      <c r="H3152">
        <v>37.36842</v>
      </c>
      <c r="I3152">
        <v>14.16</v>
      </c>
      <c r="J3152">
        <v>72.28</v>
      </c>
      <c r="K3152">
        <v>25</v>
      </c>
      <c r="L3152">
        <v>30.313347</v>
      </c>
      <c r="M3152">
        <v>17.899999999999999</v>
      </c>
      <c r="P3152">
        <v>5.6435155129999997</v>
      </c>
      <c r="Q3152">
        <v>914.1665223</v>
      </c>
      <c r="R3152">
        <v>6.6</v>
      </c>
      <c r="S3152">
        <v>1861484</v>
      </c>
      <c r="T3152">
        <v>12.862807</v>
      </c>
      <c r="U3152">
        <v>30.217635999999999</v>
      </c>
    </row>
    <row r="3153" spans="1:21">
      <c r="A3153" t="s">
        <v>173</v>
      </c>
      <c r="B3153">
        <v>2006</v>
      </c>
      <c r="C3153">
        <v>2052.4445999999998</v>
      </c>
      <c r="D3153">
        <v>12899.999620000001</v>
      </c>
      <c r="E3153">
        <v>2.9</v>
      </c>
      <c r="F3153">
        <v>0</v>
      </c>
      <c r="G3153">
        <v>1.56</v>
      </c>
      <c r="H3153">
        <v>34.977576999999997</v>
      </c>
      <c r="I3153">
        <v>13.85</v>
      </c>
      <c r="J3153">
        <v>69.25</v>
      </c>
      <c r="K3153">
        <v>25</v>
      </c>
      <c r="L3153">
        <v>30.575792</v>
      </c>
      <c r="M3153">
        <v>21.3</v>
      </c>
      <c r="P3153">
        <v>6.5314117469999999</v>
      </c>
      <c r="Q3153">
        <v>1143.932251</v>
      </c>
      <c r="R3153">
        <v>6.42</v>
      </c>
      <c r="S3153">
        <v>1861484</v>
      </c>
      <c r="T3153">
        <v>12.862807</v>
      </c>
      <c r="U3153">
        <v>30.217635999999999</v>
      </c>
    </row>
    <row r="3154" spans="1:21">
      <c r="A3154" t="s">
        <v>173</v>
      </c>
      <c r="B3154">
        <v>2007</v>
      </c>
      <c r="C3154">
        <v>2118.6284000000001</v>
      </c>
      <c r="D3154">
        <v>13960.000040000001</v>
      </c>
      <c r="E3154">
        <v>3.28</v>
      </c>
      <c r="F3154">
        <v>0</v>
      </c>
      <c r="G3154">
        <v>1.66</v>
      </c>
      <c r="H3154">
        <v>33.603237</v>
      </c>
      <c r="I3154">
        <v>13.55</v>
      </c>
      <c r="J3154">
        <v>65.64</v>
      </c>
      <c r="K3154">
        <v>25</v>
      </c>
      <c r="L3154">
        <v>30.842441999999998</v>
      </c>
      <c r="M3154">
        <v>24.15</v>
      </c>
      <c r="P3154">
        <v>5.7352742369999996</v>
      </c>
      <c r="Q3154">
        <v>1461.315914</v>
      </c>
      <c r="R3154">
        <v>5.54</v>
      </c>
      <c r="S3154">
        <v>1861484</v>
      </c>
      <c r="T3154">
        <v>12.862807</v>
      </c>
      <c r="U3154">
        <v>30.217635999999999</v>
      </c>
    </row>
    <row r="3155" spans="1:21">
      <c r="A3155" t="s">
        <v>173</v>
      </c>
      <c r="B3155">
        <v>2008</v>
      </c>
      <c r="C3155">
        <v>2246.1689999999999</v>
      </c>
      <c r="D3155">
        <v>14949.999809999999</v>
      </c>
      <c r="E3155">
        <v>3.76</v>
      </c>
      <c r="F3155">
        <v>0</v>
      </c>
      <c r="G3155">
        <v>1.64</v>
      </c>
      <c r="H3155">
        <v>30.370369</v>
      </c>
      <c r="I3155">
        <v>13.27</v>
      </c>
      <c r="J3155">
        <v>63.51</v>
      </c>
      <c r="K3155">
        <v>25</v>
      </c>
      <c r="L3155">
        <v>19.97</v>
      </c>
      <c r="M3155">
        <v>26.6</v>
      </c>
      <c r="P3155">
        <v>3.8467447309999998</v>
      </c>
      <c r="Q3155">
        <v>1551.085771</v>
      </c>
      <c r="R3155">
        <v>5.23</v>
      </c>
      <c r="S3155">
        <v>1861484</v>
      </c>
      <c r="T3155">
        <v>12.862807</v>
      </c>
      <c r="U3155">
        <v>30.217635999999999</v>
      </c>
    </row>
    <row r="3156" spans="1:21">
      <c r="A3156" t="s">
        <v>173</v>
      </c>
      <c r="B3156">
        <v>2009</v>
      </c>
      <c r="C3156">
        <v>2354.9652999999998</v>
      </c>
      <c r="D3156">
        <v>15479.999540000001</v>
      </c>
      <c r="E3156">
        <v>3.07</v>
      </c>
      <c r="F3156">
        <v>0</v>
      </c>
      <c r="G3156">
        <v>3.35</v>
      </c>
      <c r="H3156">
        <v>52.180683000000002</v>
      </c>
      <c r="I3156">
        <v>50</v>
      </c>
      <c r="J3156">
        <v>63.12</v>
      </c>
      <c r="K3156">
        <v>25</v>
      </c>
      <c r="L3156">
        <v>29</v>
      </c>
      <c r="M3156">
        <v>29.7</v>
      </c>
      <c r="P3156">
        <v>-2.7677043659999998</v>
      </c>
      <c r="Q3156">
        <v>1202.557881</v>
      </c>
      <c r="R3156">
        <v>5.3</v>
      </c>
      <c r="S3156">
        <v>1861484</v>
      </c>
      <c r="T3156">
        <v>12.862807</v>
      </c>
      <c r="U3156">
        <v>30.217635999999999</v>
      </c>
    </row>
    <row r="3157" spans="1:21">
      <c r="A3157" t="s">
        <v>173</v>
      </c>
      <c r="B3157">
        <v>2010</v>
      </c>
      <c r="C3157">
        <v>2604.3654999999999</v>
      </c>
      <c r="D3157">
        <v>16420.000080000002</v>
      </c>
      <c r="E3157">
        <v>1.3</v>
      </c>
      <c r="F3157">
        <v>0</v>
      </c>
      <c r="G3157">
        <v>6.2</v>
      </c>
      <c r="H3157">
        <v>82.666663999999997</v>
      </c>
      <c r="I3157">
        <v>48.94</v>
      </c>
      <c r="J3157">
        <v>61.32</v>
      </c>
      <c r="K3157">
        <v>25</v>
      </c>
      <c r="L3157">
        <v>38.039776000000003</v>
      </c>
      <c r="M3157">
        <v>32.5</v>
      </c>
      <c r="O3157">
        <v>85500000</v>
      </c>
      <c r="P3157">
        <v>3.8582419520000002</v>
      </c>
      <c r="Q3157">
        <v>1338.443724</v>
      </c>
      <c r="R3157">
        <v>4.84</v>
      </c>
      <c r="S3157">
        <v>1861484</v>
      </c>
      <c r="T3157">
        <v>12.862807</v>
      </c>
      <c r="U3157">
        <v>30.217635999999999</v>
      </c>
    </row>
    <row r="3158" spans="1:21">
      <c r="A3158" t="s">
        <v>173</v>
      </c>
      <c r="B3158">
        <v>2011</v>
      </c>
      <c r="C3158">
        <v>2462.6390000000001</v>
      </c>
      <c r="D3158">
        <v>15920.00008</v>
      </c>
      <c r="E3158">
        <v>1.9</v>
      </c>
      <c r="F3158">
        <v>0</v>
      </c>
      <c r="G3158">
        <v>6.48</v>
      </c>
      <c r="H3158">
        <v>77.326965000000001</v>
      </c>
      <c r="I3158">
        <v>47.86</v>
      </c>
      <c r="J3158">
        <v>63.68</v>
      </c>
      <c r="K3158">
        <v>25</v>
      </c>
      <c r="L3158">
        <v>39.820805</v>
      </c>
      <c r="M3158">
        <v>35.6</v>
      </c>
      <c r="O3158">
        <v>27700000</v>
      </c>
      <c r="P3158">
        <v>-3.213532093</v>
      </c>
      <c r="Q3158">
        <v>1366.410905</v>
      </c>
      <c r="R3158">
        <v>5.2</v>
      </c>
      <c r="S3158">
        <v>1861484</v>
      </c>
      <c r="T3158">
        <v>12.862807</v>
      </c>
      <c r="U3158">
        <v>30.217635999999999</v>
      </c>
    </row>
    <row r="3159" spans="1:21">
      <c r="A3159" t="s">
        <v>173</v>
      </c>
      <c r="B3159">
        <v>2012</v>
      </c>
      <c r="C3159">
        <v>2326.1280000000002</v>
      </c>
      <c r="D3159">
        <v>15800.000190000001</v>
      </c>
      <c r="E3159">
        <v>2.5299999999999998</v>
      </c>
      <c r="F3159">
        <v>0</v>
      </c>
      <c r="G3159">
        <v>6.8</v>
      </c>
      <c r="H3159">
        <v>72.883170000000007</v>
      </c>
      <c r="I3159">
        <v>49.74</v>
      </c>
      <c r="J3159">
        <v>63.76</v>
      </c>
      <c r="K3159">
        <v>25</v>
      </c>
      <c r="L3159">
        <v>41.591994999999997</v>
      </c>
      <c r="M3159">
        <v>38.950000000000003</v>
      </c>
      <c r="O3159">
        <v>130000</v>
      </c>
      <c r="P3159">
        <v>-17.004688399999999</v>
      </c>
      <c r="Q3159">
        <v>1039.7620509999999</v>
      </c>
      <c r="R3159">
        <v>4.41</v>
      </c>
      <c r="S3159">
        <v>1861484</v>
      </c>
      <c r="T3159">
        <v>12.862807</v>
      </c>
      <c r="U3159">
        <v>30.217635999999999</v>
      </c>
    </row>
    <row r="3160" spans="1:21">
      <c r="A3160" t="s">
        <v>173</v>
      </c>
      <c r="B3160">
        <v>2013</v>
      </c>
      <c r="C3160">
        <v>2385.0165999999999</v>
      </c>
      <c r="D3160">
        <v>15220.00027</v>
      </c>
      <c r="E3160">
        <v>1.82</v>
      </c>
      <c r="F3160">
        <v>0</v>
      </c>
      <c r="G3160">
        <v>8.41</v>
      </c>
      <c r="H3160">
        <v>82.209190000000007</v>
      </c>
      <c r="I3160">
        <v>48.56</v>
      </c>
      <c r="J3160">
        <v>65.7</v>
      </c>
      <c r="K3160">
        <v>25</v>
      </c>
      <c r="L3160">
        <v>43.343516999999999</v>
      </c>
      <c r="M3160">
        <v>40.950000000000003</v>
      </c>
      <c r="O3160">
        <v>3340000</v>
      </c>
      <c r="P3160">
        <v>1.955144633</v>
      </c>
      <c r="Q3160">
        <v>1160.5355520000001</v>
      </c>
      <c r="R3160">
        <v>5.05</v>
      </c>
      <c r="S3160">
        <v>1861484</v>
      </c>
      <c r="T3160">
        <v>12.862807</v>
      </c>
      <c r="U3160">
        <v>30.217635999999999</v>
      </c>
    </row>
    <row r="3161" spans="1:21">
      <c r="A3161" t="s">
        <v>173</v>
      </c>
      <c r="B3161">
        <v>2014</v>
      </c>
      <c r="C3161">
        <v>2378.8402999999998</v>
      </c>
      <c r="D3161">
        <v>16120.000840000001</v>
      </c>
      <c r="E3161">
        <v>2.23</v>
      </c>
      <c r="F3161">
        <v>0</v>
      </c>
      <c r="G3161">
        <v>9.0399999999999991</v>
      </c>
      <c r="H3161">
        <v>80.212950000000006</v>
      </c>
      <c r="I3161">
        <v>47.4</v>
      </c>
      <c r="J3161">
        <v>64.91</v>
      </c>
      <c r="K3161">
        <v>25</v>
      </c>
      <c r="L3161">
        <v>44.9</v>
      </c>
      <c r="M3161">
        <v>43.3</v>
      </c>
      <c r="O3161">
        <v>400000</v>
      </c>
      <c r="P3161">
        <v>4.6613795419999997</v>
      </c>
      <c r="Q3161">
        <v>1303.8389549999999</v>
      </c>
      <c r="R3161">
        <v>4.87</v>
      </c>
      <c r="S3161">
        <v>1861484</v>
      </c>
      <c r="T3161">
        <v>12.862807</v>
      </c>
      <c r="U3161">
        <v>30.217635999999999</v>
      </c>
    </row>
    <row r="3162" spans="1:21">
      <c r="A3162" t="s">
        <v>173</v>
      </c>
      <c r="B3162">
        <v>2015</v>
      </c>
      <c r="C3162">
        <v>2384.2433999999998</v>
      </c>
      <c r="D3162">
        <v>18709.999080000001</v>
      </c>
      <c r="E3162">
        <v>4.09</v>
      </c>
      <c r="F3162">
        <v>0</v>
      </c>
      <c r="G3162">
        <v>8.73</v>
      </c>
      <c r="H3162">
        <v>68.096720000000005</v>
      </c>
      <c r="I3162">
        <v>46.35</v>
      </c>
      <c r="J3162">
        <v>63.02</v>
      </c>
      <c r="K3162">
        <v>25</v>
      </c>
      <c r="L3162">
        <v>46.903106999999999</v>
      </c>
      <c r="M3162">
        <v>45.4</v>
      </c>
      <c r="O3162">
        <v>30000</v>
      </c>
      <c r="P3162">
        <v>1.9101768910000001</v>
      </c>
      <c r="Q3162">
        <v>1329.6359620000001</v>
      </c>
      <c r="R3162">
        <v>4.71</v>
      </c>
      <c r="S3162">
        <v>1861484</v>
      </c>
      <c r="T3162">
        <v>12.862807</v>
      </c>
      <c r="U3162">
        <v>30.217635999999999</v>
      </c>
    </row>
    <row r="3163" spans="1:21">
      <c r="A3163" t="s">
        <v>173</v>
      </c>
      <c r="B3163">
        <v>2016</v>
      </c>
      <c r="C3163">
        <v>2684.0551999999998</v>
      </c>
      <c r="D3163">
        <v>21129.999159999999</v>
      </c>
      <c r="E3163">
        <v>5.6</v>
      </c>
      <c r="F3163">
        <v>0</v>
      </c>
      <c r="G3163">
        <v>8.5</v>
      </c>
      <c r="H3163">
        <v>60.283687999999998</v>
      </c>
      <c r="I3163">
        <v>45.29</v>
      </c>
      <c r="J3163">
        <v>59.52</v>
      </c>
      <c r="K3163">
        <v>25</v>
      </c>
      <c r="L3163">
        <v>48.849403000000002</v>
      </c>
      <c r="M3163">
        <v>47.9</v>
      </c>
      <c r="O3163">
        <v>40000</v>
      </c>
      <c r="P3163">
        <v>3.4676421839999998</v>
      </c>
      <c r="Q3163">
        <v>1069.8399569999999</v>
      </c>
      <c r="R3163">
        <v>4.7</v>
      </c>
      <c r="S3163">
        <v>1861484</v>
      </c>
      <c r="T3163">
        <v>12.862807</v>
      </c>
      <c r="U3163">
        <v>30.217635999999999</v>
      </c>
    </row>
    <row r="3164" spans="1:21">
      <c r="A3164" t="s">
        <v>173</v>
      </c>
      <c r="B3164">
        <v>2017</v>
      </c>
      <c r="C3164">
        <v>2654.5432000000001</v>
      </c>
      <c r="D3164">
        <v>20959.999080000001</v>
      </c>
      <c r="E3164">
        <v>5.45</v>
      </c>
      <c r="F3164">
        <v>0</v>
      </c>
      <c r="G3164">
        <v>9.77</v>
      </c>
      <c r="H3164">
        <v>64.191860000000005</v>
      </c>
      <c r="I3164">
        <v>48.14</v>
      </c>
      <c r="J3164">
        <v>60.47</v>
      </c>
      <c r="K3164">
        <v>25</v>
      </c>
      <c r="L3164">
        <v>50.754719999999999</v>
      </c>
      <c r="M3164">
        <v>49.8</v>
      </c>
      <c r="O3164">
        <v>10000</v>
      </c>
      <c r="P3164">
        <v>0.70925628500000004</v>
      </c>
      <c r="Q3164">
        <v>1011.521216</v>
      </c>
      <c r="R3164">
        <v>4.5</v>
      </c>
      <c r="S3164">
        <v>1861484</v>
      </c>
      <c r="T3164">
        <v>12.862807</v>
      </c>
      <c r="U3164">
        <v>30.217635999999999</v>
      </c>
    </row>
    <row r="3165" spans="1:21">
      <c r="A3165" t="s">
        <v>173</v>
      </c>
      <c r="B3165">
        <v>2018</v>
      </c>
      <c r="C3165">
        <v>2554.7512000000002</v>
      </c>
      <c r="D3165">
        <v>20860.000609999999</v>
      </c>
      <c r="E3165">
        <v>5.82</v>
      </c>
      <c r="F3165">
        <v>0</v>
      </c>
      <c r="G3165">
        <v>10.08</v>
      </c>
      <c r="H3165">
        <v>63.396230000000003</v>
      </c>
      <c r="I3165">
        <v>50.68</v>
      </c>
      <c r="J3165">
        <v>61.27</v>
      </c>
      <c r="K3165">
        <v>25</v>
      </c>
      <c r="L3165">
        <v>52.447001999999998</v>
      </c>
      <c r="M3165">
        <v>51.3</v>
      </c>
      <c r="O3165">
        <v>2470000</v>
      </c>
      <c r="P3165">
        <v>-2.6809305499999998</v>
      </c>
      <c r="Q3165">
        <v>740.74676699999998</v>
      </c>
      <c r="R3165">
        <v>4.47</v>
      </c>
      <c r="S3165">
        <v>1861484</v>
      </c>
      <c r="T3165">
        <v>12.862807</v>
      </c>
      <c r="U3165">
        <v>30.217635999999999</v>
      </c>
    </row>
    <row r="3166" spans="1:21">
      <c r="A3166" t="s">
        <v>173</v>
      </c>
      <c r="B3166">
        <v>2019</v>
      </c>
      <c r="C3166">
        <v>2459.3627999999999</v>
      </c>
      <c r="D3166">
        <v>20620.000840000001</v>
      </c>
      <c r="E3166">
        <v>5.98</v>
      </c>
      <c r="F3166">
        <v>0</v>
      </c>
      <c r="G3166">
        <v>10.33</v>
      </c>
      <c r="H3166">
        <v>63.335380000000001</v>
      </c>
      <c r="I3166">
        <v>49.61</v>
      </c>
      <c r="J3166">
        <v>62.23</v>
      </c>
      <c r="K3166">
        <v>25</v>
      </c>
      <c r="L3166">
        <v>53.962539999999997</v>
      </c>
      <c r="M3166">
        <v>53.6</v>
      </c>
      <c r="O3166">
        <v>207170000</v>
      </c>
      <c r="P3166">
        <v>-2.1782510450000001</v>
      </c>
      <c r="Q3166">
        <v>610.92786149999995</v>
      </c>
      <c r="R3166">
        <v>4.62</v>
      </c>
      <c r="S3166">
        <v>1861484</v>
      </c>
      <c r="T3166">
        <v>12.862807</v>
      </c>
      <c r="U3166">
        <v>30.217635999999999</v>
      </c>
    </row>
    <row r="3167" spans="1:21">
      <c r="A3167" t="s">
        <v>173</v>
      </c>
      <c r="B3167">
        <v>2020</v>
      </c>
      <c r="C3167">
        <v>2378.2280000000001</v>
      </c>
      <c r="E3167">
        <v>5.68</v>
      </c>
      <c r="F3167">
        <v>0</v>
      </c>
      <c r="G3167">
        <v>10.79</v>
      </c>
      <c r="H3167">
        <v>65.513053999999997</v>
      </c>
      <c r="I3167">
        <v>48.44</v>
      </c>
      <c r="K3167">
        <v>25</v>
      </c>
      <c r="L3167">
        <v>55.389699999999998</v>
      </c>
      <c r="M3167">
        <v>54.7</v>
      </c>
      <c r="P3167">
        <v>-3.629805626</v>
      </c>
      <c r="Q3167">
        <v>486.4188163</v>
      </c>
      <c r="S3167">
        <v>1861484</v>
      </c>
      <c r="T3167">
        <v>12.862807</v>
      </c>
      <c r="U3167">
        <v>30.217635999999999</v>
      </c>
    </row>
    <row r="3168" spans="1:21">
      <c r="A3168" t="s">
        <v>174</v>
      </c>
      <c r="B3168">
        <v>2000</v>
      </c>
      <c r="C3168">
        <v>17458.830000000002</v>
      </c>
      <c r="D3168">
        <v>1480</v>
      </c>
      <c r="E3168">
        <v>0.69</v>
      </c>
      <c r="F3168">
        <v>0</v>
      </c>
      <c r="G3168">
        <v>0.71</v>
      </c>
      <c r="H3168">
        <v>50.714286999999999</v>
      </c>
      <c r="I3168">
        <v>382.21</v>
      </c>
      <c r="J3168">
        <v>23.63</v>
      </c>
      <c r="K3168">
        <v>4</v>
      </c>
      <c r="L3168">
        <v>95.494380000000007</v>
      </c>
      <c r="M3168">
        <v>77.900000000000006</v>
      </c>
      <c r="P3168">
        <v>2.0999988680000001</v>
      </c>
      <c r="Q3168">
        <v>2012.281651</v>
      </c>
      <c r="R3168">
        <v>4.1500000000000004</v>
      </c>
      <c r="S3168">
        <v>163820</v>
      </c>
      <c r="T3168">
        <v>3.919305</v>
      </c>
      <c r="U3168">
        <v>-56.027782999999999</v>
      </c>
    </row>
    <row r="3169" spans="1:21">
      <c r="A3169" t="s">
        <v>174</v>
      </c>
      <c r="B3169">
        <v>2001</v>
      </c>
      <c r="C3169">
        <v>16939.615000000002</v>
      </c>
      <c r="D3169">
        <v>1520</v>
      </c>
      <c r="E3169">
        <v>0.69</v>
      </c>
      <c r="F3169">
        <v>0</v>
      </c>
      <c r="G3169">
        <v>0.73</v>
      </c>
      <c r="H3169">
        <v>51.408450000000002</v>
      </c>
      <c r="I3169">
        <v>377.7</v>
      </c>
      <c r="J3169">
        <v>24.14</v>
      </c>
      <c r="K3169">
        <v>4</v>
      </c>
      <c r="L3169">
        <v>95.397385</v>
      </c>
      <c r="M3169">
        <v>78.849999999999994</v>
      </c>
      <c r="P3169">
        <v>4.2000004210000004</v>
      </c>
      <c r="Q3169">
        <v>1750.5767370000001</v>
      </c>
      <c r="R3169">
        <v>4.29</v>
      </c>
      <c r="S3169">
        <v>163820</v>
      </c>
      <c r="T3169">
        <v>3.919305</v>
      </c>
      <c r="U3169">
        <v>-56.027782999999999</v>
      </c>
    </row>
    <row r="3170" spans="1:21">
      <c r="A3170" t="s">
        <v>174</v>
      </c>
      <c r="B3170">
        <v>2002</v>
      </c>
      <c r="C3170">
        <v>18476.682000000001</v>
      </c>
      <c r="D3170">
        <v>1120.0000050000001</v>
      </c>
      <c r="E3170">
        <v>0.69</v>
      </c>
      <c r="F3170">
        <v>0</v>
      </c>
      <c r="G3170">
        <v>0.74</v>
      </c>
      <c r="H3170">
        <v>51.748252999999998</v>
      </c>
      <c r="I3170">
        <v>373.27</v>
      </c>
      <c r="J3170">
        <v>27.79</v>
      </c>
      <c r="K3170">
        <v>4</v>
      </c>
      <c r="L3170">
        <v>95.292816000000002</v>
      </c>
      <c r="M3170">
        <v>79.8</v>
      </c>
      <c r="P3170">
        <v>2.800000689</v>
      </c>
      <c r="Q3170">
        <v>2267.7539839999999</v>
      </c>
      <c r="R3170">
        <v>2.89</v>
      </c>
      <c r="S3170">
        <v>163820</v>
      </c>
      <c r="T3170">
        <v>3.919305</v>
      </c>
      <c r="U3170">
        <v>-56.027782999999999</v>
      </c>
    </row>
    <row r="3171" spans="1:21">
      <c r="A3171" t="s">
        <v>174</v>
      </c>
      <c r="B3171">
        <v>2003</v>
      </c>
      <c r="C3171">
        <v>16105.433000000001</v>
      </c>
      <c r="D3171">
        <v>1230.0000190000001</v>
      </c>
      <c r="E3171">
        <v>0.69</v>
      </c>
      <c r="F3171">
        <v>0</v>
      </c>
      <c r="G3171">
        <v>0.75</v>
      </c>
      <c r="H3171">
        <v>52.083331999999999</v>
      </c>
      <c r="I3171">
        <v>368.9</v>
      </c>
      <c r="J3171">
        <v>24.64</v>
      </c>
      <c r="K3171">
        <v>4</v>
      </c>
      <c r="L3171">
        <v>95.183009999999996</v>
      </c>
      <c r="M3171">
        <v>80.900000000000006</v>
      </c>
      <c r="P3171">
        <v>6.299999433</v>
      </c>
      <c r="Q3171">
        <v>2611.377493</v>
      </c>
      <c r="R3171">
        <v>2.91</v>
      </c>
      <c r="S3171">
        <v>163820</v>
      </c>
      <c r="T3171">
        <v>3.919305</v>
      </c>
      <c r="U3171">
        <v>-56.027782999999999</v>
      </c>
    </row>
    <row r="3172" spans="1:21">
      <c r="A3172" t="s">
        <v>174</v>
      </c>
      <c r="B3172">
        <v>2004</v>
      </c>
      <c r="C3172">
        <v>18010.423999999999</v>
      </c>
      <c r="D3172">
        <v>1389.999986</v>
      </c>
      <c r="E3172">
        <v>0.69</v>
      </c>
      <c r="F3172">
        <v>0</v>
      </c>
      <c r="G3172">
        <v>0.76</v>
      </c>
      <c r="H3172">
        <v>52.413789999999999</v>
      </c>
      <c r="I3172">
        <v>364.61</v>
      </c>
      <c r="J3172">
        <v>22.63</v>
      </c>
      <c r="K3172">
        <v>4</v>
      </c>
      <c r="L3172">
        <v>95.070310000000006</v>
      </c>
      <c r="M3172">
        <v>82</v>
      </c>
      <c r="P3172">
        <v>8.5000001849999993</v>
      </c>
      <c r="Q3172">
        <v>3006.1832330000002</v>
      </c>
      <c r="R3172">
        <v>2.96</v>
      </c>
      <c r="S3172">
        <v>163820</v>
      </c>
      <c r="T3172">
        <v>3.919305</v>
      </c>
      <c r="U3172">
        <v>-56.027782999999999</v>
      </c>
    </row>
    <row r="3173" spans="1:21">
      <c r="A3173" t="s">
        <v>174</v>
      </c>
      <c r="B3173">
        <v>2005</v>
      </c>
      <c r="C3173">
        <v>18127.873</v>
      </c>
      <c r="D3173">
        <v>1690.000057</v>
      </c>
      <c r="E3173">
        <v>0.7</v>
      </c>
      <c r="F3173">
        <v>0</v>
      </c>
      <c r="G3173">
        <v>0.82</v>
      </c>
      <c r="H3173">
        <v>53.947369999999999</v>
      </c>
      <c r="I3173">
        <v>360.39</v>
      </c>
      <c r="J3173">
        <v>18.88</v>
      </c>
      <c r="K3173">
        <v>4</v>
      </c>
      <c r="L3173">
        <v>94.957080000000005</v>
      </c>
      <c r="M3173">
        <v>82.8</v>
      </c>
      <c r="P3173">
        <v>4.5000002109999997</v>
      </c>
      <c r="Q3173">
        <v>3590.6481829999998</v>
      </c>
      <c r="R3173">
        <v>3.26</v>
      </c>
      <c r="S3173">
        <v>163820</v>
      </c>
      <c r="T3173">
        <v>3.919305</v>
      </c>
      <c r="U3173">
        <v>-56.027782999999999</v>
      </c>
    </row>
    <row r="3174" spans="1:21">
      <c r="A3174" t="s">
        <v>174</v>
      </c>
      <c r="B3174">
        <v>2006</v>
      </c>
      <c r="C3174">
        <v>19537.414000000001</v>
      </c>
      <c r="D3174">
        <v>1529.999971</v>
      </c>
      <c r="E3174">
        <v>0.7</v>
      </c>
      <c r="F3174">
        <v>0</v>
      </c>
      <c r="G3174">
        <v>0.86</v>
      </c>
      <c r="H3174">
        <v>55.128210000000003</v>
      </c>
      <c r="I3174">
        <v>356.23</v>
      </c>
      <c r="J3174">
        <v>22.09</v>
      </c>
      <c r="K3174">
        <v>4</v>
      </c>
      <c r="L3174">
        <v>91.019840000000002</v>
      </c>
      <c r="M3174">
        <v>83.5</v>
      </c>
      <c r="P3174">
        <v>5.7935435850000001</v>
      </c>
      <c r="Q3174">
        <v>5197.7479069999999</v>
      </c>
      <c r="R3174">
        <v>2.92</v>
      </c>
      <c r="S3174">
        <v>163820</v>
      </c>
      <c r="T3174">
        <v>3.919305</v>
      </c>
      <c r="U3174">
        <v>-56.027782999999999</v>
      </c>
    </row>
    <row r="3175" spans="1:21">
      <c r="A3175" t="s">
        <v>174</v>
      </c>
      <c r="B3175">
        <v>2007</v>
      </c>
      <c r="C3175">
        <v>18059.73</v>
      </c>
      <c r="D3175">
        <v>1409.999967</v>
      </c>
      <c r="E3175">
        <v>0.7</v>
      </c>
      <c r="F3175">
        <v>0</v>
      </c>
      <c r="G3175">
        <v>0.86</v>
      </c>
      <c r="H3175">
        <v>55.128210000000003</v>
      </c>
      <c r="I3175">
        <v>352.13</v>
      </c>
      <c r="J3175">
        <v>24.59</v>
      </c>
      <c r="K3175">
        <v>4</v>
      </c>
      <c r="L3175">
        <v>94.738883999999999</v>
      </c>
      <c r="M3175">
        <v>84.6</v>
      </c>
      <c r="P3175">
        <v>5.1114877779999999</v>
      </c>
      <c r="Q3175">
        <v>5744.7597269999997</v>
      </c>
      <c r="R3175">
        <v>2.64</v>
      </c>
      <c r="S3175">
        <v>163820</v>
      </c>
      <c r="T3175">
        <v>3.919305</v>
      </c>
      <c r="U3175">
        <v>-56.027782999999999</v>
      </c>
    </row>
    <row r="3176" spans="1:21">
      <c r="A3176" t="s">
        <v>174</v>
      </c>
      <c r="B3176">
        <v>2008</v>
      </c>
      <c r="C3176">
        <v>21127.252</v>
      </c>
      <c r="D3176">
        <v>1460.0000379999999</v>
      </c>
      <c r="E3176">
        <v>0.7</v>
      </c>
      <c r="F3176">
        <v>0</v>
      </c>
      <c r="G3176">
        <v>0.86</v>
      </c>
      <c r="H3176">
        <v>55.128210000000003</v>
      </c>
      <c r="I3176">
        <v>348.08</v>
      </c>
      <c r="J3176">
        <v>26.19</v>
      </c>
      <c r="K3176">
        <v>4</v>
      </c>
      <c r="L3176">
        <v>94.639274999999998</v>
      </c>
      <c r="M3176">
        <v>85.3</v>
      </c>
      <c r="P3176">
        <v>4.1434068120000003</v>
      </c>
      <c r="Q3176">
        <v>6831.9836219999997</v>
      </c>
      <c r="R3176">
        <v>2.68</v>
      </c>
      <c r="S3176">
        <v>163820</v>
      </c>
      <c r="T3176">
        <v>3.919305</v>
      </c>
      <c r="U3176">
        <v>-56.027782999999999</v>
      </c>
    </row>
    <row r="3177" spans="1:21">
      <c r="A3177" t="s">
        <v>174</v>
      </c>
      <c r="B3177">
        <v>2009</v>
      </c>
      <c r="C3177">
        <v>21246.133000000002</v>
      </c>
      <c r="D3177">
        <v>1450.0000480000001</v>
      </c>
      <c r="E3177">
        <v>0.7</v>
      </c>
      <c r="F3177">
        <v>0</v>
      </c>
      <c r="G3177">
        <v>0.86</v>
      </c>
      <c r="H3177">
        <v>55.128210000000003</v>
      </c>
      <c r="I3177">
        <v>344.09</v>
      </c>
      <c r="J3177">
        <v>26.47</v>
      </c>
      <c r="K3177">
        <v>4</v>
      </c>
      <c r="L3177">
        <v>94.549614000000005</v>
      </c>
      <c r="M3177">
        <v>86.3</v>
      </c>
      <c r="O3177">
        <v>400000</v>
      </c>
      <c r="P3177">
        <v>3.0136989829999998</v>
      </c>
      <c r="Q3177">
        <v>7408.3607860000002</v>
      </c>
      <c r="R3177">
        <v>2.62</v>
      </c>
      <c r="S3177">
        <v>163820</v>
      </c>
      <c r="T3177">
        <v>3.919305</v>
      </c>
      <c r="U3177">
        <v>-56.027782999999999</v>
      </c>
    </row>
    <row r="3178" spans="1:21">
      <c r="A3178" t="s">
        <v>174</v>
      </c>
      <c r="B3178">
        <v>2010</v>
      </c>
      <c r="C3178">
        <v>25234.633000000002</v>
      </c>
      <c r="D3178">
        <v>1740.00001</v>
      </c>
      <c r="E3178">
        <v>0.48</v>
      </c>
      <c r="F3178">
        <v>0</v>
      </c>
      <c r="G3178">
        <v>1.2</v>
      </c>
      <c r="H3178">
        <v>71.428579999999997</v>
      </c>
      <c r="I3178">
        <v>340.48</v>
      </c>
      <c r="J3178">
        <v>22.1</v>
      </c>
      <c r="K3178">
        <v>4</v>
      </c>
      <c r="L3178">
        <v>91.197519999999997</v>
      </c>
      <c r="M3178">
        <v>87.1</v>
      </c>
      <c r="P3178">
        <v>5.1688251520000001</v>
      </c>
      <c r="Q3178">
        <v>8255.8748720000003</v>
      </c>
      <c r="R3178">
        <v>2.96</v>
      </c>
      <c r="S3178">
        <v>163820</v>
      </c>
      <c r="T3178">
        <v>3.919305</v>
      </c>
      <c r="U3178">
        <v>-56.027782999999999</v>
      </c>
    </row>
    <row r="3179" spans="1:21">
      <c r="A3179" t="s">
        <v>174</v>
      </c>
      <c r="B3179">
        <v>2011</v>
      </c>
      <c r="C3179">
        <v>20305.736000000001</v>
      </c>
      <c r="D3179">
        <v>1950.0000480000001</v>
      </c>
      <c r="E3179">
        <v>0.86</v>
      </c>
      <c r="F3179">
        <v>0</v>
      </c>
      <c r="G3179">
        <v>1.03</v>
      </c>
      <c r="H3179">
        <v>54.497356000000003</v>
      </c>
      <c r="I3179">
        <v>336.86</v>
      </c>
      <c r="J3179">
        <v>21.16</v>
      </c>
      <c r="K3179">
        <v>4</v>
      </c>
      <c r="L3179">
        <v>94.410933999999997</v>
      </c>
      <c r="M3179">
        <v>88</v>
      </c>
      <c r="O3179">
        <v>4060000</v>
      </c>
      <c r="P3179">
        <v>5.8493676719999996</v>
      </c>
      <c r="Q3179">
        <v>8263.2038030000003</v>
      </c>
      <c r="R3179">
        <v>3.7</v>
      </c>
      <c r="S3179">
        <v>163820</v>
      </c>
      <c r="T3179">
        <v>3.919305</v>
      </c>
      <c r="U3179">
        <v>-56.027782999999999</v>
      </c>
    </row>
    <row r="3180" spans="1:21">
      <c r="A3180" t="s">
        <v>174</v>
      </c>
      <c r="B3180">
        <v>2012</v>
      </c>
      <c r="C3180">
        <v>21876.134999999998</v>
      </c>
      <c r="D3180">
        <v>2440.0000570000002</v>
      </c>
      <c r="E3180">
        <v>1.07</v>
      </c>
      <c r="F3180">
        <v>0</v>
      </c>
      <c r="G3180">
        <v>0.82</v>
      </c>
      <c r="H3180">
        <v>43.386242000000003</v>
      </c>
      <c r="I3180">
        <v>333.79</v>
      </c>
      <c r="J3180">
        <v>15.77</v>
      </c>
      <c r="K3180">
        <v>4</v>
      </c>
      <c r="L3180">
        <v>94.367339999999999</v>
      </c>
      <c r="M3180">
        <v>89</v>
      </c>
      <c r="P3180">
        <v>2.690349747</v>
      </c>
      <c r="Q3180">
        <v>9200.9747860000007</v>
      </c>
      <c r="R3180">
        <v>3.07</v>
      </c>
      <c r="S3180">
        <v>163820</v>
      </c>
      <c r="T3180">
        <v>3.919305</v>
      </c>
      <c r="U3180">
        <v>-56.027782999999999</v>
      </c>
    </row>
    <row r="3181" spans="1:21">
      <c r="A3181" t="s">
        <v>174</v>
      </c>
      <c r="B3181">
        <v>2013</v>
      </c>
      <c r="C3181">
        <v>20840.511999999999</v>
      </c>
      <c r="D3181">
        <v>2289.9999619999999</v>
      </c>
      <c r="E3181">
        <v>1.0900000000000001</v>
      </c>
      <c r="F3181">
        <v>0</v>
      </c>
      <c r="G3181">
        <v>0.83</v>
      </c>
      <c r="H3181">
        <v>43.229168000000001</v>
      </c>
      <c r="I3181">
        <v>330.61</v>
      </c>
      <c r="J3181">
        <v>17.63</v>
      </c>
      <c r="K3181">
        <v>4</v>
      </c>
      <c r="L3181">
        <v>94.343580000000003</v>
      </c>
      <c r="M3181">
        <v>89.8</v>
      </c>
      <c r="O3181">
        <v>20000</v>
      </c>
      <c r="P3181">
        <v>2.933441652</v>
      </c>
      <c r="Q3181">
        <v>9402.1644190000006</v>
      </c>
      <c r="R3181">
        <v>3.66</v>
      </c>
      <c r="S3181">
        <v>163820</v>
      </c>
      <c r="T3181">
        <v>3.919305</v>
      </c>
      <c r="U3181">
        <v>-56.027782999999999</v>
      </c>
    </row>
    <row r="3182" spans="1:21">
      <c r="A3182" t="s">
        <v>174</v>
      </c>
      <c r="B3182">
        <v>2014</v>
      </c>
      <c r="C3182">
        <v>20081.726999999999</v>
      </c>
      <c r="D3182">
        <v>2619.9998860000001</v>
      </c>
      <c r="E3182">
        <v>1.37</v>
      </c>
      <c r="F3182">
        <v>0</v>
      </c>
      <c r="G3182">
        <v>0.55000000000000004</v>
      </c>
      <c r="H3182">
        <v>28.645834000000001</v>
      </c>
      <c r="I3182">
        <v>336.53</v>
      </c>
      <c r="J3182">
        <v>12.85</v>
      </c>
      <c r="K3182">
        <v>4</v>
      </c>
      <c r="L3182">
        <v>94.337630000000004</v>
      </c>
      <c r="M3182">
        <v>90.6</v>
      </c>
      <c r="O3182">
        <v>0</v>
      </c>
      <c r="P3182">
        <v>0.25550303200000002</v>
      </c>
      <c r="Q3182">
        <v>9471.9220010000008</v>
      </c>
      <c r="R3182">
        <v>3.85</v>
      </c>
      <c r="S3182">
        <v>163820</v>
      </c>
      <c r="T3182">
        <v>3.919305</v>
      </c>
      <c r="U3182">
        <v>-56.027782999999999</v>
      </c>
    </row>
    <row r="3183" spans="1:21">
      <c r="A3183" t="s">
        <v>174</v>
      </c>
      <c r="B3183">
        <v>2015</v>
      </c>
      <c r="C3183">
        <v>18293.592000000001</v>
      </c>
      <c r="D3183">
        <v>2720.0000289999998</v>
      </c>
      <c r="E3183">
        <v>1.46</v>
      </c>
      <c r="F3183">
        <v>0</v>
      </c>
      <c r="G3183">
        <v>0.49</v>
      </c>
      <c r="H3183">
        <v>25.128204</v>
      </c>
      <c r="I3183">
        <v>336.05</v>
      </c>
      <c r="J3183">
        <v>11.59</v>
      </c>
      <c r="K3183">
        <v>4</v>
      </c>
      <c r="L3183">
        <v>94.895229999999998</v>
      </c>
      <c r="M3183">
        <v>91.2</v>
      </c>
      <c r="P3183">
        <v>-3.4110960129999999</v>
      </c>
      <c r="Q3183">
        <v>9168.2371569999996</v>
      </c>
      <c r="R3183">
        <v>3.56</v>
      </c>
      <c r="S3183">
        <v>163820</v>
      </c>
      <c r="T3183">
        <v>3.919305</v>
      </c>
      <c r="U3183">
        <v>-56.027782999999999</v>
      </c>
    </row>
    <row r="3184" spans="1:21">
      <c r="A3184" t="s">
        <v>174</v>
      </c>
      <c r="B3184">
        <v>2016</v>
      </c>
      <c r="C3184">
        <v>18815.173999999999</v>
      </c>
      <c r="D3184">
        <v>2950.0000479999999</v>
      </c>
      <c r="E3184">
        <v>1.1200000000000001</v>
      </c>
      <c r="F3184">
        <v>0</v>
      </c>
      <c r="G3184">
        <v>0.8</v>
      </c>
      <c r="H3184">
        <v>41.666668000000001</v>
      </c>
      <c r="I3184">
        <v>333.45</v>
      </c>
      <c r="J3184">
        <v>11.29</v>
      </c>
      <c r="K3184">
        <v>4</v>
      </c>
      <c r="L3184">
        <v>95.816315000000003</v>
      </c>
      <c r="M3184">
        <v>92</v>
      </c>
      <c r="P3184">
        <v>-4.9157864690000004</v>
      </c>
      <c r="Q3184">
        <v>5872.7894290000004</v>
      </c>
      <c r="R3184">
        <v>4.1399999999999997</v>
      </c>
      <c r="S3184">
        <v>163820</v>
      </c>
      <c r="T3184">
        <v>3.919305</v>
      </c>
      <c r="U3184">
        <v>-56.027782999999999</v>
      </c>
    </row>
    <row r="3185" spans="1:21">
      <c r="A3185" t="s">
        <v>174</v>
      </c>
      <c r="B3185">
        <v>2017</v>
      </c>
      <c r="C3185">
        <v>21698.678</v>
      </c>
      <c r="D3185">
        <v>2500</v>
      </c>
      <c r="E3185">
        <v>0.95</v>
      </c>
      <c r="F3185">
        <v>0</v>
      </c>
      <c r="G3185">
        <v>0.93</v>
      </c>
      <c r="H3185">
        <v>49.468086</v>
      </c>
      <c r="I3185">
        <v>331.92</v>
      </c>
      <c r="J3185">
        <v>14.96</v>
      </c>
      <c r="K3185">
        <v>4</v>
      </c>
      <c r="L3185">
        <v>96.696335000000005</v>
      </c>
      <c r="M3185">
        <v>92.7</v>
      </c>
      <c r="O3185">
        <v>10000</v>
      </c>
      <c r="P3185">
        <v>1.567191065</v>
      </c>
      <c r="Q3185">
        <v>6295.5605619999997</v>
      </c>
      <c r="R3185">
        <v>3.91</v>
      </c>
      <c r="S3185">
        <v>163820</v>
      </c>
      <c r="T3185">
        <v>3.919305</v>
      </c>
      <c r="U3185">
        <v>-56.027782999999999</v>
      </c>
    </row>
    <row r="3186" spans="1:21">
      <c r="A3186" t="s">
        <v>174</v>
      </c>
      <c r="B3186">
        <v>2018</v>
      </c>
      <c r="C3186">
        <v>21688.73</v>
      </c>
      <c r="D3186">
        <v>2210.0000380000001</v>
      </c>
      <c r="E3186">
        <v>0.89</v>
      </c>
      <c r="F3186">
        <v>0</v>
      </c>
      <c r="G3186">
        <v>1</v>
      </c>
      <c r="H3186">
        <v>52.910052999999998</v>
      </c>
      <c r="I3186">
        <v>330.66</v>
      </c>
      <c r="J3186">
        <v>17.55</v>
      </c>
      <c r="K3186">
        <v>4</v>
      </c>
      <c r="L3186">
        <v>97.4</v>
      </c>
      <c r="M3186">
        <v>93.3</v>
      </c>
      <c r="O3186">
        <v>290000</v>
      </c>
      <c r="P3186">
        <v>4.9482707660000003</v>
      </c>
      <c r="Q3186">
        <v>6938.0869810000004</v>
      </c>
      <c r="R3186">
        <v>3.57</v>
      </c>
      <c r="S3186">
        <v>163820</v>
      </c>
      <c r="T3186">
        <v>3.919305</v>
      </c>
      <c r="U3186">
        <v>-56.027782999999999</v>
      </c>
    </row>
    <row r="3187" spans="1:21">
      <c r="A3187" t="s">
        <v>174</v>
      </c>
      <c r="B3187">
        <v>2019</v>
      </c>
      <c r="C3187">
        <v>21629.324000000001</v>
      </c>
      <c r="D3187">
        <v>2650.0000949999999</v>
      </c>
      <c r="E3187">
        <v>0.99</v>
      </c>
      <c r="F3187">
        <v>0</v>
      </c>
      <c r="G3187">
        <v>0.96</v>
      </c>
      <c r="H3187">
        <v>49.230766000000003</v>
      </c>
      <c r="I3187">
        <v>327.60000000000002</v>
      </c>
      <c r="J3187">
        <v>14.4</v>
      </c>
      <c r="K3187">
        <v>4</v>
      </c>
      <c r="L3187">
        <v>97.825419999999994</v>
      </c>
      <c r="M3187">
        <v>93.9</v>
      </c>
      <c r="O3187">
        <v>22500000</v>
      </c>
      <c r="P3187">
        <v>1.0984677780000001</v>
      </c>
      <c r="Q3187">
        <v>6853.6934110000002</v>
      </c>
      <c r="R3187">
        <v>3.97</v>
      </c>
      <c r="S3187">
        <v>163820</v>
      </c>
      <c r="T3187">
        <v>3.919305</v>
      </c>
      <c r="U3187">
        <v>-56.027782999999999</v>
      </c>
    </row>
    <row r="3188" spans="1:21">
      <c r="A3188" t="s">
        <v>174</v>
      </c>
      <c r="B3188">
        <v>2020</v>
      </c>
      <c r="C3188">
        <v>20356.205000000002</v>
      </c>
      <c r="E3188">
        <v>0.94</v>
      </c>
      <c r="F3188">
        <v>0</v>
      </c>
      <c r="G3188">
        <v>0.98</v>
      </c>
      <c r="H3188">
        <v>51.041668000000001</v>
      </c>
      <c r="I3188">
        <v>325.77999999999997</v>
      </c>
      <c r="K3188">
        <v>4</v>
      </c>
      <c r="L3188">
        <v>98.204769999999996</v>
      </c>
      <c r="M3188">
        <v>94.5</v>
      </c>
      <c r="P3188">
        <v>-15.90795119</v>
      </c>
      <c r="Q3188">
        <v>4916.6056660000004</v>
      </c>
      <c r="S3188">
        <v>163820</v>
      </c>
      <c r="T3188">
        <v>3.919305</v>
      </c>
      <c r="U3188">
        <v>-56.027782999999999</v>
      </c>
    </row>
    <row r="3189" spans="1:21">
      <c r="A3189" t="s">
        <v>175</v>
      </c>
      <c r="B3189">
        <v>2000</v>
      </c>
      <c r="C3189">
        <v>72085.085999999996</v>
      </c>
      <c r="D3189">
        <v>53280</v>
      </c>
      <c r="E3189">
        <v>4.7699999999999996</v>
      </c>
      <c r="F3189">
        <v>57.32</v>
      </c>
      <c r="G3189">
        <v>83.14</v>
      </c>
      <c r="H3189">
        <v>96.715559999999996</v>
      </c>
      <c r="J3189">
        <v>39.82</v>
      </c>
      <c r="K3189">
        <v>25</v>
      </c>
      <c r="L3189">
        <v>100</v>
      </c>
      <c r="M3189">
        <v>100</v>
      </c>
      <c r="N3189">
        <v>38.595709999999997</v>
      </c>
      <c r="P3189">
        <v>4.7663488709999999</v>
      </c>
      <c r="Q3189">
        <v>29624.912670000002</v>
      </c>
      <c r="R3189">
        <v>5.54</v>
      </c>
      <c r="S3189">
        <v>450295</v>
      </c>
      <c r="T3189">
        <v>60.128160999999999</v>
      </c>
      <c r="U3189">
        <v>18.643501000000001</v>
      </c>
    </row>
    <row r="3190" spans="1:21">
      <c r="A3190" t="s">
        <v>175</v>
      </c>
      <c r="B3190">
        <v>2001</v>
      </c>
      <c r="C3190">
        <v>77094.320000000007</v>
      </c>
      <c r="D3190">
        <v>52500</v>
      </c>
      <c r="E3190">
        <v>6.17</v>
      </c>
      <c r="F3190">
        <v>72.11</v>
      </c>
      <c r="G3190">
        <v>83.32</v>
      </c>
      <c r="H3190">
        <v>96.181920000000005</v>
      </c>
      <c r="J3190">
        <v>37.380000000000003</v>
      </c>
      <c r="K3190">
        <v>25</v>
      </c>
      <c r="L3190">
        <v>100</v>
      </c>
      <c r="M3190">
        <v>100</v>
      </c>
      <c r="N3190">
        <v>35.828453000000003</v>
      </c>
      <c r="P3190">
        <v>1.449498618</v>
      </c>
      <c r="Q3190">
        <v>27247.85773</v>
      </c>
      <c r="R3190">
        <v>5.81</v>
      </c>
      <c r="S3190">
        <v>450295</v>
      </c>
      <c r="T3190">
        <v>60.128160999999999</v>
      </c>
      <c r="U3190">
        <v>18.643501000000001</v>
      </c>
    </row>
    <row r="3191" spans="1:21">
      <c r="A3191" t="s">
        <v>175</v>
      </c>
      <c r="B3191">
        <v>2002</v>
      </c>
      <c r="C3191">
        <v>71925.88</v>
      </c>
      <c r="D3191">
        <v>54020.000460000003</v>
      </c>
      <c r="E3191">
        <v>7.44</v>
      </c>
      <c r="F3191">
        <v>68.11</v>
      </c>
      <c r="G3191">
        <v>71.150000000000006</v>
      </c>
      <c r="H3191">
        <v>94.928420000000003</v>
      </c>
      <c r="J3191">
        <v>35.85</v>
      </c>
      <c r="K3191">
        <v>25</v>
      </c>
      <c r="L3191">
        <v>100</v>
      </c>
      <c r="M3191">
        <v>100</v>
      </c>
      <c r="N3191">
        <v>32.522167000000003</v>
      </c>
      <c r="P3191">
        <v>2.1969210619999999</v>
      </c>
      <c r="Q3191">
        <v>29899.195250000001</v>
      </c>
      <c r="R3191">
        <v>5.83</v>
      </c>
      <c r="S3191">
        <v>450295</v>
      </c>
      <c r="T3191">
        <v>60.128160999999999</v>
      </c>
      <c r="U3191">
        <v>18.643501000000001</v>
      </c>
    </row>
    <row r="3192" spans="1:21">
      <c r="A3192" t="s">
        <v>175</v>
      </c>
      <c r="B3192">
        <v>2003</v>
      </c>
      <c r="C3192">
        <v>68647.009999999995</v>
      </c>
      <c r="D3192">
        <v>55200.000760000003</v>
      </c>
      <c r="E3192">
        <v>9.24</v>
      </c>
      <c r="F3192">
        <v>67.42</v>
      </c>
      <c r="G3192">
        <v>58.73</v>
      </c>
      <c r="H3192">
        <v>93.175269999999998</v>
      </c>
      <c r="J3192">
        <v>34.56</v>
      </c>
      <c r="K3192">
        <v>25</v>
      </c>
      <c r="L3192">
        <v>100</v>
      </c>
      <c r="M3192">
        <v>100</v>
      </c>
      <c r="N3192">
        <v>27.901482000000001</v>
      </c>
      <c r="P3192">
        <v>2.3098105900000001</v>
      </c>
      <c r="Q3192">
        <v>37321.797899999998</v>
      </c>
      <c r="R3192">
        <v>5.57</v>
      </c>
      <c r="S3192">
        <v>450295</v>
      </c>
      <c r="T3192">
        <v>60.128160999999999</v>
      </c>
      <c r="U3192">
        <v>18.643501000000001</v>
      </c>
    </row>
    <row r="3193" spans="1:21">
      <c r="A3193" t="s">
        <v>175</v>
      </c>
      <c r="B3193">
        <v>2004</v>
      </c>
      <c r="C3193">
        <v>73592.02</v>
      </c>
      <c r="D3193">
        <v>53590.00015</v>
      </c>
      <c r="E3193">
        <v>6.02</v>
      </c>
      <c r="F3193">
        <v>77.489999999999995</v>
      </c>
      <c r="G3193">
        <v>68.180000000000007</v>
      </c>
      <c r="H3193">
        <v>96.031379999999999</v>
      </c>
      <c r="J3193">
        <v>35.49</v>
      </c>
      <c r="K3193">
        <v>25</v>
      </c>
      <c r="L3193">
        <v>100</v>
      </c>
      <c r="M3193">
        <v>100</v>
      </c>
      <c r="N3193">
        <v>30.187602999999999</v>
      </c>
      <c r="P3193">
        <v>4.3368561540000004</v>
      </c>
      <c r="Q3193">
        <v>42821.673139999999</v>
      </c>
      <c r="R3193">
        <v>5.54</v>
      </c>
      <c r="S3193">
        <v>450295</v>
      </c>
      <c r="T3193">
        <v>60.128160999999999</v>
      </c>
      <c r="U3193">
        <v>18.643501000000001</v>
      </c>
    </row>
    <row r="3194" spans="1:21">
      <c r="A3194" t="s">
        <v>175</v>
      </c>
      <c r="B3194">
        <v>2005</v>
      </c>
      <c r="C3194">
        <v>75121.83</v>
      </c>
      <c r="D3194">
        <v>50209.999080000001</v>
      </c>
      <c r="E3194">
        <v>4.76</v>
      </c>
      <c r="F3194">
        <v>72.38</v>
      </c>
      <c r="G3194">
        <v>81.23</v>
      </c>
      <c r="H3194">
        <v>96.994384999999994</v>
      </c>
      <c r="J3194">
        <v>39.299999999999997</v>
      </c>
      <c r="K3194">
        <v>25</v>
      </c>
      <c r="L3194">
        <v>100</v>
      </c>
      <c r="M3194">
        <v>100</v>
      </c>
      <c r="N3194">
        <v>34.732089999999999</v>
      </c>
      <c r="P3194">
        <v>2.8588032399999999</v>
      </c>
      <c r="Q3194">
        <v>43437.063119999999</v>
      </c>
      <c r="R3194">
        <v>5.26</v>
      </c>
      <c r="S3194">
        <v>450295</v>
      </c>
      <c r="T3194">
        <v>60.128160999999999</v>
      </c>
      <c r="U3194">
        <v>18.643501000000001</v>
      </c>
    </row>
    <row r="3195" spans="1:21">
      <c r="A3195" t="s">
        <v>175</v>
      </c>
      <c r="B3195">
        <v>2006</v>
      </c>
      <c r="C3195">
        <v>70265.69</v>
      </c>
      <c r="D3195">
        <v>48900.001530000001</v>
      </c>
      <c r="E3195">
        <v>5.24</v>
      </c>
      <c r="F3195">
        <v>66.98</v>
      </c>
      <c r="G3195">
        <v>71.06</v>
      </c>
      <c r="H3195">
        <v>96.342820000000003</v>
      </c>
      <c r="J3195">
        <v>40.08</v>
      </c>
      <c r="K3195">
        <v>25</v>
      </c>
      <c r="L3195">
        <v>100</v>
      </c>
      <c r="M3195">
        <v>100</v>
      </c>
      <c r="N3195">
        <v>32.33128</v>
      </c>
      <c r="P3195">
        <v>4.662773552</v>
      </c>
      <c r="Q3195">
        <v>46593.602160000002</v>
      </c>
      <c r="R3195">
        <v>4.9000000000000004</v>
      </c>
      <c r="S3195">
        <v>450295</v>
      </c>
      <c r="T3195">
        <v>60.128160999999999</v>
      </c>
      <c r="U3195">
        <v>18.643501000000001</v>
      </c>
    </row>
    <row r="3196" spans="1:21">
      <c r="A3196" t="s">
        <v>175</v>
      </c>
      <c r="B3196">
        <v>2007</v>
      </c>
      <c r="C3196">
        <v>70870.679999999993</v>
      </c>
      <c r="D3196">
        <v>47139.999389999997</v>
      </c>
      <c r="E3196">
        <v>4.42</v>
      </c>
      <c r="F3196">
        <v>66.97</v>
      </c>
      <c r="G3196">
        <v>77.430000000000007</v>
      </c>
      <c r="H3196">
        <v>97.029960000000003</v>
      </c>
      <c r="J3196">
        <v>41.75</v>
      </c>
      <c r="K3196">
        <v>25</v>
      </c>
      <c r="L3196">
        <v>100</v>
      </c>
      <c r="M3196">
        <v>100</v>
      </c>
      <c r="N3196">
        <v>34.599029999999999</v>
      </c>
      <c r="P3196">
        <v>3.4392217760000001</v>
      </c>
      <c r="Q3196">
        <v>53700.005340000003</v>
      </c>
      <c r="R3196">
        <v>4.71</v>
      </c>
      <c r="S3196">
        <v>450295</v>
      </c>
      <c r="T3196">
        <v>60.128160999999999</v>
      </c>
      <c r="U3196">
        <v>18.643501000000001</v>
      </c>
    </row>
    <row r="3197" spans="1:21">
      <c r="A3197" t="s">
        <v>175</v>
      </c>
      <c r="B3197">
        <v>2008</v>
      </c>
      <c r="C3197">
        <v>69369.7</v>
      </c>
      <c r="D3197">
        <v>46150.001530000001</v>
      </c>
      <c r="E3197">
        <v>4.5999999999999996</v>
      </c>
      <c r="F3197">
        <v>63.89</v>
      </c>
      <c r="G3197">
        <v>81.41</v>
      </c>
      <c r="H3197">
        <v>96.931290000000004</v>
      </c>
      <c r="J3197">
        <v>43.2</v>
      </c>
      <c r="K3197">
        <v>25</v>
      </c>
      <c r="L3197">
        <v>100</v>
      </c>
      <c r="M3197">
        <v>100</v>
      </c>
      <c r="N3197">
        <v>36.928469999999997</v>
      </c>
      <c r="P3197">
        <v>-0.45055925699999999</v>
      </c>
      <c r="Q3197">
        <v>56152.552340000002</v>
      </c>
      <c r="R3197">
        <v>4.7</v>
      </c>
      <c r="S3197">
        <v>450295</v>
      </c>
      <c r="T3197">
        <v>60.128160999999999</v>
      </c>
      <c r="U3197">
        <v>18.643501000000001</v>
      </c>
    </row>
    <row r="3198" spans="1:21">
      <c r="A3198" t="s">
        <v>175</v>
      </c>
      <c r="B3198">
        <v>2009</v>
      </c>
      <c r="C3198">
        <v>63081.84</v>
      </c>
      <c r="D3198">
        <v>42880.001069999998</v>
      </c>
      <c r="E3198">
        <v>4.62</v>
      </c>
      <c r="F3198">
        <v>52.17</v>
      </c>
      <c r="G3198">
        <v>79.81</v>
      </c>
      <c r="H3198">
        <v>96.617859999999993</v>
      </c>
      <c r="J3198">
        <v>45.71</v>
      </c>
      <c r="K3198">
        <v>25</v>
      </c>
      <c r="L3198">
        <v>100</v>
      </c>
      <c r="M3198">
        <v>100</v>
      </c>
      <c r="N3198">
        <v>39.14199</v>
      </c>
      <c r="P3198">
        <v>-4.3397905750000003</v>
      </c>
      <c r="Q3198">
        <v>46946.960270000003</v>
      </c>
      <c r="R3198">
        <v>4.5</v>
      </c>
      <c r="S3198">
        <v>450295</v>
      </c>
      <c r="T3198">
        <v>60.128160999999999</v>
      </c>
      <c r="U3198">
        <v>18.643501000000001</v>
      </c>
    </row>
    <row r="3199" spans="1:21">
      <c r="A3199" t="s">
        <v>175</v>
      </c>
      <c r="B3199">
        <v>2010</v>
      </c>
      <c r="C3199">
        <v>66485.91</v>
      </c>
      <c r="D3199">
        <v>48130.001069999998</v>
      </c>
      <c r="E3199">
        <v>8.5299999999999994</v>
      </c>
      <c r="F3199">
        <v>57.83</v>
      </c>
      <c r="G3199">
        <v>82.09</v>
      </c>
      <c r="H3199">
        <v>94.253960000000006</v>
      </c>
      <c r="J3199">
        <v>44.7</v>
      </c>
      <c r="K3199">
        <v>25</v>
      </c>
      <c r="L3199">
        <v>100</v>
      </c>
      <c r="M3199">
        <v>100</v>
      </c>
      <c r="N3199">
        <v>38.351444000000001</v>
      </c>
      <c r="P3199">
        <v>5.9521070079999996</v>
      </c>
      <c r="Q3199">
        <v>52869.044289999998</v>
      </c>
      <c r="R3199">
        <v>4.7699999999999996</v>
      </c>
      <c r="S3199">
        <v>450295</v>
      </c>
      <c r="T3199">
        <v>60.128160999999999</v>
      </c>
      <c r="U3199">
        <v>18.643501000000001</v>
      </c>
    </row>
    <row r="3200" spans="1:21">
      <c r="A3200" t="s">
        <v>175</v>
      </c>
      <c r="B3200">
        <v>2011</v>
      </c>
      <c r="C3200">
        <v>64929.964999999997</v>
      </c>
      <c r="D3200">
        <v>44580.001830000001</v>
      </c>
      <c r="E3200">
        <v>5.72</v>
      </c>
      <c r="F3200">
        <v>60.47</v>
      </c>
      <c r="G3200">
        <v>84.09</v>
      </c>
      <c r="H3200">
        <v>96.193770000000001</v>
      </c>
      <c r="J3200">
        <v>45.43</v>
      </c>
      <c r="K3200">
        <v>25</v>
      </c>
      <c r="L3200">
        <v>100</v>
      </c>
      <c r="M3200">
        <v>100</v>
      </c>
      <c r="N3200">
        <v>39.861125999999999</v>
      </c>
      <c r="P3200">
        <v>3.1953332350000001</v>
      </c>
      <c r="Q3200">
        <v>60755.759550000002</v>
      </c>
      <c r="R3200">
        <v>4.5199999999999996</v>
      </c>
      <c r="S3200">
        <v>450295</v>
      </c>
      <c r="T3200">
        <v>60.128160999999999</v>
      </c>
      <c r="U3200">
        <v>18.643501000000001</v>
      </c>
    </row>
    <row r="3201" spans="1:21">
      <c r="A3201" t="s">
        <v>175</v>
      </c>
      <c r="B3201">
        <v>2012</v>
      </c>
      <c r="C3201">
        <v>68276.210000000006</v>
      </c>
      <c r="D3201">
        <v>42139.999389999997</v>
      </c>
      <c r="E3201">
        <v>4.09</v>
      </c>
      <c r="F3201">
        <v>64.040000000000006</v>
      </c>
      <c r="G3201">
        <v>98.3</v>
      </c>
      <c r="H3201">
        <v>97.542509999999993</v>
      </c>
      <c r="J3201">
        <v>48.29</v>
      </c>
      <c r="K3201">
        <v>25</v>
      </c>
      <c r="L3201">
        <v>100</v>
      </c>
      <c r="M3201">
        <v>100</v>
      </c>
      <c r="N3201">
        <v>43.305737000000001</v>
      </c>
      <c r="P3201">
        <v>-0.58830456900000005</v>
      </c>
      <c r="Q3201">
        <v>58037.821320000003</v>
      </c>
      <c r="R3201">
        <v>4.59</v>
      </c>
      <c r="S3201">
        <v>450295</v>
      </c>
      <c r="T3201">
        <v>60.128160999999999</v>
      </c>
      <c r="U3201">
        <v>18.643501000000001</v>
      </c>
    </row>
    <row r="3202" spans="1:21">
      <c r="A3202" t="s">
        <v>175</v>
      </c>
      <c r="B3202">
        <v>2013</v>
      </c>
      <c r="C3202">
        <v>63351.667999999998</v>
      </c>
      <c r="D3202">
        <v>40540.000919999999</v>
      </c>
      <c r="E3202">
        <v>3.88</v>
      </c>
      <c r="F3202">
        <v>66.459999999999994</v>
      </c>
      <c r="G3202">
        <v>82.69</v>
      </c>
      <c r="H3202">
        <v>97.464550000000003</v>
      </c>
      <c r="J3202">
        <v>47.27</v>
      </c>
      <c r="K3202">
        <v>25</v>
      </c>
      <c r="L3202">
        <v>100</v>
      </c>
      <c r="M3202">
        <v>100</v>
      </c>
      <c r="N3202">
        <v>38.95485</v>
      </c>
      <c r="P3202">
        <v>1.187775716</v>
      </c>
      <c r="Q3202">
        <v>61126.943200000002</v>
      </c>
      <c r="R3202">
        <v>4.4800000000000004</v>
      </c>
      <c r="S3202">
        <v>450295</v>
      </c>
      <c r="T3202">
        <v>60.128160999999999</v>
      </c>
      <c r="U3202">
        <v>18.643501000000001</v>
      </c>
    </row>
    <row r="3203" spans="1:21">
      <c r="A3203" t="s">
        <v>175</v>
      </c>
      <c r="B3203">
        <v>2014</v>
      </c>
      <c r="C3203">
        <v>62421.89</v>
      </c>
      <c r="D3203">
        <v>39080.001830000001</v>
      </c>
      <c r="E3203">
        <v>2.93</v>
      </c>
      <c r="F3203">
        <v>64.88</v>
      </c>
      <c r="G3203">
        <v>85.74</v>
      </c>
      <c r="H3203">
        <v>98.091830000000002</v>
      </c>
      <c r="J3203">
        <v>48.61</v>
      </c>
      <c r="K3203">
        <v>25</v>
      </c>
      <c r="L3203">
        <v>100</v>
      </c>
      <c r="M3203">
        <v>100</v>
      </c>
      <c r="N3203">
        <v>40.648502000000001</v>
      </c>
      <c r="P3203">
        <v>2.6577982750000002</v>
      </c>
      <c r="Q3203">
        <v>60020.360460000004</v>
      </c>
      <c r="R3203">
        <v>4.25</v>
      </c>
      <c r="S3203">
        <v>450295</v>
      </c>
      <c r="T3203">
        <v>60.128160999999999</v>
      </c>
      <c r="U3203">
        <v>18.643501000000001</v>
      </c>
    </row>
    <row r="3204" spans="1:21">
      <c r="A3204" t="s">
        <v>175</v>
      </c>
      <c r="B3204">
        <v>2015</v>
      </c>
      <c r="C3204">
        <v>63877.483999999997</v>
      </c>
      <c r="D3204">
        <v>39189.998630000002</v>
      </c>
      <c r="E3204">
        <v>3.15</v>
      </c>
      <c r="F3204">
        <v>56.35</v>
      </c>
      <c r="G3204">
        <v>102.5</v>
      </c>
      <c r="H3204">
        <v>98.055565000000001</v>
      </c>
      <c r="J3204">
        <v>51.91</v>
      </c>
      <c r="K3204">
        <v>25</v>
      </c>
      <c r="L3204">
        <v>100</v>
      </c>
      <c r="M3204">
        <v>100</v>
      </c>
      <c r="N3204">
        <v>46.599625000000003</v>
      </c>
      <c r="P3204">
        <v>4.4892815879999999</v>
      </c>
      <c r="Q3204">
        <v>51545.483610000003</v>
      </c>
      <c r="R3204">
        <v>3.76</v>
      </c>
      <c r="S3204">
        <v>450295</v>
      </c>
      <c r="T3204">
        <v>60.128160999999999</v>
      </c>
      <c r="U3204">
        <v>18.643501000000001</v>
      </c>
    </row>
    <row r="3205" spans="1:21">
      <c r="A3205" t="s">
        <v>175</v>
      </c>
      <c r="B3205">
        <v>2016</v>
      </c>
      <c r="C3205">
        <v>62081.116999999998</v>
      </c>
      <c r="D3205">
        <v>38779.998780000002</v>
      </c>
      <c r="E3205">
        <v>3.66</v>
      </c>
      <c r="F3205">
        <v>63.1</v>
      </c>
      <c r="G3205">
        <v>89.13</v>
      </c>
      <c r="H3205">
        <v>97.652190000000004</v>
      </c>
      <c r="J3205">
        <v>50.89</v>
      </c>
      <c r="K3205">
        <v>25</v>
      </c>
      <c r="L3205">
        <v>100</v>
      </c>
      <c r="M3205">
        <v>100</v>
      </c>
      <c r="N3205">
        <v>42.082700000000003</v>
      </c>
      <c r="P3205">
        <v>2.0705931510000002</v>
      </c>
      <c r="Q3205">
        <v>51965.157149999999</v>
      </c>
      <c r="R3205">
        <v>3.96</v>
      </c>
      <c r="S3205">
        <v>450295</v>
      </c>
      <c r="T3205">
        <v>60.128160999999999</v>
      </c>
      <c r="U3205">
        <v>18.643501000000001</v>
      </c>
    </row>
    <row r="3206" spans="1:21">
      <c r="A3206" t="s">
        <v>175</v>
      </c>
      <c r="B3206">
        <v>2017</v>
      </c>
      <c r="C3206">
        <v>63417.605000000003</v>
      </c>
      <c r="D3206">
        <v>38290.000919999999</v>
      </c>
      <c r="E3206">
        <v>3.47</v>
      </c>
      <c r="F3206">
        <v>65.7</v>
      </c>
      <c r="G3206">
        <v>95.06</v>
      </c>
      <c r="H3206">
        <v>97.887110000000007</v>
      </c>
      <c r="J3206">
        <v>51.81</v>
      </c>
      <c r="K3206">
        <v>25</v>
      </c>
      <c r="L3206">
        <v>100</v>
      </c>
      <c r="M3206">
        <v>100</v>
      </c>
      <c r="N3206">
        <v>43.339447</v>
      </c>
      <c r="P3206">
        <v>2.567924525</v>
      </c>
      <c r="Q3206">
        <v>53791.508730000001</v>
      </c>
      <c r="R3206">
        <v>3.97</v>
      </c>
      <c r="S3206">
        <v>450295</v>
      </c>
      <c r="T3206">
        <v>60.128160999999999</v>
      </c>
      <c r="U3206">
        <v>18.643501000000001</v>
      </c>
    </row>
    <row r="3207" spans="1:21">
      <c r="A3207" t="s">
        <v>175</v>
      </c>
      <c r="B3207">
        <v>2018</v>
      </c>
      <c r="C3207">
        <v>61487.004000000001</v>
      </c>
      <c r="D3207">
        <v>36009.998319999999</v>
      </c>
      <c r="E3207">
        <v>3.66</v>
      </c>
      <c r="F3207">
        <v>68.55</v>
      </c>
      <c r="G3207">
        <v>91.15</v>
      </c>
      <c r="H3207">
        <v>97.759550000000004</v>
      </c>
      <c r="J3207">
        <v>51.54</v>
      </c>
      <c r="K3207">
        <v>25</v>
      </c>
      <c r="L3207">
        <v>100</v>
      </c>
      <c r="M3207">
        <v>100</v>
      </c>
      <c r="N3207">
        <v>42.218502000000001</v>
      </c>
      <c r="P3207">
        <v>1.950022846</v>
      </c>
      <c r="Q3207">
        <v>54589.060389999999</v>
      </c>
      <c r="R3207">
        <v>3.97</v>
      </c>
      <c r="S3207">
        <v>450295</v>
      </c>
      <c r="T3207">
        <v>60.128160999999999</v>
      </c>
      <c r="U3207">
        <v>18.643501000000001</v>
      </c>
    </row>
    <row r="3208" spans="1:21">
      <c r="A3208" t="s">
        <v>175</v>
      </c>
      <c r="B3208">
        <v>2019</v>
      </c>
      <c r="C3208">
        <v>63283.47</v>
      </c>
      <c r="D3208">
        <v>35000</v>
      </c>
      <c r="E3208">
        <v>3.35</v>
      </c>
      <c r="F3208">
        <v>66.13</v>
      </c>
      <c r="G3208">
        <v>98.94</v>
      </c>
      <c r="H3208">
        <v>98.010925</v>
      </c>
      <c r="J3208">
        <v>52.88</v>
      </c>
      <c r="K3208">
        <v>25</v>
      </c>
      <c r="L3208">
        <v>100</v>
      </c>
      <c r="M3208">
        <v>100</v>
      </c>
      <c r="N3208">
        <v>43.813766000000001</v>
      </c>
      <c r="P3208">
        <v>1.9861958740000001</v>
      </c>
      <c r="Q3208">
        <v>51939.42974</v>
      </c>
      <c r="R3208">
        <v>3.8</v>
      </c>
      <c r="S3208">
        <v>450295</v>
      </c>
      <c r="T3208">
        <v>60.128160999999999</v>
      </c>
      <c r="U3208">
        <v>18.643501000000001</v>
      </c>
    </row>
    <row r="3209" spans="1:21">
      <c r="A3209" t="s">
        <v>175</v>
      </c>
      <c r="B3209">
        <v>2020</v>
      </c>
      <c r="C3209">
        <v>59395.523000000001</v>
      </c>
      <c r="E3209">
        <v>2.44</v>
      </c>
      <c r="F3209">
        <v>49.2</v>
      </c>
      <c r="G3209">
        <v>112.15</v>
      </c>
      <c r="H3209">
        <v>98.510300000000001</v>
      </c>
      <c r="K3209">
        <v>25</v>
      </c>
      <c r="L3209">
        <v>100</v>
      </c>
      <c r="M3209">
        <v>100</v>
      </c>
      <c r="N3209">
        <v>51.058970000000002</v>
      </c>
      <c r="P3209">
        <v>-2.9481278789999998</v>
      </c>
      <c r="Q3209">
        <v>52274.408790000001</v>
      </c>
      <c r="S3209">
        <v>450295</v>
      </c>
      <c r="T3209">
        <v>60.128160999999999</v>
      </c>
      <c r="U3209">
        <v>18.643501000000001</v>
      </c>
    </row>
    <row r="3210" spans="1:21">
      <c r="A3210" t="s">
        <v>176</v>
      </c>
      <c r="B3210">
        <v>2000</v>
      </c>
      <c r="C3210">
        <v>50728.714999999997</v>
      </c>
      <c r="D3210">
        <v>43710</v>
      </c>
      <c r="E3210">
        <v>2.63</v>
      </c>
      <c r="F3210">
        <v>25.12</v>
      </c>
      <c r="G3210">
        <v>34</v>
      </c>
      <c r="H3210">
        <v>95.740889999999993</v>
      </c>
      <c r="J3210">
        <v>18.190000000000001</v>
      </c>
      <c r="K3210">
        <v>219</v>
      </c>
      <c r="L3210">
        <v>100</v>
      </c>
      <c r="M3210">
        <v>100</v>
      </c>
      <c r="N3210">
        <v>30.638752</v>
      </c>
      <c r="P3210">
        <v>3.9764092340000001</v>
      </c>
      <c r="Q3210">
        <v>38952.034200000002</v>
      </c>
      <c r="R3210">
        <v>2.44</v>
      </c>
      <c r="S3210">
        <v>41277</v>
      </c>
      <c r="T3210">
        <v>46.818187999999999</v>
      </c>
      <c r="U3210">
        <v>8.2275120000000008</v>
      </c>
    </row>
    <row r="3211" spans="1:21">
      <c r="A3211" t="s">
        <v>176</v>
      </c>
      <c r="B3211">
        <v>2001</v>
      </c>
      <c r="C3211">
        <v>53862.720000000001</v>
      </c>
      <c r="D3211">
        <v>45150</v>
      </c>
      <c r="E3211">
        <v>2.72</v>
      </c>
      <c r="F3211">
        <v>25.47</v>
      </c>
      <c r="G3211">
        <v>38.44</v>
      </c>
      <c r="H3211">
        <v>95.917755</v>
      </c>
      <c r="J3211">
        <v>18.72</v>
      </c>
      <c r="K3211">
        <v>219</v>
      </c>
      <c r="L3211">
        <v>100</v>
      </c>
      <c r="M3211">
        <v>100</v>
      </c>
      <c r="N3211">
        <v>31.928984</v>
      </c>
      <c r="P3211">
        <v>1.5758172619999999</v>
      </c>
      <c r="Q3211">
        <v>39727.846669999999</v>
      </c>
      <c r="R3211">
        <v>2.5499999999999998</v>
      </c>
      <c r="S3211">
        <v>41277</v>
      </c>
      <c r="T3211">
        <v>46.818187999999999</v>
      </c>
      <c r="U3211">
        <v>8.2275120000000008</v>
      </c>
    </row>
    <row r="3212" spans="1:21">
      <c r="A3212" t="s">
        <v>176</v>
      </c>
      <c r="B3212">
        <v>2002</v>
      </c>
      <c r="C3212">
        <v>49782.92</v>
      </c>
      <c r="D3212">
        <v>43569.999689999997</v>
      </c>
      <c r="E3212">
        <v>2.79</v>
      </c>
      <c r="F3212">
        <v>25.87</v>
      </c>
      <c r="G3212">
        <v>32.47</v>
      </c>
      <c r="H3212">
        <v>95.435950000000005</v>
      </c>
      <c r="J3212">
        <v>18.190000000000001</v>
      </c>
      <c r="K3212">
        <v>219</v>
      </c>
      <c r="L3212">
        <v>100</v>
      </c>
      <c r="M3212">
        <v>100</v>
      </c>
      <c r="N3212">
        <v>29.157330999999999</v>
      </c>
      <c r="P3212">
        <v>-5.5064629999999996E-3</v>
      </c>
      <c r="Q3212">
        <v>42578.763140000003</v>
      </c>
      <c r="R3212">
        <v>2.4900000000000002</v>
      </c>
      <c r="S3212">
        <v>41277</v>
      </c>
      <c r="T3212">
        <v>46.818187999999999</v>
      </c>
      <c r="U3212">
        <v>8.2275120000000008</v>
      </c>
    </row>
    <row r="3213" spans="1:21">
      <c r="A3213" t="s">
        <v>176</v>
      </c>
      <c r="B3213">
        <v>2003</v>
      </c>
      <c r="C3213">
        <v>48884.53</v>
      </c>
      <c r="D3213">
        <v>44840.00015</v>
      </c>
      <c r="E3213">
        <v>2.86</v>
      </c>
      <c r="F3213">
        <v>26.11</v>
      </c>
      <c r="G3213">
        <v>32.11</v>
      </c>
      <c r="H3213">
        <v>95.317610000000002</v>
      </c>
      <c r="J3213">
        <v>18.03</v>
      </c>
      <c r="K3213">
        <v>219</v>
      </c>
      <c r="L3213">
        <v>100</v>
      </c>
      <c r="M3213">
        <v>100</v>
      </c>
      <c r="N3213">
        <v>28.983333999999999</v>
      </c>
      <c r="P3213">
        <v>-4.6846372999999997E-2</v>
      </c>
      <c r="Q3213">
        <v>49470.397129999998</v>
      </c>
      <c r="R3213">
        <v>2.5</v>
      </c>
      <c r="S3213">
        <v>41277</v>
      </c>
      <c r="T3213">
        <v>46.818187999999999</v>
      </c>
      <c r="U3213">
        <v>8.2275120000000008</v>
      </c>
    </row>
    <row r="3214" spans="1:21">
      <c r="A3214" t="s">
        <v>176</v>
      </c>
      <c r="B3214">
        <v>2004</v>
      </c>
      <c r="C3214">
        <v>47846.156000000003</v>
      </c>
      <c r="D3214">
        <v>45279.998780000002</v>
      </c>
      <c r="E3214">
        <v>2.92</v>
      </c>
      <c r="F3214">
        <v>25.61</v>
      </c>
      <c r="G3214">
        <v>31.12</v>
      </c>
      <c r="H3214">
        <v>95.104774000000006</v>
      </c>
      <c r="J3214">
        <v>18.100000000000001</v>
      </c>
      <c r="K3214">
        <v>219</v>
      </c>
      <c r="L3214">
        <v>100</v>
      </c>
      <c r="M3214">
        <v>100</v>
      </c>
      <c r="N3214">
        <v>28.436499999999999</v>
      </c>
      <c r="P3214">
        <v>2.821528115</v>
      </c>
      <c r="Q3214">
        <v>54878.470999999998</v>
      </c>
      <c r="R3214">
        <v>2.44</v>
      </c>
      <c r="S3214">
        <v>41277</v>
      </c>
      <c r="T3214">
        <v>46.818187999999999</v>
      </c>
      <c r="U3214">
        <v>8.2275120000000008</v>
      </c>
    </row>
    <row r="3215" spans="1:21">
      <c r="A3215" t="s">
        <v>176</v>
      </c>
      <c r="B3215">
        <v>2005</v>
      </c>
      <c r="C3215">
        <v>45606.343999999997</v>
      </c>
      <c r="D3215">
        <v>45849.998469999999</v>
      </c>
      <c r="E3215">
        <v>2.97</v>
      </c>
      <c r="F3215">
        <v>22.11</v>
      </c>
      <c r="G3215">
        <v>28.85</v>
      </c>
      <c r="H3215">
        <v>94.492859999999993</v>
      </c>
      <c r="J3215">
        <v>18.73</v>
      </c>
      <c r="K3215">
        <v>219</v>
      </c>
      <c r="L3215">
        <v>100</v>
      </c>
      <c r="M3215">
        <v>100</v>
      </c>
      <c r="N3215">
        <v>27.377468</v>
      </c>
      <c r="P3215">
        <v>2.882638434</v>
      </c>
      <c r="Q3215">
        <v>56546.785660000001</v>
      </c>
      <c r="R3215">
        <v>2.36</v>
      </c>
      <c r="S3215">
        <v>41277</v>
      </c>
      <c r="T3215">
        <v>46.818187999999999</v>
      </c>
      <c r="U3215">
        <v>8.2275120000000008</v>
      </c>
    </row>
    <row r="3216" spans="1:21">
      <c r="A3216" t="s">
        <v>176</v>
      </c>
      <c r="B3216">
        <v>2006</v>
      </c>
      <c r="C3216">
        <v>47162.11</v>
      </c>
      <c r="D3216">
        <v>45479.999539999997</v>
      </c>
      <c r="E3216">
        <v>3.1</v>
      </c>
      <c r="F3216">
        <v>26.37</v>
      </c>
      <c r="G3216">
        <v>28.46</v>
      </c>
      <c r="H3216">
        <v>94.648709999999994</v>
      </c>
      <c r="J3216">
        <v>18.07</v>
      </c>
      <c r="K3216">
        <v>219</v>
      </c>
      <c r="L3216">
        <v>100</v>
      </c>
      <c r="M3216">
        <v>100</v>
      </c>
      <c r="N3216">
        <v>26.049185000000001</v>
      </c>
      <c r="P3216">
        <v>4.0150076080000003</v>
      </c>
      <c r="Q3216">
        <v>59300.61722</v>
      </c>
      <c r="R3216">
        <v>2.37</v>
      </c>
      <c r="S3216">
        <v>41277</v>
      </c>
      <c r="T3216">
        <v>46.818187999999999</v>
      </c>
      <c r="U3216">
        <v>8.2275120000000008</v>
      </c>
    </row>
    <row r="3217" spans="1:21">
      <c r="A3217" t="s">
        <v>176</v>
      </c>
      <c r="B3217">
        <v>2007</v>
      </c>
      <c r="C3217">
        <v>46220.9</v>
      </c>
      <c r="D3217">
        <v>43540.000919999999</v>
      </c>
      <c r="E3217">
        <v>3.01</v>
      </c>
      <c r="F3217">
        <v>26.49</v>
      </c>
      <c r="G3217">
        <v>32.56</v>
      </c>
      <c r="H3217">
        <v>95.149860000000004</v>
      </c>
      <c r="J3217">
        <v>19.309999999999999</v>
      </c>
      <c r="K3217">
        <v>219</v>
      </c>
      <c r="L3217">
        <v>100</v>
      </c>
      <c r="M3217">
        <v>100</v>
      </c>
      <c r="N3217">
        <v>29.711977000000001</v>
      </c>
      <c r="P3217">
        <v>3.9957222460000001</v>
      </c>
      <c r="Q3217">
        <v>65359.519220000002</v>
      </c>
      <c r="R3217">
        <v>2.16</v>
      </c>
      <c r="S3217">
        <v>41277</v>
      </c>
      <c r="T3217">
        <v>46.818187999999999</v>
      </c>
      <c r="U3217">
        <v>8.2275120000000008</v>
      </c>
    </row>
    <row r="3218" spans="1:21">
      <c r="A3218" t="s">
        <v>176</v>
      </c>
      <c r="B3218">
        <v>2008</v>
      </c>
      <c r="C3218">
        <v>47155.75</v>
      </c>
      <c r="D3218">
        <v>44959.999080000001</v>
      </c>
      <c r="E3218">
        <v>3.04</v>
      </c>
      <c r="F3218">
        <v>26.27</v>
      </c>
      <c r="G3218">
        <v>33.409999999999997</v>
      </c>
      <c r="H3218">
        <v>95.153059999999996</v>
      </c>
      <c r="J3218">
        <v>19.55</v>
      </c>
      <c r="K3218">
        <v>219</v>
      </c>
      <c r="L3218">
        <v>100</v>
      </c>
      <c r="M3218">
        <v>100</v>
      </c>
      <c r="N3218">
        <v>29.249441000000001</v>
      </c>
      <c r="P3218">
        <v>2.7555114359999999</v>
      </c>
      <c r="Q3218">
        <v>74572.232369999998</v>
      </c>
      <c r="R3218">
        <v>2.19</v>
      </c>
      <c r="S3218">
        <v>41277</v>
      </c>
      <c r="T3218">
        <v>46.818187999999999</v>
      </c>
      <c r="U3218">
        <v>8.2275120000000008</v>
      </c>
    </row>
    <row r="3219" spans="1:21">
      <c r="A3219" t="s">
        <v>176</v>
      </c>
      <c r="B3219">
        <v>2009</v>
      </c>
      <c r="C3219">
        <v>46436.273000000001</v>
      </c>
      <c r="D3219">
        <v>43669.998169999999</v>
      </c>
      <c r="E3219">
        <v>3</v>
      </c>
      <c r="F3219">
        <v>26.27</v>
      </c>
      <c r="G3219">
        <v>33.03</v>
      </c>
      <c r="H3219">
        <v>95.18459</v>
      </c>
      <c r="J3219">
        <v>19.97</v>
      </c>
      <c r="K3219">
        <v>219</v>
      </c>
      <c r="L3219">
        <v>100</v>
      </c>
      <c r="M3219">
        <v>100</v>
      </c>
      <c r="N3219">
        <v>28.93271</v>
      </c>
      <c r="P3219">
        <v>-2.0796332199999998</v>
      </c>
      <c r="Q3219">
        <v>72083.167700000005</v>
      </c>
      <c r="R3219">
        <v>2.25</v>
      </c>
      <c r="S3219">
        <v>41277</v>
      </c>
      <c r="T3219">
        <v>46.818187999999999</v>
      </c>
      <c r="U3219">
        <v>8.2275120000000008</v>
      </c>
    </row>
    <row r="3220" spans="1:21">
      <c r="A3220" t="s">
        <v>176</v>
      </c>
      <c r="B3220">
        <v>2010</v>
      </c>
      <c r="C3220">
        <v>44714.964999999997</v>
      </c>
      <c r="D3220">
        <v>45209.999080000001</v>
      </c>
      <c r="E3220">
        <v>3.32</v>
      </c>
      <c r="F3220">
        <v>25.2</v>
      </c>
      <c r="G3220">
        <v>33.53</v>
      </c>
      <c r="H3220">
        <v>94.649474999999995</v>
      </c>
      <c r="J3220">
        <v>20.56</v>
      </c>
      <c r="K3220">
        <v>219</v>
      </c>
      <c r="L3220">
        <v>100</v>
      </c>
      <c r="M3220">
        <v>100</v>
      </c>
      <c r="N3220">
        <v>29.882567999999999</v>
      </c>
      <c r="P3220">
        <v>3.2681016559999998</v>
      </c>
      <c r="Q3220">
        <v>77117.126010000007</v>
      </c>
      <c r="R3220">
        <v>2.11</v>
      </c>
      <c r="S3220">
        <v>41277</v>
      </c>
      <c r="T3220">
        <v>46.818187999999999</v>
      </c>
      <c r="U3220">
        <v>8.2275120000000008</v>
      </c>
    </row>
    <row r="3221" spans="1:21">
      <c r="A3221" t="s">
        <v>176</v>
      </c>
      <c r="B3221">
        <v>2011</v>
      </c>
      <c r="C3221">
        <v>41971.254000000001</v>
      </c>
      <c r="D3221">
        <v>41189.998630000002</v>
      </c>
      <c r="E3221">
        <v>3.34</v>
      </c>
      <c r="F3221">
        <v>25.56</v>
      </c>
      <c r="G3221">
        <v>30.3</v>
      </c>
      <c r="H3221">
        <v>94.358109999999996</v>
      </c>
      <c r="J3221">
        <v>20.57</v>
      </c>
      <c r="K3221">
        <v>219</v>
      </c>
      <c r="L3221">
        <v>100</v>
      </c>
      <c r="M3221">
        <v>100</v>
      </c>
      <c r="N3221">
        <v>28.442817999999999</v>
      </c>
      <c r="P3221">
        <v>1.920445985</v>
      </c>
      <c r="Q3221">
        <v>91254.034759999995</v>
      </c>
      <c r="R3221">
        <v>2</v>
      </c>
      <c r="S3221">
        <v>41277</v>
      </c>
      <c r="T3221">
        <v>46.818187999999999</v>
      </c>
      <c r="U3221">
        <v>8.2275120000000008</v>
      </c>
    </row>
    <row r="3222" spans="1:21">
      <c r="A3222" t="s">
        <v>176</v>
      </c>
      <c r="B3222">
        <v>2012</v>
      </c>
      <c r="C3222">
        <v>43889.644999999997</v>
      </c>
      <c r="D3222">
        <v>42520.000460000003</v>
      </c>
      <c r="E3222">
        <v>3.51</v>
      </c>
      <c r="F3222">
        <v>24.34</v>
      </c>
      <c r="G3222">
        <v>36.32</v>
      </c>
      <c r="H3222">
        <v>94.530159999999995</v>
      </c>
      <c r="J3222">
        <v>21.88</v>
      </c>
      <c r="K3222">
        <v>219</v>
      </c>
      <c r="L3222">
        <v>100</v>
      </c>
      <c r="M3222">
        <v>100</v>
      </c>
      <c r="N3222">
        <v>31.854078000000001</v>
      </c>
      <c r="P3222">
        <v>1.2171936569999999</v>
      </c>
      <c r="Q3222">
        <v>86547.670889999994</v>
      </c>
      <c r="R3222">
        <v>2</v>
      </c>
      <c r="S3222">
        <v>41277</v>
      </c>
      <c r="T3222">
        <v>46.818187999999999</v>
      </c>
      <c r="U3222">
        <v>8.2275120000000008</v>
      </c>
    </row>
    <row r="3223" spans="1:21">
      <c r="A3223" t="s">
        <v>176</v>
      </c>
      <c r="B3223">
        <v>2013</v>
      </c>
      <c r="C3223">
        <v>44514.03</v>
      </c>
      <c r="D3223">
        <v>43529.998780000002</v>
      </c>
      <c r="E3223">
        <v>3.48</v>
      </c>
      <c r="F3223">
        <v>24.87</v>
      </c>
      <c r="G3223">
        <v>36.369999999999997</v>
      </c>
      <c r="H3223">
        <v>94.622985999999997</v>
      </c>
      <c r="J3223">
        <v>21.83</v>
      </c>
      <c r="K3223">
        <v>219</v>
      </c>
      <c r="L3223">
        <v>100</v>
      </c>
      <c r="M3223">
        <v>100</v>
      </c>
      <c r="N3223">
        <v>30.987797</v>
      </c>
      <c r="P3223">
        <v>1.8216677910000001</v>
      </c>
      <c r="Q3223">
        <v>88109.486749999996</v>
      </c>
      <c r="R3223">
        <v>2.0499999999999998</v>
      </c>
      <c r="S3223">
        <v>41277</v>
      </c>
      <c r="T3223">
        <v>46.818187999999999</v>
      </c>
      <c r="U3223">
        <v>8.2275120000000008</v>
      </c>
    </row>
    <row r="3224" spans="1:21">
      <c r="A3224" t="s">
        <v>176</v>
      </c>
      <c r="B3224">
        <v>2014</v>
      </c>
      <c r="C3224">
        <v>41980.58</v>
      </c>
      <c r="D3224">
        <v>39790.000919999999</v>
      </c>
      <c r="E3224">
        <v>3.37</v>
      </c>
      <c r="F3224">
        <v>26.37</v>
      </c>
      <c r="G3224">
        <v>36.200000000000003</v>
      </c>
      <c r="H3224">
        <v>94.889290000000003</v>
      </c>
      <c r="J3224">
        <v>22.2</v>
      </c>
      <c r="K3224">
        <v>219</v>
      </c>
      <c r="L3224">
        <v>100</v>
      </c>
      <c r="M3224">
        <v>100</v>
      </c>
      <c r="N3224">
        <v>32.276389999999999</v>
      </c>
      <c r="P3224">
        <v>2.4468451569999998</v>
      </c>
      <c r="Q3224">
        <v>89684.707580000002</v>
      </c>
      <c r="R3224">
        <v>1.87</v>
      </c>
      <c r="S3224">
        <v>41277</v>
      </c>
      <c r="T3224">
        <v>46.818187999999999</v>
      </c>
      <c r="U3224">
        <v>8.2275120000000008</v>
      </c>
    </row>
    <row r="3225" spans="1:21">
      <c r="A3225" t="s">
        <v>176</v>
      </c>
      <c r="B3225">
        <v>2015</v>
      </c>
      <c r="C3225">
        <v>40582.913999999997</v>
      </c>
      <c r="D3225">
        <v>39090.00015</v>
      </c>
      <c r="E3225">
        <v>3.33</v>
      </c>
      <c r="F3225">
        <v>22.09</v>
      </c>
      <c r="G3225">
        <v>36.729999999999997</v>
      </c>
      <c r="H3225">
        <v>94.641990000000007</v>
      </c>
      <c r="J3225">
        <v>23.94</v>
      </c>
      <c r="K3225">
        <v>219</v>
      </c>
      <c r="L3225">
        <v>100</v>
      </c>
      <c r="M3225">
        <v>100</v>
      </c>
      <c r="N3225">
        <v>33.162599999999998</v>
      </c>
      <c r="P3225">
        <v>1.6577687109999999</v>
      </c>
      <c r="Q3225">
        <v>84776.142170000006</v>
      </c>
      <c r="R3225">
        <v>1.8</v>
      </c>
      <c r="S3225">
        <v>41277</v>
      </c>
      <c r="T3225">
        <v>46.818187999999999</v>
      </c>
      <c r="U3225">
        <v>8.2275120000000008</v>
      </c>
    </row>
    <row r="3226" spans="1:21">
      <c r="A3226" t="s">
        <v>176</v>
      </c>
      <c r="B3226">
        <v>2016</v>
      </c>
      <c r="C3226">
        <v>37755.19</v>
      </c>
      <c r="D3226">
        <v>39669.998169999999</v>
      </c>
      <c r="E3226">
        <v>3.69</v>
      </c>
      <c r="F3226">
        <v>20.239999999999998</v>
      </c>
      <c r="G3226">
        <v>33.57</v>
      </c>
      <c r="H3226">
        <v>93.582610000000003</v>
      </c>
      <c r="J3226">
        <v>24.1</v>
      </c>
      <c r="K3226">
        <v>219</v>
      </c>
      <c r="L3226">
        <v>100</v>
      </c>
      <c r="M3226">
        <v>100</v>
      </c>
      <c r="N3226">
        <v>32.287402999999998</v>
      </c>
      <c r="P3226">
        <v>2.0451864689999999</v>
      </c>
      <c r="Q3226">
        <v>83073.280079999997</v>
      </c>
      <c r="R3226">
        <v>1.72</v>
      </c>
      <c r="S3226">
        <v>41277</v>
      </c>
      <c r="T3226">
        <v>46.818187999999999</v>
      </c>
      <c r="U3226">
        <v>8.2275120000000008</v>
      </c>
    </row>
    <row r="3227" spans="1:21">
      <c r="A3227" t="s">
        <v>176</v>
      </c>
      <c r="B3227">
        <v>2017</v>
      </c>
      <c r="C3227">
        <v>37489.188000000002</v>
      </c>
      <c r="D3227">
        <v>38700.000760000003</v>
      </c>
      <c r="E3227">
        <v>3.67</v>
      </c>
      <c r="F3227">
        <v>19.5</v>
      </c>
      <c r="G3227">
        <v>33.450000000000003</v>
      </c>
      <c r="H3227">
        <v>93.518196000000003</v>
      </c>
      <c r="J3227">
        <v>24.99</v>
      </c>
      <c r="K3227">
        <v>219</v>
      </c>
      <c r="L3227">
        <v>100</v>
      </c>
      <c r="M3227">
        <v>100</v>
      </c>
      <c r="N3227">
        <v>32.014774000000003</v>
      </c>
      <c r="P3227">
        <v>1.5848196160000001</v>
      </c>
      <c r="Q3227">
        <v>83352.088650000005</v>
      </c>
      <c r="R3227">
        <v>1.7</v>
      </c>
      <c r="S3227">
        <v>41277</v>
      </c>
      <c r="T3227">
        <v>46.818187999999999</v>
      </c>
      <c r="U3227">
        <v>8.2275120000000008</v>
      </c>
    </row>
    <row r="3228" spans="1:21">
      <c r="A3228" t="s">
        <v>176</v>
      </c>
      <c r="B3228">
        <v>2018</v>
      </c>
      <c r="C3228">
        <v>37794.061999999998</v>
      </c>
      <c r="D3228">
        <v>37479.999539999997</v>
      </c>
      <c r="E3228">
        <v>3.54</v>
      </c>
      <c r="F3228">
        <v>24.41</v>
      </c>
      <c r="G3228">
        <v>34.32</v>
      </c>
      <c r="H3228">
        <v>94.315079999999995</v>
      </c>
      <c r="J3228">
        <v>24.2</v>
      </c>
      <c r="K3228">
        <v>219</v>
      </c>
      <c r="L3228">
        <v>100</v>
      </c>
      <c r="M3228">
        <v>100</v>
      </c>
      <c r="N3228">
        <v>31.950866999999999</v>
      </c>
      <c r="P3228">
        <v>2.916905098</v>
      </c>
      <c r="Q3228">
        <v>86388.404949999996</v>
      </c>
      <c r="R3228">
        <v>1.66</v>
      </c>
      <c r="S3228">
        <v>41277</v>
      </c>
      <c r="T3228">
        <v>46.818187999999999</v>
      </c>
      <c r="U3228">
        <v>8.2275120000000008</v>
      </c>
    </row>
    <row r="3229" spans="1:21">
      <c r="A3229" t="s">
        <v>176</v>
      </c>
      <c r="B3229">
        <v>2019</v>
      </c>
      <c r="C3229">
        <v>39156.449999999997</v>
      </c>
      <c r="D3229">
        <v>37380.001069999998</v>
      </c>
      <c r="E3229">
        <v>3.58</v>
      </c>
      <c r="F3229">
        <v>25.28</v>
      </c>
      <c r="G3229">
        <v>37.64</v>
      </c>
      <c r="H3229">
        <v>94.616540000000001</v>
      </c>
      <c r="J3229">
        <v>24.76</v>
      </c>
      <c r="K3229">
        <v>219</v>
      </c>
      <c r="L3229">
        <v>100</v>
      </c>
      <c r="M3229">
        <v>100</v>
      </c>
      <c r="N3229">
        <v>33.137397999999997</v>
      </c>
      <c r="P3229">
        <v>1.2109922070000001</v>
      </c>
      <c r="Q3229">
        <v>85334.519459999996</v>
      </c>
      <c r="R3229">
        <v>1.68</v>
      </c>
      <c r="S3229">
        <v>41277</v>
      </c>
      <c r="T3229">
        <v>46.818187999999999</v>
      </c>
      <c r="U3229">
        <v>8.2275120000000008</v>
      </c>
    </row>
    <row r="3230" spans="1:21">
      <c r="A3230" t="s">
        <v>176</v>
      </c>
      <c r="B3230">
        <v>2020</v>
      </c>
      <c r="C3230">
        <v>35766.375</v>
      </c>
      <c r="E3230">
        <v>3.62</v>
      </c>
      <c r="F3230">
        <v>22.99</v>
      </c>
      <c r="G3230">
        <v>40.79</v>
      </c>
      <c r="H3230">
        <v>94.629080000000002</v>
      </c>
      <c r="K3230">
        <v>219</v>
      </c>
      <c r="L3230">
        <v>100</v>
      </c>
      <c r="M3230">
        <v>100</v>
      </c>
      <c r="N3230">
        <v>36.210569999999997</v>
      </c>
      <c r="P3230">
        <v>-2.3928260419999998</v>
      </c>
      <c r="Q3230">
        <v>87097.03645</v>
      </c>
      <c r="S3230">
        <v>41277</v>
      </c>
      <c r="T3230">
        <v>46.818187999999999</v>
      </c>
      <c r="U3230">
        <v>8.2275120000000008</v>
      </c>
    </row>
    <row r="3231" spans="1:21">
      <c r="A3231" t="s">
        <v>177</v>
      </c>
      <c r="B3231">
        <v>2000</v>
      </c>
      <c r="C3231">
        <v>9375.0509999999995</v>
      </c>
      <c r="D3231">
        <v>2200</v>
      </c>
      <c r="E3231">
        <v>0.21</v>
      </c>
      <c r="F3231">
        <v>0</v>
      </c>
      <c r="G3231">
        <v>13.77</v>
      </c>
      <c r="H3231">
        <v>98.497855999999999</v>
      </c>
      <c r="I3231">
        <v>653.28</v>
      </c>
      <c r="J3231">
        <v>62.41</v>
      </c>
      <c r="K3231">
        <v>68</v>
      </c>
      <c r="L3231">
        <v>98.467740000000006</v>
      </c>
      <c r="M3231">
        <v>36.5</v>
      </c>
      <c r="P3231">
        <v>8.3243244950000008</v>
      </c>
      <c r="Q3231">
        <v>138.42914669999999</v>
      </c>
      <c r="R3231">
        <v>10.92</v>
      </c>
      <c r="S3231">
        <v>144100</v>
      </c>
      <c r="T3231">
        <v>38.861033999999997</v>
      </c>
      <c r="U3231">
        <v>71.276093000000003</v>
      </c>
    </row>
    <row r="3232" spans="1:21">
      <c r="A3232" t="s">
        <v>177</v>
      </c>
      <c r="B3232">
        <v>2001</v>
      </c>
      <c r="C3232">
        <v>9605.366</v>
      </c>
      <c r="D3232">
        <v>2150</v>
      </c>
      <c r="E3232">
        <v>0.17</v>
      </c>
      <c r="F3232">
        <v>0</v>
      </c>
      <c r="G3232">
        <v>14.06</v>
      </c>
      <c r="H3232">
        <v>98.805340000000001</v>
      </c>
      <c r="I3232">
        <v>642.72</v>
      </c>
      <c r="J3232">
        <v>64.069999999999993</v>
      </c>
      <c r="K3232">
        <v>68</v>
      </c>
      <c r="L3232">
        <v>98.633099999999999</v>
      </c>
      <c r="M3232">
        <v>40</v>
      </c>
      <c r="P3232">
        <v>9.5808361780000002</v>
      </c>
      <c r="Q3232">
        <v>171.0480646</v>
      </c>
      <c r="R3232">
        <v>9.84</v>
      </c>
      <c r="S3232">
        <v>144100</v>
      </c>
      <c r="T3232">
        <v>38.861033999999997</v>
      </c>
      <c r="U3232">
        <v>71.276093000000003</v>
      </c>
    </row>
    <row r="3233" spans="1:21">
      <c r="A3233" t="s">
        <v>177</v>
      </c>
      <c r="B3233">
        <v>2002</v>
      </c>
      <c r="C3233">
        <v>9681.6260000000002</v>
      </c>
      <c r="D3233">
        <v>2130.0001139999999</v>
      </c>
      <c r="E3233">
        <v>0.13</v>
      </c>
      <c r="F3233">
        <v>0</v>
      </c>
      <c r="G3233">
        <v>15.01</v>
      </c>
      <c r="H3233">
        <v>99.14134</v>
      </c>
      <c r="I3233">
        <v>631.88</v>
      </c>
      <c r="J3233">
        <v>64.150000000000006</v>
      </c>
      <c r="K3233">
        <v>68</v>
      </c>
      <c r="L3233">
        <v>99</v>
      </c>
      <c r="M3233">
        <v>44.1</v>
      </c>
      <c r="O3233">
        <v>20920000</v>
      </c>
      <c r="P3233">
        <v>10.800003759999999</v>
      </c>
      <c r="Q3233">
        <v>190.0026776</v>
      </c>
      <c r="R3233">
        <v>8.91</v>
      </c>
      <c r="S3233">
        <v>144100</v>
      </c>
      <c r="T3233">
        <v>38.861033999999997</v>
      </c>
      <c r="U3233">
        <v>71.276093000000003</v>
      </c>
    </row>
    <row r="3234" spans="1:21">
      <c r="A3234" t="s">
        <v>177</v>
      </c>
      <c r="B3234">
        <v>2003</v>
      </c>
      <c r="C3234">
        <v>9982.5010000000002</v>
      </c>
      <c r="D3234">
        <v>2180.0000669999999</v>
      </c>
      <c r="E3234">
        <v>0.16</v>
      </c>
      <c r="F3234">
        <v>0</v>
      </c>
      <c r="G3234">
        <v>16.170000000000002</v>
      </c>
      <c r="H3234">
        <v>99.020210000000006</v>
      </c>
      <c r="I3234">
        <v>620.79999999999995</v>
      </c>
      <c r="J3234">
        <v>64.58</v>
      </c>
      <c r="K3234">
        <v>68</v>
      </c>
      <c r="L3234">
        <v>100</v>
      </c>
      <c r="M3234">
        <v>48</v>
      </c>
      <c r="O3234">
        <v>20780000</v>
      </c>
      <c r="P3234">
        <v>10.99999908</v>
      </c>
      <c r="Q3234">
        <v>237.7573352</v>
      </c>
      <c r="R3234">
        <v>8.18</v>
      </c>
      <c r="S3234">
        <v>144100</v>
      </c>
      <c r="T3234">
        <v>38.861033999999997</v>
      </c>
      <c r="U3234">
        <v>71.276093000000003</v>
      </c>
    </row>
    <row r="3235" spans="1:21">
      <c r="A3235" t="s">
        <v>177</v>
      </c>
      <c r="B3235">
        <v>2004</v>
      </c>
      <c r="C3235">
        <v>9975.018</v>
      </c>
      <c r="D3235">
        <v>2599.9999050000001</v>
      </c>
      <c r="E3235">
        <v>0.14000000000000001</v>
      </c>
      <c r="F3235">
        <v>0</v>
      </c>
      <c r="G3235">
        <v>16.18</v>
      </c>
      <c r="H3235">
        <v>99.142160000000004</v>
      </c>
      <c r="I3235">
        <v>609.54</v>
      </c>
      <c r="J3235">
        <v>61.41</v>
      </c>
      <c r="K3235">
        <v>68</v>
      </c>
      <c r="L3235">
        <v>98.627089999999995</v>
      </c>
      <c r="M3235">
        <v>52.15</v>
      </c>
      <c r="P3235">
        <v>10.29999894</v>
      </c>
      <c r="Q3235">
        <v>311.62723130000001</v>
      </c>
      <c r="R3235">
        <v>8.02</v>
      </c>
      <c r="S3235">
        <v>144100</v>
      </c>
      <c r="T3235">
        <v>38.861033999999997</v>
      </c>
      <c r="U3235">
        <v>71.276093000000003</v>
      </c>
    </row>
    <row r="3236" spans="1:21">
      <c r="A3236" t="s">
        <v>177</v>
      </c>
      <c r="B3236">
        <v>2005</v>
      </c>
      <c r="C3236">
        <v>10009.744000000001</v>
      </c>
      <c r="D3236">
        <v>2470.0000289999998</v>
      </c>
      <c r="E3236">
        <v>0.12</v>
      </c>
      <c r="F3236">
        <v>0</v>
      </c>
      <c r="G3236">
        <v>16.8</v>
      </c>
      <c r="H3236">
        <v>99.290769999999995</v>
      </c>
      <c r="I3236">
        <v>606.28</v>
      </c>
      <c r="J3236">
        <v>63.73</v>
      </c>
      <c r="K3236">
        <v>68</v>
      </c>
      <c r="L3236">
        <v>99.3</v>
      </c>
      <c r="M3236">
        <v>56</v>
      </c>
      <c r="O3236">
        <v>580000</v>
      </c>
      <c r="P3236">
        <v>6.699998517</v>
      </c>
      <c r="Q3236">
        <v>340.58318320000001</v>
      </c>
      <c r="R3236">
        <v>7.5</v>
      </c>
      <c r="S3236">
        <v>144100</v>
      </c>
      <c r="T3236">
        <v>38.861033999999997</v>
      </c>
      <c r="U3236">
        <v>71.276093000000003</v>
      </c>
    </row>
    <row r="3237" spans="1:21">
      <c r="A3237" t="s">
        <v>177</v>
      </c>
      <c r="B3237">
        <v>2006</v>
      </c>
      <c r="C3237">
        <v>9612.6149999999998</v>
      </c>
      <c r="D3237">
        <v>2690.0000570000002</v>
      </c>
      <c r="E3237">
        <v>0.23</v>
      </c>
      <c r="F3237">
        <v>0</v>
      </c>
      <c r="G3237">
        <v>16.53</v>
      </c>
      <c r="H3237">
        <v>98.627690000000001</v>
      </c>
      <c r="I3237">
        <v>594.6</v>
      </c>
      <c r="J3237">
        <v>61.57</v>
      </c>
      <c r="K3237">
        <v>68</v>
      </c>
      <c r="L3237">
        <v>98.616540000000001</v>
      </c>
      <c r="M3237">
        <v>59.65</v>
      </c>
      <c r="O3237">
        <v>540000</v>
      </c>
      <c r="P3237">
        <v>7.0000032110000001</v>
      </c>
      <c r="Q3237">
        <v>408.8384135</v>
      </c>
      <c r="R3237">
        <v>7.23</v>
      </c>
      <c r="S3237">
        <v>144100</v>
      </c>
      <c r="T3237">
        <v>38.861033999999997</v>
      </c>
      <c r="U3237">
        <v>71.276093000000003</v>
      </c>
    </row>
    <row r="3238" spans="1:21">
      <c r="A3238" t="s">
        <v>177</v>
      </c>
      <c r="B3238">
        <v>2007</v>
      </c>
      <c r="C3238">
        <v>8899.6380000000008</v>
      </c>
      <c r="D3238">
        <v>3269.9999809999999</v>
      </c>
      <c r="E3238">
        <v>0.38</v>
      </c>
      <c r="F3238">
        <v>0</v>
      </c>
      <c r="G3238">
        <v>16.940000000000001</v>
      </c>
      <c r="H3238">
        <v>97.806010000000001</v>
      </c>
      <c r="I3238">
        <v>582.80999999999995</v>
      </c>
      <c r="J3238">
        <v>53.79</v>
      </c>
      <c r="K3238">
        <v>68</v>
      </c>
      <c r="L3238">
        <v>98.616720000000001</v>
      </c>
      <c r="M3238">
        <v>62.6</v>
      </c>
      <c r="O3238">
        <v>22870000</v>
      </c>
      <c r="P3238">
        <v>7.8000001189999999</v>
      </c>
      <c r="Q3238">
        <v>526.64328829999999</v>
      </c>
      <c r="R3238">
        <v>7.17</v>
      </c>
      <c r="S3238">
        <v>144100</v>
      </c>
      <c r="T3238">
        <v>38.861033999999997</v>
      </c>
      <c r="U3238">
        <v>71.276093000000003</v>
      </c>
    </row>
    <row r="3239" spans="1:21">
      <c r="A3239" t="s">
        <v>177</v>
      </c>
      <c r="B3239">
        <v>2008</v>
      </c>
      <c r="C3239">
        <v>8418.1949999999997</v>
      </c>
      <c r="D3239">
        <v>3039.9999619999999</v>
      </c>
      <c r="E3239">
        <v>0.35</v>
      </c>
      <c r="F3239">
        <v>0</v>
      </c>
      <c r="G3239">
        <v>16.64</v>
      </c>
      <c r="H3239">
        <v>97.939964000000003</v>
      </c>
      <c r="I3239">
        <v>570.91</v>
      </c>
      <c r="J3239">
        <v>54.61</v>
      </c>
      <c r="K3239">
        <v>68</v>
      </c>
      <c r="L3239">
        <v>98.624139999999997</v>
      </c>
      <c r="M3239">
        <v>65.3</v>
      </c>
      <c r="O3239">
        <v>34870000</v>
      </c>
      <c r="P3239">
        <v>7.8999982720000004</v>
      </c>
      <c r="Q3239">
        <v>715.86570630000006</v>
      </c>
      <c r="R3239">
        <v>6.32</v>
      </c>
      <c r="S3239">
        <v>144100</v>
      </c>
      <c r="T3239">
        <v>38.861033999999997</v>
      </c>
      <c r="U3239">
        <v>71.276093000000003</v>
      </c>
    </row>
    <row r="3240" spans="1:21">
      <c r="A3240" t="s">
        <v>177</v>
      </c>
      <c r="B3240">
        <v>2009</v>
      </c>
      <c r="C3240">
        <v>7411.4946</v>
      </c>
      <c r="D3240">
        <v>2410.000086</v>
      </c>
      <c r="E3240">
        <v>0.22</v>
      </c>
      <c r="F3240">
        <v>0</v>
      </c>
      <c r="G3240">
        <v>15.74</v>
      </c>
      <c r="H3240">
        <v>98.621549999999999</v>
      </c>
      <c r="I3240">
        <v>652.1</v>
      </c>
      <c r="J3240">
        <v>60.58</v>
      </c>
      <c r="K3240">
        <v>68</v>
      </c>
      <c r="L3240">
        <v>99</v>
      </c>
      <c r="M3240">
        <v>67.7</v>
      </c>
      <c r="O3240">
        <v>140000</v>
      </c>
      <c r="P3240">
        <v>3.9000011479999999</v>
      </c>
      <c r="Q3240">
        <v>676.12351109999997</v>
      </c>
      <c r="R3240">
        <v>5.28</v>
      </c>
      <c r="S3240">
        <v>144100</v>
      </c>
      <c r="T3240">
        <v>38.861033999999997</v>
      </c>
      <c r="U3240">
        <v>71.276093000000003</v>
      </c>
    </row>
    <row r="3241" spans="1:21">
      <c r="A3241" t="s">
        <v>177</v>
      </c>
      <c r="B3241">
        <v>2010</v>
      </c>
      <c r="C3241">
        <v>7504.4022999999997</v>
      </c>
      <c r="D3241">
        <v>2450.0000479999999</v>
      </c>
      <c r="E3241">
        <v>0.03</v>
      </c>
      <c r="F3241">
        <v>0</v>
      </c>
      <c r="G3241">
        <v>16.239999999999998</v>
      </c>
      <c r="H3241">
        <v>99.815605000000005</v>
      </c>
      <c r="I3241">
        <v>637.95000000000005</v>
      </c>
      <c r="J3241">
        <v>61.83</v>
      </c>
      <c r="K3241">
        <v>68</v>
      </c>
      <c r="L3241">
        <v>98.671499999999995</v>
      </c>
      <c r="M3241">
        <v>69.900000000000006</v>
      </c>
      <c r="O3241">
        <v>6540000</v>
      </c>
      <c r="P3241">
        <v>6.4999990859999999</v>
      </c>
      <c r="Q3241">
        <v>749.55241230000001</v>
      </c>
      <c r="R3241">
        <v>5.0599999999999996</v>
      </c>
      <c r="S3241">
        <v>144100</v>
      </c>
      <c r="T3241">
        <v>38.861033999999997</v>
      </c>
      <c r="U3241">
        <v>71.276093000000003</v>
      </c>
    </row>
    <row r="3242" spans="1:21">
      <c r="A3242" t="s">
        <v>177</v>
      </c>
      <c r="B3242">
        <v>2011</v>
      </c>
      <c r="C3242">
        <v>7255.9989999999998</v>
      </c>
      <c r="D3242">
        <v>2559.9999429999998</v>
      </c>
      <c r="E3242">
        <v>0.04</v>
      </c>
      <c r="F3242">
        <v>0</v>
      </c>
      <c r="G3242">
        <v>16.04</v>
      </c>
      <c r="H3242">
        <v>99.751249999999999</v>
      </c>
      <c r="I3242">
        <v>624.80999999999995</v>
      </c>
      <c r="J3242">
        <v>59.98</v>
      </c>
      <c r="K3242">
        <v>68</v>
      </c>
      <c r="L3242">
        <v>98.716859999999997</v>
      </c>
      <c r="M3242">
        <v>71.900000000000006</v>
      </c>
      <c r="O3242">
        <v>890000</v>
      </c>
      <c r="P3242">
        <v>7.4000006000000003</v>
      </c>
      <c r="Q3242">
        <v>847.38243209999996</v>
      </c>
      <c r="R3242">
        <v>4.7300000000000004</v>
      </c>
      <c r="S3242">
        <v>144100</v>
      </c>
      <c r="T3242">
        <v>38.861033999999997</v>
      </c>
      <c r="U3242">
        <v>71.276093000000003</v>
      </c>
    </row>
    <row r="3243" spans="1:21">
      <c r="A3243" t="s">
        <v>177</v>
      </c>
      <c r="B3243">
        <v>2012</v>
      </c>
      <c r="C3243">
        <v>7500.7905000000001</v>
      </c>
      <c r="D3243">
        <v>3019.9999809999999</v>
      </c>
      <c r="E3243">
        <v>7.0000000000000007E-2</v>
      </c>
      <c r="F3243">
        <v>0</v>
      </c>
      <c r="G3243">
        <v>16.73</v>
      </c>
      <c r="H3243">
        <v>99.583336000000003</v>
      </c>
      <c r="I3243">
        <v>610.98</v>
      </c>
      <c r="J3243">
        <v>55.8</v>
      </c>
      <c r="K3243">
        <v>68</v>
      </c>
      <c r="L3243">
        <v>99.1</v>
      </c>
      <c r="M3243">
        <v>73.400000000000006</v>
      </c>
      <c r="O3243">
        <v>3700000</v>
      </c>
      <c r="P3243">
        <v>7.499999463</v>
      </c>
      <c r="Q3243">
        <v>969.29610390000005</v>
      </c>
      <c r="R3243">
        <v>4.76</v>
      </c>
      <c r="S3243">
        <v>144100</v>
      </c>
      <c r="T3243">
        <v>38.861033999999997</v>
      </c>
      <c r="U3243">
        <v>71.276093000000003</v>
      </c>
    </row>
    <row r="3244" spans="1:21">
      <c r="A3244" t="s">
        <v>177</v>
      </c>
      <c r="B3244">
        <v>2013</v>
      </c>
      <c r="C3244">
        <v>7599.0825000000004</v>
      </c>
      <c r="D3244">
        <v>3200.0000479999999</v>
      </c>
      <c r="E3244">
        <v>0.04</v>
      </c>
      <c r="F3244">
        <v>0</v>
      </c>
      <c r="G3244">
        <v>16.899999999999999</v>
      </c>
      <c r="H3244">
        <v>99.763869999999997</v>
      </c>
      <c r="I3244">
        <v>597.34</v>
      </c>
      <c r="J3244">
        <v>55.12</v>
      </c>
      <c r="K3244">
        <v>68</v>
      </c>
      <c r="L3244">
        <v>98.863550000000004</v>
      </c>
      <c r="M3244">
        <v>74.849999999999994</v>
      </c>
      <c r="O3244">
        <v>134390000</v>
      </c>
      <c r="P3244">
        <v>7.3999997469999999</v>
      </c>
      <c r="Q3244">
        <v>1048.225602</v>
      </c>
      <c r="R3244">
        <v>4.45</v>
      </c>
      <c r="S3244">
        <v>144100</v>
      </c>
      <c r="T3244">
        <v>38.861033999999997</v>
      </c>
      <c r="U3244">
        <v>71.276093000000003</v>
      </c>
    </row>
    <row r="3245" spans="1:21">
      <c r="A3245" t="s">
        <v>177</v>
      </c>
      <c r="B3245">
        <v>2014</v>
      </c>
      <c r="C3245">
        <v>7586.009</v>
      </c>
      <c r="D3245">
        <v>4579.9999239999997</v>
      </c>
      <c r="E3245">
        <v>0.15</v>
      </c>
      <c r="F3245">
        <v>0</v>
      </c>
      <c r="G3245">
        <v>15.84</v>
      </c>
      <c r="H3245">
        <v>99.061909999999997</v>
      </c>
      <c r="I3245">
        <v>610.04999999999995</v>
      </c>
      <c r="J3245">
        <v>45.89</v>
      </c>
      <c r="K3245">
        <v>68</v>
      </c>
      <c r="L3245">
        <v>98.964619999999996</v>
      </c>
      <c r="M3245">
        <v>76.5</v>
      </c>
      <c r="O3245">
        <v>420000</v>
      </c>
      <c r="P3245">
        <v>6.7000006900000004</v>
      </c>
      <c r="Q3245">
        <v>1104.172358</v>
      </c>
      <c r="R3245">
        <v>4.47</v>
      </c>
      <c r="S3245">
        <v>144100</v>
      </c>
      <c r="T3245">
        <v>38.861033999999997</v>
      </c>
      <c r="U3245">
        <v>71.276093000000003</v>
      </c>
    </row>
    <row r="3246" spans="1:21">
      <c r="A3246" t="s">
        <v>177</v>
      </c>
      <c r="B3246">
        <v>2015</v>
      </c>
      <c r="C3246">
        <v>7419.7280000000001</v>
      </c>
      <c r="D3246">
        <v>4900.0000950000003</v>
      </c>
      <c r="E3246">
        <v>0.15</v>
      </c>
      <c r="F3246">
        <v>0</v>
      </c>
      <c r="G3246">
        <v>16.829999999999998</v>
      </c>
      <c r="H3246">
        <v>99.116609999999994</v>
      </c>
      <c r="I3246">
        <v>595.34</v>
      </c>
      <c r="J3246">
        <v>48.11</v>
      </c>
      <c r="K3246">
        <v>68</v>
      </c>
      <c r="L3246">
        <v>98</v>
      </c>
      <c r="M3246">
        <v>77.3</v>
      </c>
      <c r="O3246">
        <v>180000</v>
      </c>
      <c r="P3246">
        <v>5.9999992640000004</v>
      </c>
      <c r="Q3246">
        <v>978.40498119999995</v>
      </c>
      <c r="R3246">
        <v>4.57</v>
      </c>
      <c r="S3246">
        <v>144100</v>
      </c>
      <c r="T3246">
        <v>38.861033999999997</v>
      </c>
      <c r="U3246">
        <v>71.276093000000003</v>
      </c>
    </row>
    <row r="3247" spans="1:21">
      <c r="A3247" t="s">
        <v>177</v>
      </c>
      <c r="B3247">
        <v>2016</v>
      </c>
      <c r="C3247">
        <v>7461.84</v>
      </c>
      <c r="D3247">
        <v>6090.000153</v>
      </c>
      <c r="E3247">
        <v>0.56000000000000005</v>
      </c>
      <c r="F3247">
        <v>0</v>
      </c>
      <c r="G3247">
        <v>16.47</v>
      </c>
      <c r="H3247">
        <v>96.711680000000001</v>
      </c>
      <c r="I3247">
        <v>581.6</v>
      </c>
      <c r="J3247">
        <v>41.16</v>
      </c>
      <c r="K3247">
        <v>68</v>
      </c>
      <c r="L3247">
        <v>99.208309999999997</v>
      </c>
      <c r="M3247">
        <v>78.7</v>
      </c>
      <c r="O3247">
        <v>90000</v>
      </c>
      <c r="P3247">
        <v>6.89999962</v>
      </c>
      <c r="Q3247">
        <v>807.10258610000005</v>
      </c>
      <c r="R3247">
        <v>4.8</v>
      </c>
      <c r="S3247">
        <v>144100</v>
      </c>
      <c r="T3247">
        <v>38.861033999999997</v>
      </c>
      <c r="U3247">
        <v>71.276093000000003</v>
      </c>
    </row>
    <row r="3248" spans="1:21">
      <c r="A3248" t="s">
        <v>177</v>
      </c>
      <c r="B3248">
        <v>2017</v>
      </c>
      <c r="C3248">
        <v>7440.8459999999995</v>
      </c>
      <c r="D3248">
        <v>7369.9998859999996</v>
      </c>
      <c r="E3248">
        <v>0.92</v>
      </c>
      <c r="F3248">
        <v>0</v>
      </c>
      <c r="G3248">
        <v>16.96</v>
      </c>
      <c r="H3248">
        <v>94.854579999999999</v>
      </c>
      <c r="I3248">
        <v>567.41</v>
      </c>
      <c r="J3248">
        <v>41.69</v>
      </c>
      <c r="K3248">
        <v>68</v>
      </c>
      <c r="L3248">
        <v>99.3</v>
      </c>
      <c r="M3248">
        <v>79.7</v>
      </c>
      <c r="O3248">
        <v>334530000</v>
      </c>
      <c r="P3248">
        <v>7.1000014030000003</v>
      </c>
      <c r="Q3248">
        <v>848.67237990000001</v>
      </c>
      <c r="R3248">
        <v>4.7</v>
      </c>
      <c r="S3248">
        <v>144100</v>
      </c>
      <c r="T3248">
        <v>38.861033999999997</v>
      </c>
      <c r="U3248">
        <v>71.276093000000003</v>
      </c>
    </row>
    <row r="3249" spans="1:21">
      <c r="A3249" t="s">
        <v>177</v>
      </c>
      <c r="B3249">
        <v>2018</v>
      </c>
      <c r="C3249">
        <v>7761.8163999999997</v>
      </c>
      <c r="D3249">
        <v>8680.0003049999996</v>
      </c>
      <c r="E3249">
        <v>1.27</v>
      </c>
      <c r="F3249">
        <v>0</v>
      </c>
      <c r="G3249">
        <v>18.21</v>
      </c>
      <c r="H3249">
        <v>93.480490000000003</v>
      </c>
      <c r="I3249">
        <v>566.26</v>
      </c>
      <c r="J3249">
        <v>39.47</v>
      </c>
      <c r="K3249">
        <v>68</v>
      </c>
      <c r="L3249">
        <v>99.3</v>
      </c>
      <c r="M3249">
        <v>80.900000000000006</v>
      </c>
      <c r="P3249">
        <v>7.5999993870000004</v>
      </c>
      <c r="Q3249">
        <v>853.21887340000001</v>
      </c>
      <c r="R3249">
        <v>4.7300000000000004</v>
      </c>
      <c r="S3249">
        <v>144100</v>
      </c>
      <c r="T3249">
        <v>38.861033999999997</v>
      </c>
      <c r="U3249">
        <v>71.276093000000003</v>
      </c>
    </row>
    <row r="3250" spans="1:21">
      <c r="A3250" t="s">
        <v>177</v>
      </c>
      <c r="B3250">
        <v>2019</v>
      </c>
      <c r="C3250">
        <v>8041.5946999999996</v>
      </c>
      <c r="D3250">
        <v>9420.0000760000003</v>
      </c>
      <c r="E3250">
        <v>1.42</v>
      </c>
      <c r="F3250">
        <v>0</v>
      </c>
      <c r="G3250">
        <v>19.170000000000002</v>
      </c>
      <c r="H3250">
        <v>93.103449999999995</v>
      </c>
      <c r="I3250">
        <v>565.76</v>
      </c>
      <c r="J3250">
        <v>38.56</v>
      </c>
      <c r="K3250">
        <v>68</v>
      </c>
      <c r="L3250">
        <v>99.633210000000005</v>
      </c>
      <c r="M3250">
        <v>81.599999999999994</v>
      </c>
      <c r="P3250">
        <v>7.3999996379999997</v>
      </c>
      <c r="Q3250">
        <v>890.54440239999997</v>
      </c>
      <c r="R3250">
        <v>4.84</v>
      </c>
      <c r="S3250">
        <v>144100</v>
      </c>
      <c r="T3250">
        <v>38.861033999999997</v>
      </c>
      <c r="U3250">
        <v>71.276093000000003</v>
      </c>
    </row>
    <row r="3251" spans="1:21">
      <c r="A3251" t="s">
        <v>177</v>
      </c>
      <c r="B3251">
        <v>2020</v>
      </c>
      <c r="C3251">
        <v>7819.3896000000004</v>
      </c>
      <c r="E3251">
        <v>1.62</v>
      </c>
      <c r="F3251">
        <v>0</v>
      </c>
      <c r="G3251">
        <v>18.11</v>
      </c>
      <c r="H3251">
        <v>91.789153999999996</v>
      </c>
      <c r="I3251">
        <v>552.88</v>
      </c>
      <c r="K3251">
        <v>68</v>
      </c>
      <c r="L3251">
        <v>99.779300000000006</v>
      </c>
      <c r="M3251">
        <v>82.4</v>
      </c>
      <c r="P3251">
        <v>4.499999517</v>
      </c>
      <c r="Q3251">
        <v>859.13796109999998</v>
      </c>
      <c r="S3251">
        <v>144100</v>
      </c>
      <c r="T3251">
        <v>38.861033999999997</v>
      </c>
      <c r="U3251">
        <v>71.276093000000003</v>
      </c>
    </row>
    <row r="3252" spans="1:21">
      <c r="A3252" t="s">
        <v>178</v>
      </c>
      <c r="B3252">
        <v>2000</v>
      </c>
      <c r="C3252">
        <v>11764.549000000001</v>
      </c>
      <c r="D3252">
        <v>164490</v>
      </c>
      <c r="E3252">
        <v>83.15</v>
      </c>
      <c r="F3252">
        <v>0</v>
      </c>
      <c r="G3252">
        <v>6.38</v>
      </c>
      <c r="H3252">
        <v>7.1261029999999996</v>
      </c>
      <c r="I3252">
        <v>56.77</v>
      </c>
      <c r="J3252">
        <v>21.82</v>
      </c>
      <c r="K3252">
        <v>137</v>
      </c>
      <c r="L3252">
        <v>82.1</v>
      </c>
      <c r="M3252">
        <v>56.9</v>
      </c>
      <c r="N3252">
        <v>2.5746095000000002</v>
      </c>
      <c r="O3252">
        <v>150000</v>
      </c>
      <c r="P3252">
        <v>4.455247043</v>
      </c>
      <c r="Q3252">
        <v>2007.735271</v>
      </c>
      <c r="R3252">
        <v>4.93</v>
      </c>
      <c r="S3252">
        <v>513120</v>
      </c>
      <c r="T3252">
        <v>15.870032</v>
      </c>
      <c r="U3252">
        <v>100.992541</v>
      </c>
    </row>
    <row r="3253" spans="1:21">
      <c r="A3253" t="s">
        <v>178</v>
      </c>
      <c r="B3253">
        <v>2001</v>
      </c>
      <c r="C3253">
        <v>12293.458000000001</v>
      </c>
      <c r="D3253">
        <v>173160</v>
      </c>
      <c r="E3253">
        <v>88.97</v>
      </c>
      <c r="F3253">
        <v>0</v>
      </c>
      <c r="G3253">
        <v>6.76</v>
      </c>
      <c r="H3253">
        <v>7.0615269999999999</v>
      </c>
      <c r="I3253">
        <v>56.24</v>
      </c>
      <c r="J3253">
        <v>19.89</v>
      </c>
      <c r="K3253">
        <v>137</v>
      </c>
      <c r="L3253">
        <v>90.45138</v>
      </c>
      <c r="M3253">
        <v>58.6</v>
      </c>
      <c r="N3253">
        <v>2.5714475999999999</v>
      </c>
      <c r="O3253">
        <v>6490000</v>
      </c>
      <c r="P3253">
        <v>3.4442490100000001</v>
      </c>
      <c r="Q3253">
        <v>1893.2642390000001</v>
      </c>
      <c r="R3253">
        <v>4.9000000000000004</v>
      </c>
      <c r="S3253">
        <v>513120</v>
      </c>
      <c r="T3253">
        <v>15.870032</v>
      </c>
      <c r="U3253">
        <v>100.992541</v>
      </c>
    </row>
    <row r="3254" spans="1:21">
      <c r="A3254" t="s">
        <v>178</v>
      </c>
      <c r="B3254">
        <v>2002</v>
      </c>
      <c r="C3254">
        <v>13208.064</v>
      </c>
      <c r="D3254">
        <v>184240.0055</v>
      </c>
      <c r="E3254">
        <v>93.51</v>
      </c>
      <c r="F3254">
        <v>0</v>
      </c>
      <c r="G3254">
        <v>8.07</v>
      </c>
      <c r="H3254">
        <v>7.944477</v>
      </c>
      <c r="I3254">
        <v>55.92</v>
      </c>
      <c r="J3254">
        <v>19.91</v>
      </c>
      <c r="K3254">
        <v>137</v>
      </c>
      <c r="L3254">
        <v>91.080219999999997</v>
      </c>
      <c r="M3254">
        <v>61.1</v>
      </c>
      <c r="N3254">
        <v>2.8180337</v>
      </c>
      <c r="O3254">
        <v>10660000</v>
      </c>
      <c r="P3254">
        <v>6.1490360519999996</v>
      </c>
      <c r="Q3254">
        <v>2096.1878019999999</v>
      </c>
      <c r="R3254">
        <v>5.0999999999999996</v>
      </c>
      <c r="S3254">
        <v>513120</v>
      </c>
      <c r="T3254">
        <v>15.870032</v>
      </c>
      <c r="U3254">
        <v>100.992541</v>
      </c>
    </row>
    <row r="3255" spans="1:21">
      <c r="A3255" t="s">
        <v>178</v>
      </c>
      <c r="B3255">
        <v>2003</v>
      </c>
      <c r="C3255">
        <v>14080.671</v>
      </c>
      <c r="D3255">
        <v>191929.9927</v>
      </c>
      <c r="E3255">
        <v>100.61</v>
      </c>
      <c r="F3255">
        <v>0</v>
      </c>
      <c r="G3255">
        <v>8.36</v>
      </c>
      <c r="H3255">
        <v>7.6718354</v>
      </c>
      <c r="I3255">
        <v>55.6</v>
      </c>
      <c r="J3255">
        <v>20.21</v>
      </c>
      <c r="K3255">
        <v>137</v>
      </c>
      <c r="L3255">
        <v>91.703829999999996</v>
      </c>
      <c r="M3255">
        <v>63</v>
      </c>
      <c r="N3255">
        <v>2.7227082</v>
      </c>
      <c r="O3255">
        <v>3650000</v>
      </c>
      <c r="P3255">
        <v>7.1892433029999996</v>
      </c>
      <c r="Q3255">
        <v>2359.1168309999998</v>
      </c>
      <c r="R3255">
        <v>5.15</v>
      </c>
      <c r="S3255">
        <v>513120</v>
      </c>
      <c r="T3255">
        <v>15.870032</v>
      </c>
      <c r="U3255">
        <v>100.992541</v>
      </c>
    </row>
    <row r="3256" spans="1:21">
      <c r="A3256" t="s">
        <v>178</v>
      </c>
      <c r="B3256">
        <v>2004</v>
      </c>
      <c r="C3256">
        <v>15161.755999999999</v>
      </c>
      <c r="D3256">
        <v>210190.0024</v>
      </c>
      <c r="E3256">
        <v>109.46</v>
      </c>
      <c r="F3256">
        <v>0</v>
      </c>
      <c r="G3256">
        <v>7.63</v>
      </c>
      <c r="H3256">
        <v>6.5163549999999999</v>
      </c>
      <c r="I3256">
        <v>57.08</v>
      </c>
      <c r="J3256">
        <v>19.89</v>
      </c>
      <c r="K3256">
        <v>137</v>
      </c>
      <c r="L3256">
        <v>92.324550000000002</v>
      </c>
      <c r="M3256">
        <v>64.599999999999994</v>
      </c>
      <c r="N3256">
        <v>2.3133496999999998</v>
      </c>
      <c r="O3256">
        <v>1520000</v>
      </c>
      <c r="P3256">
        <v>6.2893421429999998</v>
      </c>
      <c r="Q3256">
        <v>2660.126835</v>
      </c>
      <c r="R3256">
        <v>5.24</v>
      </c>
      <c r="S3256">
        <v>513120</v>
      </c>
      <c r="T3256">
        <v>15.870032</v>
      </c>
      <c r="U3256">
        <v>100.992541</v>
      </c>
    </row>
    <row r="3257" spans="1:21">
      <c r="A3257" t="s">
        <v>178</v>
      </c>
      <c r="B3257">
        <v>2005</v>
      </c>
      <c r="C3257">
        <v>15521.235000000001</v>
      </c>
      <c r="D3257">
        <v>217770.0043</v>
      </c>
      <c r="E3257">
        <v>115.58</v>
      </c>
      <c r="F3257">
        <v>0</v>
      </c>
      <c r="G3257">
        <v>7.42</v>
      </c>
      <c r="H3257">
        <v>6.0325202999999998</v>
      </c>
      <c r="I3257">
        <v>57.07</v>
      </c>
      <c r="J3257">
        <v>20.11</v>
      </c>
      <c r="K3257">
        <v>137</v>
      </c>
      <c r="L3257">
        <v>92.944730000000007</v>
      </c>
      <c r="M3257">
        <v>66.400000000000006</v>
      </c>
      <c r="N3257">
        <v>2.2752100999999998</v>
      </c>
      <c r="P3257">
        <v>4.1876384289999997</v>
      </c>
      <c r="Q3257">
        <v>2894.0626560000001</v>
      </c>
      <c r="R3257">
        <v>5.18</v>
      </c>
      <c r="S3257">
        <v>513120</v>
      </c>
      <c r="T3257">
        <v>15.870032</v>
      </c>
      <c r="U3257">
        <v>100.992541</v>
      </c>
    </row>
    <row r="3258" spans="1:21">
      <c r="A3258" t="s">
        <v>178</v>
      </c>
      <c r="B3258">
        <v>2006</v>
      </c>
      <c r="C3258">
        <v>15733.904</v>
      </c>
      <c r="D3258">
        <v>219880.0049</v>
      </c>
      <c r="E3258">
        <v>119.41</v>
      </c>
      <c r="F3258">
        <v>0</v>
      </c>
      <c r="G3258">
        <v>9.82</v>
      </c>
      <c r="H3258">
        <v>7.5988550000000004</v>
      </c>
      <c r="I3258">
        <v>61.55</v>
      </c>
      <c r="J3258">
        <v>20.53</v>
      </c>
      <c r="K3258">
        <v>137</v>
      </c>
      <c r="L3258">
        <v>99.146199999999993</v>
      </c>
      <c r="M3258">
        <v>68.2</v>
      </c>
      <c r="N3258">
        <v>2.9778264000000001</v>
      </c>
      <c r="O3258">
        <v>100000</v>
      </c>
      <c r="P3258">
        <v>4.9678108920000001</v>
      </c>
      <c r="Q3258">
        <v>3369.5431979999998</v>
      </c>
      <c r="R3258">
        <v>5.03</v>
      </c>
      <c r="S3258">
        <v>513120</v>
      </c>
      <c r="T3258">
        <v>15.870032</v>
      </c>
      <c r="U3258">
        <v>100.992541</v>
      </c>
    </row>
    <row r="3259" spans="1:21">
      <c r="A3259" t="s">
        <v>178</v>
      </c>
      <c r="B3259">
        <v>2007</v>
      </c>
      <c r="C3259">
        <v>16149.867</v>
      </c>
      <c r="D3259">
        <v>224589.9963</v>
      </c>
      <c r="E3259">
        <v>122.12</v>
      </c>
      <c r="F3259">
        <v>0</v>
      </c>
      <c r="G3259">
        <v>10.199999999999999</v>
      </c>
      <c r="H3259">
        <v>7.7085850000000002</v>
      </c>
      <c r="I3259">
        <v>66.31</v>
      </c>
      <c r="J3259">
        <v>21.61</v>
      </c>
      <c r="K3259">
        <v>137</v>
      </c>
      <c r="L3259">
        <v>94.193370000000002</v>
      </c>
      <c r="M3259">
        <v>69.599999999999994</v>
      </c>
      <c r="N3259">
        <v>2.9363692000000001</v>
      </c>
      <c r="O3259">
        <v>440000</v>
      </c>
      <c r="P3259">
        <v>5.4351516909999997</v>
      </c>
      <c r="Q3259">
        <v>3973.0171719999998</v>
      </c>
      <c r="R3259">
        <v>4.95</v>
      </c>
      <c r="S3259">
        <v>513120</v>
      </c>
      <c r="T3259">
        <v>15.870032</v>
      </c>
      <c r="U3259">
        <v>100.992541</v>
      </c>
    </row>
    <row r="3260" spans="1:21">
      <c r="A3260" t="s">
        <v>178</v>
      </c>
      <c r="B3260">
        <v>2008</v>
      </c>
      <c r="C3260">
        <v>16027.416999999999</v>
      </c>
      <c r="D3260">
        <v>227580.0018</v>
      </c>
      <c r="E3260">
        <v>127.43</v>
      </c>
      <c r="F3260">
        <v>0</v>
      </c>
      <c r="G3260">
        <v>8.9499999999999993</v>
      </c>
      <c r="H3260">
        <v>6.5625460000000002</v>
      </c>
      <c r="I3260">
        <v>69.67</v>
      </c>
      <c r="J3260">
        <v>22.63</v>
      </c>
      <c r="K3260">
        <v>137</v>
      </c>
      <c r="L3260">
        <v>94.827169999999995</v>
      </c>
      <c r="M3260">
        <v>71.099999999999994</v>
      </c>
      <c r="N3260">
        <v>2.9482808</v>
      </c>
      <c r="O3260">
        <v>4660000</v>
      </c>
      <c r="P3260">
        <v>1.725698849</v>
      </c>
      <c r="Q3260">
        <v>4379.6587870000003</v>
      </c>
      <c r="R3260">
        <v>4.99</v>
      </c>
      <c r="S3260">
        <v>513120</v>
      </c>
      <c r="T3260">
        <v>15.870032</v>
      </c>
      <c r="U3260">
        <v>100.992541</v>
      </c>
    </row>
    <row r="3261" spans="1:21">
      <c r="A3261" t="s">
        <v>178</v>
      </c>
      <c r="B3261">
        <v>2009</v>
      </c>
      <c r="C3261">
        <v>16344.103999999999</v>
      </c>
      <c r="D3261">
        <v>220259.9945</v>
      </c>
      <c r="E3261">
        <v>128.09</v>
      </c>
      <c r="F3261">
        <v>0</v>
      </c>
      <c r="G3261">
        <v>9.09</v>
      </c>
      <c r="H3261">
        <v>6.6263310000000004</v>
      </c>
      <c r="I3261">
        <v>70.66</v>
      </c>
      <c r="J3261">
        <v>22.83</v>
      </c>
      <c r="K3261">
        <v>137</v>
      </c>
      <c r="L3261">
        <v>98.96</v>
      </c>
      <c r="M3261">
        <v>72.599999999999994</v>
      </c>
      <c r="N3261">
        <v>3.0501225000000001</v>
      </c>
      <c r="O3261">
        <v>1720000</v>
      </c>
      <c r="P3261">
        <v>-0.69061823200000005</v>
      </c>
      <c r="Q3261">
        <v>4213.0066539999998</v>
      </c>
      <c r="R3261">
        <v>5</v>
      </c>
      <c r="S3261">
        <v>513120</v>
      </c>
      <c r="T3261">
        <v>15.870032</v>
      </c>
      <c r="U3261">
        <v>100.992541</v>
      </c>
    </row>
    <row r="3262" spans="1:21">
      <c r="A3262" t="s">
        <v>178</v>
      </c>
      <c r="B3262">
        <v>2010</v>
      </c>
      <c r="C3262">
        <v>17299.504000000001</v>
      </c>
      <c r="D3262">
        <v>234380.0049</v>
      </c>
      <c r="E3262">
        <v>141.72</v>
      </c>
      <c r="F3262">
        <v>0</v>
      </c>
      <c r="G3262">
        <v>8.58</v>
      </c>
      <c r="H3262">
        <v>5.708583</v>
      </c>
      <c r="I3262">
        <v>71.569999999999993</v>
      </c>
      <c r="J3262">
        <v>22.83</v>
      </c>
      <c r="K3262">
        <v>137</v>
      </c>
      <c r="L3262">
        <v>99.7</v>
      </c>
      <c r="M3262">
        <v>73.599999999999994</v>
      </c>
      <c r="N3262">
        <v>2.8064702000000001</v>
      </c>
      <c r="O3262">
        <v>4140000</v>
      </c>
      <c r="P3262">
        <v>7.5133905329999999</v>
      </c>
      <c r="Q3262">
        <v>5076.3398719999996</v>
      </c>
      <c r="R3262">
        <v>5.0999999999999996</v>
      </c>
      <c r="S3262">
        <v>513120</v>
      </c>
      <c r="T3262">
        <v>15.870032</v>
      </c>
      <c r="U3262">
        <v>100.992541</v>
      </c>
    </row>
    <row r="3263" spans="1:21">
      <c r="A3263" t="s">
        <v>178</v>
      </c>
      <c r="B3263">
        <v>2011</v>
      </c>
      <c r="C3263">
        <v>17644.098000000002</v>
      </c>
      <c r="D3263">
        <v>233600.0061</v>
      </c>
      <c r="E3263">
        <v>135.31</v>
      </c>
      <c r="F3263">
        <v>0</v>
      </c>
      <c r="G3263">
        <v>11.83</v>
      </c>
      <c r="H3263">
        <v>8.0399619999999992</v>
      </c>
      <c r="I3263">
        <v>74.959999999999994</v>
      </c>
      <c r="J3263">
        <v>22.96</v>
      </c>
      <c r="K3263">
        <v>137</v>
      </c>
      <c r="L3263">
        <v>99.351839999999996</v>
      </c>
      <c r="M3263">
        <v>74.7</v>
      </c>
      <c r="N3263">
        <v>3.4573398000000002</v>
      </c>
      <c r="O3263">
        <v>288270000</v>
      </c>
      <c r="P3263">
        <v>0.84013208299999997</v>
      </c>
      <c r="Q3263">
        <v>5492.1215000000002</v>
      </c>
      <c r="R3263">
        <v>5.05</v>
      </c>
      <c r="S3263">
        <v>513120</v>
      </c>
      <c r="T3263">
        <v>15.870032</v>
      </c>
      <c r="U3263">
        <v>100.992541</v>
      </c>
    </row>
    <row r="3264" spans="1:21">
      <c r="A3264" t="s">
        <v>178</v>
      </c>
      <c r="B3264">
        <v>2012</v>
      </c>
      <c r="C3264">
        <v>18817.509999999998</v>
      </c>
      <c r="D3264">
        <v>250679.9927</v>
      </c>
      <c r="E3264">
        <v>143.72999999999999</v>
      </c>
      <c r="F3264">
        <v>0</v>
      </c>
      <c r="G3264">
        <v>13.42</v>
      </c>
      <c r="H3264">
        <v>8.539612</v>
      </c>
      <c r="I3264">
        <v>84</v>
      </c>
      <c r="J3264">
        <v>23.56</v>
      </c>
      <c r="K3264">
        <v>137</v>
      </c>
      <c r="L3264">
        <v>99.108630000000005</v>
      </c>
      <c r="M3264">
        <v>75.900000000000006</v>
      </c>
      <c r="N3264">
        <v>3.7705746000000002</v>
      </c>
      <c r="O3264">
        <v>119370000</v>
      </c>
      <c r="P3264">
        <v>7.2427962020000001</v>
      </c>
      <c r="Q3264">
        <v>5860.5814710000004</v>
      </c>
      <c r="R3264">
        <v>5.05</v>
      </c>
      <c r="S3264">
        <v>513120</v>
      </c>
      <c r="T3264">
        <v>15.870032</v>
      </c>
      <c r="U3264">
        <v>100.992541</v>
      </c>
    </row>
    <row r="3265" spans="1:21">
      <c r="A3265" t="s">
        <v>178</v>
      </c>
      <c r="B3265">
        <v>2013</v>
      </c>
      <c r="C3265">
        <v>18809.136999999999</v>
      </c>
      <c r="D3265">
        <v>260700.0122</v>
      </c>
      <c r="E3265">
        <v>148.29</v>
      </c>
      <c r="F3265">
        <v>0</v>
      </c>
      <c r="G3265">
        <v>12.33</v>
      </c>
      <c r="H3265">
        <v>7.6765036999999996</v>
      </c>
      <c r="I3265">
        <v>98.33</v>
      </c>
      <c r="J3265">
        <v>23.21</v>
      </c>
      <c r="K3265">
        <v>137</v>
      </c>
      <c r="L3265">
        <v>99.440574999999995</v>
      </c>
      <c r="M3265">
        <v>77.099999999999994</v>
      </c>
      <c r="N3265">
        <v>3.8591549999999999</v>
      </c>
      <c r="O3265">
        <v>54650000</v>
      </c>
      <c r="P3265">
        <v>2.6874955630000001</v>
      </c>
      <c r="Q3265">
        <v>6168.261356</v>
      </c>
      <c r="R3265">
        <v>5.28</v>
      </c>
      <c r="S3265">
        <v>513120</v>
      </c>
      <c r="T3265">
        <v>15.870032</v>
      </c>
      <c r="U3265">
        <v>100.992541</v>
      </c>
    </row>
    <row r="3266" spans="1:21">
      <c r="A3266" t="s">
        <v>178</v>
      </c>
      <c r="B3266">
        <v>2014</v>
      </c>
      <c r="C3266">
        <v>19310.581999999999</v>
      </c>
      <c r="D3266">
        <v>256799.9878</v>
      </c>
      <c r="E3266">
        <v>149.26</v>
      </c>
      <c r="F3266">
        <v>0</v>
      </c>
      <c r="G3266">
        <v>13.68</v>
      </c>
      <c r="H3266">
        <v>8.3957280000000001</v>
      </c>
      <c r="I3266">
        <v>108.21</v>
      </c>
      <c r="J3266">
        <v>24.41</v>
      </c>
      <c r="K3266">
        <v>137</v>
      </c>
      <c r="L3266">
        <v>99.461945</v>
      </c>
      <c r="M3266">
        <v>77.900000000000006</v>
      </c>
      <c r="N3266">
        <v>4.2589955000000002</v>
      </c>
      <c r="O3266">
        <v>4370000</v>
      </c>
      <c r="P3266">
        <v>0.984468864</v>
      </c>
      <c r="Q3266">
        <v>5951.8834870000001</v>
      </c>
      <c r="R3266">
        <v>5.2</v>
      </c>
      <c r="S3266">
        <v>513120</v>
      </c>
      <c r="T3266">
        <v>15.870032</v>
      </c>
      <c r="U3266">
        <v>100.992541</v>
      </c>
    </row>
    <row r="3267" spans="1:21">
      <c r="A3267" t="s">
        <v>178</v>
      </c>
      <c r="B3267">
        <v>2015</v>
      </c>
      <c r="C3267">
        <v>19661.768</v>
      </c>
      <c r="D3267">
        <v>264000</v>
      </c>
      <c r="E3267">
        <v>153.4</v>
      </c>
      <c r="F3267">
        <v>0</v>
      </c>
      <c r="G3267">
        <v>13.33</v>
      </c>
      <c r="H3267">
        <v>7.9949620000000001</v>
      </c>
      <c r="I3267">
        <v>115.96</v>
      </c>
      <c r="J3267">
        <v>22.65</v>
      </c>
      <c r="K3267">
        <v>137</v>
      </c>
      <c r="L3267">
        <v>99.6</v>
      </c>
      <c r="M3267">
        <v>78.900000000000006</v>
      </c>
      <c r="N3267">
        <v>4.1909814000000001</v>
      </c>
      <c r="O3267">
        <v>55520000</v>
      </c>
      <c r="P3267">
        <v>3.134047249</v>
      </c>
      <c r="Q3267">
        <v>5840.0530669999998</v>
      </c>
      <c r="R3267">
        <v>5.07</v>
      </c>
      <c r="S3267">
        <v>513120</v>
      </c>
      <c r="T3267">
        <v>15.870032</v>
      </c>
      <c r="U3267">
        <v>100.992541</v>
      </c>
    </row>
    <row r="3268" spans="1:21">
      <c r="A3268" t="s">
        <v>178</v>
      </c>
      <c r="B3268">
        <v>2016</v>
      </c>
      <c r="C3268">
        <v>19981.581999999999</v>
      </c>
      <c r="D3268">
        <v>261600.0061</v>
      </c>
      <c r="E3268">
        <v>161.79</v>
      </c>
      <c r="F3268">
        <v>0</v>
      </c>
      <c r="G3268">
        <v>15.97</v>
      </c>
      <c r="H3268">
        <v>8.9840239999999998</v>
      </c>
      <c r="I3268">
        <v>136.9</v>
      </c>
      <c r="J3268">
        <v>22.43</v>
      </c>
      <c r="K3268">
        <v>137</v>
      </c>
      <c r="L3268">
        <v>99.849959999999996</v>
      </c>
      <c r="M3268">
        <v>80.099999999999994</v>
      </c>
      <c r="N3268">
        <v>4.5999755999999996</v>
      </c>
      <c r="O3268">
        <v>420000</v>
      </c>
      <c r="P3268">
        <v>3.4351577170000001</v>
      </c>
      <c r="Q3268">
        <v>5993.3055160000004</v>
      </c>
      <c r="R3268">
        <v>5.0199999999999996</v>
      </c>
      <c r="S3268">
        <v>513120</v>
      </c>
      <c r="T3268">
        <v>15.870032</v>
      </c>
      <c r="U3268">
        <v>100.992541</v>
      </c>
    </row>
    <row r="3269" spans="1:21">
      <c r="A3269" t="s">
        <v>178</v>
      </c>
      <c r="B3269">
        <v>2017</v>
      </c>
      <c r="C3269">
        <v>20264.653999999999</v>
      </c>
      <c r="D3269">
        <v>258820.0073</v>
      </c>
      <c r="E3269">
        <v>161.88</v>
      </c>
      <c r="F3269">
        <v>0</v>
      </c>
      <c r="G3269">
        <v>19.920000000000002</v>
      </c>
      <c r="H3269">
        <v>10.957095000000001</v>
      </c>
      <c r="I3269">
        <v>148</v>
      </c>
      <c r="J3269">
        <v>22.25</v>
      </c>
      <c r="K3269">
        <v>137</v>
      </c>
      <c r="L3269">
        <v>99.9</v>
      </c>
      <c r="M3269">
        <v>80.8</v>
      </c>
      <c r="N3269">
        <v>5.3063263999999997</v>
      </c>
      <c r="O3269">
        <v>1990000</v>
      </c>
      <c r="P3269">
        <v>4.1776810319999997</v>
      </c>
      <c r="Q3269">
        <v>6593.8183520000002</v>
      </c>
      <c r="R3269">
        <v>4.79</v>
      </c>
      <c r="S3269">
        <v>513120</v>
      </c>
      <c r="T3269">
        <v>15.870032</v>
      </c>
      <c r="U3269">
        <v>100.992541</v>
      </c>
    </row>
    <row r="3270" spans="1:21">
      <c r="A3270" t="s">
        <v>178</v>
      </c>
      <c r="B3270">
        <v>2018</v>
      </c>
      <c r="C3270">
        <v>20834.088</v>
      </c>
      <c r="D3270">
        <v>257049.9878</v>
      </c>
      <c r="E3270">
        <v>156.26</v>
      </c>
      <c r="F3270">
        <v>0</v>
      </c>
      <c r="G3270">
        <v>25.84</v>
      </c>
      <c r="H3270">
        <v>14.190004999999999</v>
      </c>
      <c r="I3270">
        <v>163.82</v>
      </c>
      <c r="J3270">
        <v>23.7</v>
      </c>
      <c r="K3270">
        <v>137</v>
      </c>
      <c r="L3270">
        <v>99.82</v>
      </c>
      <c r="M3270">
        <v>81.7</v>
      </c>
      <c r="N3270">
        <v>6.3802213999999999</v>
      </c>
      <c r="O3270">
        <v>296130000</v>
      </c>
      <c r="P3270">
        <v>4.1895854960000003</v>
      </c>
      <c r="Q3270">
        <v>7296.8796080000002</v>
      </c>
      <c r="R3270">
        <v>4.5</v>
      </c>
      <c r="S3270">
        <v>513120</v>
      </c>
      <c r="T3270">
        <v>15.870032</v>
      </c>
      <c r="U3270">
        <v>100.992541</v>
      </c>
    </row>
    <row r="3271" spans="1:21">
      <c r="A3271" t="s">
        <v>178</v>
      </c>
      <c r="B3271">
        <v>2019</v>
      </c>
      <c r="C3271">
        <v>20792.384999999998</v>
      </c>
      <c r="D3271">
        <v>267089.9963</v>
      </c>
      <c r="E3271">
        <v>162.59</v>
      </c>
      <c r="F3271">
        <v>0</v>
      </c>
      <c r="G3271">
        <v>28.02</v>
      </c>
      <c r="H3271">
        <v>14.700172999999999</v>
      </c>
      <c r="I3271">
        <v>170.3</v>
      </c>
      <c r="J3271">
        <v>23.96</v>
      </c>
      <c r="K3271">
        <v>137</v>
      </c>
      <c r="L3271">
        <v>99.9</v>
      </c>
      <c r="M3271">
        <v>82.7</v>
      </c>
      <c r="N3271">
        <v>6.9562197000000001</v>
      </c>
      <c r="O3271">
        <v>99160000</v>
      </c>
      <c r="P3271">
        <v>2.2664336719999998</v>
      </c>
      <c r="Q3271">
        <v>7817.0096709999998</v>
      </c>
      <c r="R3271">
        <v>4.5199999999999996</v>
      </c>
      <c r="S3271">
        <v>513120</v>
      </c>
      <c r="T3271">
        <v>15.870032</v>
      </c>
      <c r="U3271">
        <v>100.992541</v>
      </c>
    </row>
    <row r="3272" spans="1:21">
      <c r="A3272" t="s">
        <v>178</v>
      </c>
      <c r="B3272">
        <v>2020</v>
      </c>
      <c r="C3272">
        <v>19298.085999999999</v>
      </c>
      <c r="E3272">
        <v>154.52000000000001</v>
      </c>
      <c r="F3272">
        <v>0</v>
      </c>
      <c r="G3272">
        <v>24.73</v>
      </c>
      <c r="H3272">
        <v>13.796373000000001</v>
      </c>
      <c r="I3272">
        <v>171.79</v>
      </c>
      <c r="K3272">
        <v>137</v>
      </c>
      <c r="L3272">
        <v>100</v>
      </c>
      <c r="M3272">
        <v>83.6</v>
      </c>
      <c r="N3272">
        <v>6.9914206999999999</v>
      </c>
      <c r="P3272">
        <v>-6.0989838430000001</v>
      </c>
      <c r="Q3272">
        <v>7186.874092</v>
      </c>
      <c r="S3272">
        <v>513120</v>
      </c>
      <c r="T3272">
        <v>15.870032</v>
      </c>
      <c r="U3272">
        <v>100.992541</v>
      </c>
    </row>
    <row r="3273" spans="1:21">
      <c r="A3273" t="s">
        <v>179</v>
      </c>
      <c r="B3273">
        <v>2000</v>
      </c>
      <c r="C3273">
        <v>918.548</v>
      </c>
      <c r="D3273">
        <v>1270</v>
      </c>
      <c r="E3273">
        <v>7.0000000000000007E-2</v>
      </c>
      <c r="F3273">
        <v>0</v>
      </c>
      <c r="G3273">
        <v>0.1</v>
      </c>
      <c r="H3273">
        <v>58.823529999999998</v>
      </c>
      <c r="I3273">
        <v>13.69</v>
      </c>
      <c r="J3273">
        <v>77.11</v>
      </c>
      <c r="K3273">
        <v>152</v>
      </c>
      <c r="L3273">
        <v>16.956233999999998</v>
      </c>
      <c r="M3273">
        <v>0.5</v>
      </c>
      <c r="P3273">
        <v>-0.783479606</v>
      </c>
      <c r="Q3273">
        <v>302.95859200000001</v>
      </c>
      <c r="R3273">
        <v>10.56</v>
      </c>
      <c r="S3273">
        <v>56785</v>
      </c>
      <c r="T3273">
        <v>8.6195430000000002</v>
      </c>
      <c r="U3273">
        <v>0.82478200000000002</v>
      </c>
    </row>
    <row r="3274" spans="1:21">
      <c r="A3274" t="s">
        <v>179</v>
      </c>
      <c r="B3274">
        <v>2001</v>
      </c>
      <c r="C3274">
        <v>790.45600000000002</v>
      </c>
      <c r="D3274">
        <v>1180</v>
      </c>
      <c r="E3274">
        <v>7.0000000000000007E-2</v>
      </c>
      <c r="F3274">
        <v>0</v>
      </c>
      <c r="G3274">
        <v>0.05</v>
      </c>
      <c r="H3274">
        <v>41.666668000000001</v>
      </c>
      <c r="I3274">
        <v>13.31</v>
      </c>
      <c r="J3274">
        <v>82.05</v>
      </c>
      <c r="K3274">
        <v>152</v>
      </c>
      <c r="L3274">
        <v>19.600366999999999</v>
      </c>
      <c r="M3274">
        <v>0.6</v>
      </c>
      <c r="P3274">
        <v>0.82343874900000003</v>
      </c>
      <c r="Q3274">
        <v>292.8231035</v>
      </c>
      <c r="R3274">
        <v>10.44</v>
      </c>
      <c r="S3274">
        <v>56785</v>
      </c>
      <c r="T3274">
        <v>8.6195430000000002</v>
      </c>
      <c r="U3274">
        <v>0.82478200000000002</v>
      </c>
    </row>
    <row r="3275" spans="1:21">
      <c r="A3275" t="s">
        <v>179</v>
      </c>
      <c r="B3275">
        <v>2002</v>
      </c>
      <c r="C3275">
        <v>844.63256999999999</v>
      </c>
      <c r="D3275">
        <v>1340.000033</v>
      </c>
      <c r="E3275">
        <v>0.06</v>
      </c>
      <c r="F3275">
        <v>0</v>
      </c>
      <c r="G3275">
        <v>0.09</v>
      </c>
      <c r="H3275">
        <v>59.999996000000003</v>
      </c>
      <c r="I3275">
        <v>12.97</v>
      </c>
      <c r="J3275">
        <v>78.66</v>
      </c>
      <c r="K3275">
        <v>152</v>
      </c>
      <c r="L3275">
        <v>21.352861000000001</v>
      </c>
      <c r="M3275">
        <v>0.7</v>
      </c>
      <c r="P3275">
        <v>3.82662258</v>
      </c>
      <c r="Q3275">
        <v>328.39810729999999</v>
      </c>
      <c r="R3275">
        <v>10.42</v>
      </c>
      <c r="S3275">
        <v>56785</v>
      </c>
      <c r="T3275">
        <v>8.6195430000000002</v>
      </c>
      <c r="U3275">
        <v>0.82478200000000002</v>
      </c>
    </row>
    <row r="3276" spans="1:21">
      <c r="A3276" t="s">
        <v>179</v>
      </c>
      <c r="B3276">
        <v>2003</v>
      </c>
      <c r="C3276">
        <v>1026.2677000000001</v>
      </c>
      <c r="D3276">
        <v>1830.000043</v>
      </c>
      <c r="E3276">
        <v>0.05</v>
      </c>
      <c r="F3276">
        <v>0</v>
      </c>
      <c r="G3276">
        <v>0.12</v>
      </c>
      <c r="H3276">
        <v>70.588234</v>
      </c>
      <c r="I3276">
        <v>12.49</v>
      </c>
      <c r="J3276">
        <v>74.790000000000006</v>
      </c>
      <c r="K3276">
        <v>152</v>
      </c>
      <c r="L3276">
        <v>23.100118999999999</v>
      </c>
      <c r="M3276">
        <v>0.8</v>
      </c>
      <c r="P3276">
        <v>6.720171423</v>
      </c>
      <c r="Q3276">
        <v>396.92057979999998</v>
      </c>
      <c r="R3276">
        <v>10.31</v>
      </c>
      <c r="S3276">
        <v>56785</v>
      </c>
      <c r="T3276">
        <v>8.6195430000000002</v>
      </c>
      <c r="U3276">
        <v>0.82478200000000002</v>
      </c>
    </row>
    <row r="3277" spans="1:21">
      <c r="A3277" t="s">
        <v>179</v>
      </c>
      <c r="B3277">
        <v>2004</v>
      </c>
      <c r="C3277">
        <v>983.67319999999995</v>
      </c>
      <c r="D3277">
        <v>1779.999971</v>
      </c>
      <c r="E3277">
        <v>0.1</v>
      </c>
      <c r="F3277">
        <v>0</v>
      </c>
      <c r="G3277">
        <v>0.08</v>
      </c>
      <c r="H3277">
        <v>44.444443</v>
      </c>
      <c r="I3277">
        <v>12.18</v>
      </c>
      <c r="J3277">
        <v>76.14</v>
      </c>
      <c r="K3277">
        <v>152</v>
      </c>
      <c r="L3277">
        <v>24.844491999999999</v>
      </c>
      <c r="M3277">
        <v>1</v>
      </c>
      <c r="P3277">
        <v>-0.97866533499999997</v>
      </c>
      <c r="Q3277">
        <v>413.32986620000003</v>
      </c>
      <c r="R3277">
        <v>10.52</v>
      </c>
      <c r="S3277">
        <v>56785</v>
      </c>
      <c r="T3277">
        <v>8.6195430000000002</v>
      </c>
      <c r="U3277">
        <v>0.82478200000000002</v>
      </c>
    </row>
    <row r="3278" spans="1:21">
      <c r="A3278" t="s">
        <v>179</v>
      </c>
      <c r="B3278">
        <v>2005</v>
      </c>
      <c r="C3278">
        <v>934.84839999999997</v>
      </c>
      <c r="D3278">
        <v>1750</v>
      </c>
      <c r="E3278">
        <v>0.11</v>
      </c>
      <c r="F3278">
        <v>0</v>
      </c>
      <c r="G3278">
        <v>7.0000000000000007E-2</v>
      </c>
      <c r="H3278">
        <v>38.888885000000002</v>
      </c>
      <c r="I3278">
        <v>11.87</v>
      </c>
      <c r="J3278">
        <v>77.22</v>
      </c>
      <c r="K3278">
        <v>152</v>
      </c>
      <c r="L3278">
        <v>26.588327</v>
      </c>
      <c r="M3278">
        <v>1.3</v>
      </c>
      <c r="P3278">
        <v>-4.6662993820000001</v>
      </c>
      <c r="Q3278">
        <v>406.562366</v>
      </c>
      <c r="R3278">
        <v>11.25</v>
      </c>
      <c r="S3278">
        <v>56785</v>
      </c>
      <c r="T3278">
        <v>8.6195430000000002</v>
      </c>
      <c r="U3278">
        <v>0.82478200000000002</v>
      </c>
    </row>
    <row r="3279" spans="1:21">
      <c r="A3279" t="s">
        <v>179</v>
      </c>
      <c r="B3279">
        <v>2006</v>
      </c>
      <c r="C3279">
        <v>792.30255</v>
      </c>
      <c r="D3279">
        <v>1570.0000520000001</v>
      </c>
      <c r="E3279">
        <v>0.12</v>
      </c>
      <c r="F3279">
        <v>0</v>
      </c>
      <c r="G3279">
        <v>0.09</v>
      </c>
      <c r="H3279">
        <v>42.857143000000001</v>
      </c>
      <c r="I3279">
        <v>11.56</v>
      </c>
      <c r="J3279">
        <v>79.650000000000006</v>
      </c>
      <c r="K3279">
        <v>152</v>
      </c>
      <c r="L3279">
        <v>27.9</v>
      </c>
      <c r="M3279">
        <v>1.6</v>
      </c>
      <c r="O3279">
        <v>20000</v>
      </c>
      <c r="P3279">
        <v>2.6501321</v>
      </c>
      <c r="Q3279">
        <v>408.05711730000002</v>
      </c>
      <c r="R3279">
        <v>10.94</v>
      </c>
      <c r="S3279">
        <v>56785</v>
      </c>
      <c r="T3279">
        <v>8.6195430000000002</v>
      </c>
      <c r="U3279">
        <v>0.82478200000000002</v>
      </c>
    </row>
    <row r="3280" spans="1:21">
      <c r="A3280" t="s">
        <v>179</v>
      </c>
      <c r="B3280">
        <v>2007</v>
      </c>
      <c r="C3280">
        <v>939.68664999999999</v>
      </c>
      <c r="D3280">
        <v>1500</v>
      </c>
      <c r="E3280">
        <v>0.09</v>
      </c>
      <c r="F3280">
        <v>0</v>
      </c>
      <c r="G3280">
        <v>0.09</v>
      </c>
      <c r="H3280">
        <v>49.999996000000003</v>
      </c>
      <c r="I3280">
        <v>11.25</v>
      </c>
      <c r="J3280">
        <v>79.900000000000006</v>
      </c>
      <c r="K3280">
        <v>152</v>
      </c>
      <c r="L3280">
        <v>30.084267000000001</v>
      </c>
      <c r="M3280">
        <v>1.9</v>
      </c>
      <c r="P3280">
        <v>-1.1751203910000001</v>
      </c>
      <c r="Q3280">
        <v>449.73825049999999</v>
      </c>
      <c r="R3280">
        <v>11.5</v>
      </c>
      <c r="S3280">
        <v>56785</v>
      </c>
      <c r="T3280">
        <v>8.6195430000000002</v>
      </c>
      <c r="U3280">
        <v>0.82478200000000002</v>
      </c>
    </row>
    <row r="3281" spans="1:21">
      <c r="A3281" t="s">
        <v>179</v>
      </c>
      <c r="B3281">
        <v>2008</v>
      </c>
      <c r="C3281">
        <v>1089.204</v>
      </c>
      <c r="D3281">
        <v>1570.0000520000001</v>
      </c>
      <c r="E3281">
        <v>0.03</v>
      </c>
      <c r="F3281">
        <v>0</v>
      </c>
      <c r="G3281">
        <v>0.09</v>
      </c>
      <c r="H3281">
        <v>75</v>
      </c>
      <c r="I3281">
        <v>10.95</v>
      </c>
      <c r="J3281">
        <v>76.510000000000005</v>
      </c>
      <c r="K3281">
        <v>152</v>
      </c>
      <c r="L3281">
        <v>31.841726000000001</v>
      </c>
      <c r="M3281">
        <v>2.4</v>
      </c>
      <c r="P3281">
        <v>4.062252827</v>
      </c>
      <c r="Q3281">
        <v>546.35037020000004</v>
      </c>
      <c r="R3281">
        <v>11.51</v>
      </c>
      <c r="S3281">
        <v>56785</v>
      </c>
      <c r="T3281">
        <v>8.6195430000000002</v>
      </c>
      <c r="U3281">
        <v>0.82478200000000002</v>
      </c>
    </row>
    <row r="3282" spans="1:21">
      <c r="A3282" t="s">
        <v>179</v>
      </c>
      <c r="B3282">
        <v>2009</v>
      </c>
      <c r="C3282">
        <v>1878.3422</v>
      </c>
      <c r="D3282">
        <v>2819.9999330000001</v>
      </c>
      <c r="E3282">
        <v>0.03</v>
      </c>
      <c r="F3282">
        <v>0</v>
      </c>
      <c r="G3282">
        <v>0.11</v>
      </c>
      <c r="H3282">
        <v>78.571430000000007</v>
      </c>
      <c r="I3282">
        <v>10.66</v>
      </c>
      <c r="J3282">
        <v>63.38</v>
      </c>
      <c r="K3282">
        <v>152</v>
      </c>
      <c r="L3282">
        <v>33.609127000000001</v>
      </c>
      <c r="M3282">
        <v>2.9</v>
      </c>
      <c r="P3282">
        <v>5.5379109729999998</v>
      </c>
      <c r="Q3282">
        <v>540.60871259999999</v>
      </c>
      <c r="R3282">
        <v>13.27</v>
      </c>
      <c r="S3282">
        <v>56785</v>
      </c>
      <c r="T3282">
        <v>8.6195430000000002</v>
      </c>
      <c r="U3282">
        <v>0.82478200000000002</v>
      </c>
    </row>
    <row r="3283" spans="1:21">
      <c r="A3283" t="s">
        <v>179</v>
      </c>
      <c r="B3283">
        <v>2010</v>
      </c>
      <c r="C3283">
        <v>1746.39</v>
      </c>
      <c r="D3283">
        <v>2630.0001139999999</v>
      </c>
      <c r="E3283">
        <v>0.08</v>
      </c>
      <c r="F3283">
        <v>0</v>
      </c>
      <c r="G3283">
        <v>0.09</v>
      </c>
      <c r="H3283">
        <v>52.941177000000003</v>
      </c>
      <c r="I3283">
        <v>10.39</v>
      </c>
      <c r="J3283">
        <v>65.81</v>
      </c>
      <c r="K3283">
        <v>152</v>
      </c>
      <c r="L3283">
        <v>30.791744000000001</v>
      </c>
      <c r="M3283">
        <v>3.4</v>
      </c>
      <c r="P3283">
        <v>6.0992591630000002</v>
      </c>
      <c r="Q3283">
        <v>534.04478259999996</v>
      </c>
      <c r="R3283">
        <v>12.5</v>
      </c>
      <c r="S3283">
        <v>56785</v>
      </c>
      <c r="T3283">
        <v>8.6195430000000002</v>
      </c>
      <c r="U3283">
        <v>0.82478200000000002</v>
      </c>
    </row>
    <row r="3284" spans="1:21">
      <c r="A3284" t="s">
        <v>179</v>
      </c>
      <c r="B3284">
        <v>2011</v>
      </c>
      <c r="C3284">
        <v>1573.317</v>
      </c>
      <c r="D3284">
        <v>2519.9999809999999</v>
      </c>
      <c r="E3284">
        <v>0.02</v>
      </c>
      <c r="F3284">
        <v>0</v>
      </c>
      <c r="G3284">
        <v>0.1</v>
      </c>
      <c r="H3284">
        <v>83.333336000000003</v>
      </c>
      <c r="I3284">
        <v>10.14</v>
      </c>
      <c r="J3284">
        <v>69.099999999999994</v>
      </c>
      <c r="K3284">
        <v>152</v>
      </c>
      <c r="L3284">
        <v>39.700000000000003</v>
      </c>
      <c r="M3284">
        <v>4</v>
      </c>
      <c r="P3284">
        <v>6.3981990529999999</v>
      </c>
      <c r="Q3284">
        <v>587.09749280000005</v>
      </c>
      <c r="R3284">
        <v>11.82</v>
      </c>
      <c r="S3284">
        <v>56785</v>
      </c>
      <c r="T3284">
        <v>8.6195430000000002</v>
      </c>
      <c r="U3284">
        <v>0.82478200000000002</v>
      </c>
    </row>
    <row r="3285" spans="1:21">
      <c r="A3285" t="s">
        <v>179</v>
      </c>
      <c r="B3285">
        <v>2012</v>
      </c>
      <c r="C3285">
        <v>1360.6296</v>
      </c>
      <c r="D3285">
        <v>2240.0000100000002</v>
      </c>
      <c r="E3285">
        <v>0.02</v>
      </c>
      <c r="F3285">
        <v>0</v>
      </c>
      <c r="G3285">
        <v>0.09</v>
      </c>
      <c r="H3285">
        <v>81.818184000000002</v>
      </c>
      <c r="I3285">
        <v>9.8800000000000008</v>
      </c>
      <c r="J3285">
        <v>72.650000000000006</v>
      </c>
      <c r="K3285">
        <v>152</v>
      </c>
      <c r="L3285">
        <v>38.998061999999997</v>
      </c>
      <c r="M3285">
        <v>4.5</v>
      </c>
      <c r="O3285">
        <v>20000</v>
      </c>
      <c r="P3285">
        <v>6.5435070289999997</v>
      </c>
      <c r="Q3285">
        <v>571.80672389999995</v>
      </c>
      <c r="R3285">
        <v>11.06</v>
      </c>
      <c r="S3285">
        <v>56785</v>
      </c>
      <c r="T3285">
        <v>8.6195430000000002</v>
      </c>
      <c r="U3285">
        <v>0.82478200000000002</v>
      </c>
    </row>
    <row r="3286" spans="1:21">
      <c r="A3286" t="s">
        <v>179</v>
      </c>
      <c r="B3286">
        <v>2013</v>
      </c>
      <c r="C3286">
        <v>1350.6348</v>
      </c>
      <c r="D3286">
        <v>1750</v>
      </c>
      <c r="E3286">
        <v>0.06</v>
      </c>
      <c r="F3286">
        <v>0</v>
      </c>
      <c r="G3286">
        <v>0.04</v>
      </c>
      <c r="H3286">
        <v>40</v>
      </c>
      <c r="I3286">
        <v>9.64</v>
      </c>
      <c r="J3286">
        <v>76.19</v>
      </c>
      <c r="K3286">
        <v>152</v>
      </c>
      <c r="L3286">
        <v>40.831367</v>
      </c>
      <c r="M3286">
        <v>5.3</v>
      </c>
      <c r="O3286">
        <v>160000</v>
      </c>
      <c r="P3286">
        <v>6.1123430770000002</v>
      </c>
      <c r="Q3286">
        <v>621.39885360000005</v>
      </c>
      <c r="R3286">
        <v>10.119999999999999</v>
      </c>
      <c r="S3286">
        <v>56785</v>
      </c>
      <c r="T3286">
        <v>8.6195430000000002</v>
      </c>
      <c r="U3286">
        <v>0.82478200000000002</v>
      </c>
    </row>
    <row r="3287" spans="1:21">
      <c r="A3287" t="s">
        <v>179</v>
      </c>
      <c r="B3287">
        <v>2014</v>
      </c>
      <c r="C3287">
        <v>1142.6974</v>
      </c>
      <c r="D3287">
        <v>1590.000033</v>
      </c>
      <c r="E3287">
        <v>0.08</v>
      </c>
      <c r="F3287">
        <v>0</v>
      </c>
      <c r="G3287">
        <v>0.12</v>
      </c>
      <c r="H3287">
        <v>60</v>
      </c>
      <c r="I3287">
        <v>9.4499999999999993</v>
      </c>
      <c r="J3287">
        <v>81.44</v>
      </c>
      <c r="K3287">
        <v>152</v>
      </c>
      <c r="L3287">
        <v>45.7</v>
      </c>
      <c r="M3287">
        <v>6</v>
      </c>
      <c r="O3287">
        <v>9160000</v>
      </c>
      <c r="P3287">
        <v>5.9205885729999999</v>
      </c>
      <c r="Q3287">
        <v>640.93421960000001</v>
      </c>
      <c r="R3287">
        <v>9.9600000000000009</v>
      </c>
      <c r="S3287">
        <v>56785</v>
      </c>
      <c r="T3287">
        <v>8.6195430000000002</v>
      </c>
      <c r="U3287">
        <v>0.82478200000000002</v>
      </c>
    </row>
    <row r="3288" spans="1:21">
      <c r="A3288" t="s">
        <v>179</v>
      </c>
      <c r="B3288">
        <v>2015</v>
      </c>
      <c r="C3288">
        <v>868.26430000000005</v>
      </c>
      <c r="D3288">
        <v>1830.000043</v>
      </c>
      <c r="E3288">
        <v>0.31</v>
      </c>
      <c r="F3288">
        <v>0</v>
      </c>
      <c r="G3288">
        <v>0.06</v>
      </c>
      <c r="H3288">
        <v>16.216214999999998</v>
      </c>
      <c r="I3288">
        <v>9.33</v>
      </c>
      <c r="J3288">
        <v>81.03</v>
      </c>
      <c r="K3288">
        <v>152</v>
      </c>
      <c r="L3288">
        <v>44.647590000000001</v>
      </c>
      <c r="M3288">
        <v>6.6</v>
      </c>
      <c r="O3288">
        <v>4780000</v>
      </c>
      <c r="P3288">
        <v>5.7428684529999998</v>
      </c>
      <c r="Q3288">
        <v>570.90996719999998</v>
      </c>
      <c r="R3288">
        <v>9.17</v>
      </c>
      <c r="S3288">
        <v>56785</v>
      </c>
      <c r="T3288">
        <v>8.6195430000000002</v>
      </c>
      <c r="U3288">
        <v>0.82478200000000002</v>
      </c>
    </row>
    <row r="3289" spans="1:21">
      <c r="A3289" t="s">
        <v>179</v>
      </c>
      <c r="B3289">
        <v>2016</v>
      </c>
      <c r="C3289">
        <v>1134.5723</v>
      </c>
      <c r="D3289">
        <v>2299.9999520000001</v>
      </c>
      <c r="E3289">
        <v>0.23</v>
      </c>
      <c r="F3289">
        <v>0</v>
      </c>
      <c r="G3289">
        <v>0.2</v>
      </c>
      <c r="H3289">
        <v>46.511626999999997</v>
      </c>
      <c r="I3289">
        <v>9.15</v>
      </c>
      <c r="J3289">
        <v>80.650000000000006</v>
      </c>
      <c r="K3289">
        <v>152</v>
      </c>
      <c r="L3289">
        <v>46.765009999999997</v>
      </c>
      <c r="M3289">
        <v>7.3</v>
      </c>
      <c r="O3289">
        <v>50000</v>
      </c>
      <c r="P3289">
        <v>5.559079305</v>
      </c>
      <c r="Q3289">
        <v>803.15189339999995</v>
      </c>
      <c r="R3289">
        <v>9.36</v>
      </c>
      <c r="S3289">
        <v>56785</v>
      </c>
      <c r="T3289">
        <v>8.6195430000000002</v>
      </c>
      <c r="U3289">
        <v>0.82478200000000002</v>
      </c>
    </row>
    <row r="3290" spans="1:21">
      <c r="A3290" t="s">
        <v>179</v>
      </c>
      <c r="B3290">
        <v>2017</v>
      </c>
      <c r="C3290">
        <v>1072.4285</v>
      </c>
      <c r="D3290">
        <v>2069.9999330000001</v>
      </c>
      <c r="E3290">
        <v>0.56000000000000005</v>
      </c>
      <c r="F3290">
        <v>0</v>
      </c>
      <c r="G3290">
        <v>0.21</v>
      </c>
      <c r="H3290">
        <v>27.272728000000001</v>
      </c>
      <c r="I3290">
        <v>8.98</v>
      </c>
      <c r="J3290">
        <v>77.73</v>
      </c>
      <c r="K3290">
        <v>152</v>
      </c>
      <c r="L3290">
        <v>48</v>
      </c>
      <c r="M3290">
        <v>8</v>
      </c>
      <c r="O3290">
        <v>0</v>
      </c>
      <c r="P3290">
        <v>4.3477482380000003</v>
      </c>
      <c r="Q3290">
        <v>830.74527669999998</v>
      </c>
      <c r="R3290">
        <v>8.26</v>
      </c>
      <c r="S3290">
        <v>56785</v>
      </c>
      <c r="T3290">
        <v>8.6195430000000002</v>
      </c>
      <c r="U3290">
        <v>0.82478200000000002</v>
      </c>
    </row>
    <row r="3291" spans="1:21">
      <c r="A3291" t="s">
        <v>179</v>
      </c>
      <c r="B3291">
        <v>2018</v>
      </c>
      <c r="C3291">
        <v>1253.3207</v>
      </c>
      <c r="D3291">
        <v>2309.9999429999998</v>
      </c>
      <c r="E3291">
        <v>0.36</v>
      </c>
      <c r="F3291">
        <v>0</v>
      </c>
      <c r="G3291">
        <v>0.21</v>
      </c>
      <c r="H3291">
        <v>36.842106000000001</v>
      </c>
      <c r="I3291">
        <v>8.89</v>
      </c>
      <c r="J3291">
        <v>75.08</v>
      </c>
      <c r="K3291">
        <v>152</v>
      </c>
      <c r="L3291">
        <v>50</v>
      </c>
      <c r="M3291">
        <v>8.6</v>
      </c>
      <c r="O3291">
        <v>17710000</v>
      </c>
      <c r="P3291">
        <v>4.9762130999999998</v>
      </c>
      <c r="Q3291">
        <v>901.52301690000002</v>
      </c>
      <c r="R3291">
        <v>8.48</v>
      </c>
      <c r="S3291">
        <v>56785</v>
      </c>
      <c r="T3291">
        <v>8.6195430000000002</v>
      </c>
      <c r="U3291">
        <v>0.82478200000000002</v>
      </c>
    </row>
    <row r="3292" spans="1:21">
      <c r="A3292" t="s">
        <v>179</v>
      </c>
      <c r="B3292">
        <v>2019</v>
      </c>
      <c r="C3292">
        <v>1304.0579</v>
      </c>
      <c r="D3292">
        <v>2369.9998860000001</v>
      </c>
      <c r="E3292">
        <v>0.45</v>
      </c>
      <c r="F3292">
        <v>0</v>
      </c>
      <c r="G3292">
        <v>0.25</v>
      </c>
      <c r="H3292">
        <v>35.714286999999999</v>
      </c>
      <c r="I3292">
        <v>8.92</v>
      </c>
      <c r="J3292">
        <v>76.209999999999994</v>
      </c>
      <c r="K3292">
        <v>152</v>
      </c>
      <c r="L3292">
        <v>52.363109999999999</v>
      </c>
      <c r="M3292">
        <v>9.25</v>
      </c>
      <c r="O3292">
        <v>1150000</v>
      </c>
      <c r="P3292">
        <v>5.4599214480000002</v>
      </c>
      <c r="Q3292">
        <v>893.35245410000005</v>
      </c>
      <c r="R3292">
        <v>8.02</v>
      </c>
      <c r="S3292">
        <v>56785</v>
      </c>
      <c r="T3292">
        <v>8.6195430000000002</v>
      </c>
      <c r="U3292">
        <v>0.82478200000000002</v>
      </c>
    </row>
    <row r="3293" spans="1:21">
      <c r="A3293" t="s">
        <v>179</v>
      </c>
      <c r="B3293">
        <v>2020</v>
      </c>
      <c r="C3293">
        <v>1152.5186000000001</v>
      </c>
      <c r="E3293">
        <v>0.43</v>
      </c>
      <c r="F3293">
        <v>0</v>
      </c>
      <c r="G3293">
        <v>0.15</v>
      </c>
      <c r="H3293">
        <v>25.862072000000001</v>
      </c>
      <c r="I3293">
        <v>8.7200000000000006</v>
      </c>
      <c r="K3293">
        <v>152</v>
      </c>
      <c r="L3293">
        <v>53.997433000000001</v>
      </c>
      <c r="M3293">
        <v>10.1</v>
      </c>
      <c r="P3293">
        <v>1.752824967</v>
      </c>
      <c r="Q3293">
        <v>914.95079250000003</v>
      </c>
      <c r="S3293">
        <v>56785</v>
      </c>
      <c r="T3293">
        <v>8.6195430000000002</v>
      </c>
      <c r="U3293">
        <v>0.82478200000000002</v>
      </c>
    </row>
    <row r="3294" spans="1:21">
      <c r="A3294" t="s">
        <v>180</v>
      </c>
      <c r="B3294">
        <v>2000</v>
      </c>
      <c r="C3294">
        <v>4269.8065999999999</v>
      </c>
      <c r="D3294">
        <v>100</v>
      </c>
      <c r="E3294">
        <v>0.03</v>
      </c>
      <c r="F3294">
        <v>0</v>
      </c>
      <c r="G3294">
        <v>0</v>
      </c>
      <c r="H3294">
        <v>0</v>
      </c>
      <c r="I3294">
        <v>0.57999999999999996</v>
      </c>
      <c r="J3294">
        <v>2.48</v>
      </c>
      <c r="K3294">
        <v>147</v>
      </c>
      <c r="L3294">
        <v>85.578630000000004</v>
      </c>
      <c r="M3294">
        <v>35.9</v>
      </c>
      <c r="P3294">
        <v>0.87599006300000004</v>
      </c>
      <c r="Q3294">
        <v>2091.1130090000001</v>
      </c>
      <c r="R3294">
        <v>2.97</v>
      </c>
      <c r="S3294">
        <v>747</v>
      </c>
      <c r="T3294">
        <v>-21.178985999999998</v>
      </c>
      <c r="U3294">
        <v>-175.19824199999999</v>
      </c>
    </row>
    <row r="3295" spans="1:21">
      <c r="A3295" t="s">
        <v>180</v>
      </c>
      <c r="B3295">
        <v>2001</v>
      </c>
      <c r="C3295">
        <v>3823.2921999999999</v>
      </c>
      <c r="D3295">
        <v>90</v>
      </c>
      <c r="E3295">
        <v>0.04</v>
      </c>
      <c r="F3295">
        <v>0</v>
      </c>
      <c r="G3295">
        <v>0</v>
      </c>
      <c r="H3295">
        <v>0</v>
      </c>
      <c r="I3295">
        <v>0.57999999999999996</v>
      </c>
      <c r="J3295">
        <v>2.7</v>
      </c>
      <c r="K3295">
        <v>147</v>
      </c>
      <c r="L3295">
        <v>86.293625000000006</v>
      </c>
      <c r="M3295">
        <v>38.049999999999997</v>
      </c>
      <c r="P3295">
        <v>3.7489256929999999</v>
      </c>
      <c r="Q3295">
        <v>1839.086867</v>
      </c>
      <c r="R3295">
        <v>2.64</v>
      </c>
      <c r="S3295">
        <v>747</v>
      </c>
      <c r="T3295">
        <v>-21.178985999999998</v>
      </c>
      <c r="U3295">
        <v>-175.19824199999999</v>
      </c>
    </row>
    <row r="3296" spans="1:21">
      <c r="A3296" t="s">
        <v>180</v>
      </c>
      <c r="B3296">
        <v>2002</v>
      </c>
      <c r="C3296">
        <v>4121.7227000000003</v>
      </c>
      <c r="D3296">
        <v>100.0000015</v>
      </c>
      <c r="E3296">
        <v>0.04</v>
      </c>
      <c r="F3296">
        <v>0</v>
      </c>
      <c r="G3296">
        <v>0</v>
      </c>
      <c r="H3296">
        <v>0</v>
      </c>
      <c r="I3296">
        <v>0.85</v>
      </c>
      <c r="J3296">
        <v>2.48</v>
      </c>
      <c r="K3296">
        <v>147</v>
      </c>
      <c r="L3296">
        <v>87.001040000000003</v>
      </c>
      <c r="M3296">
        <v>40.5</v>
      </c>
      <c r="P3296">
        <v>4.8480128139999996</v>
      </c>
      <c r="Q3296">
        <v>1845.6691269999999</v>
      </c>
      <c r="R3296">
        <v>2.66</v>
      </c>
      <c r="S3296">
        <v>747</v>
      </c>
      <c r="T3296">
        <v>-21.178985999999998</v>
      </c>
      <c r="U3296">
        <v>-175.19824199999999</v>
      </c>
    </row>
    <row r="3297" spans="1:21">
      <c r="A3297" t="s">
        <v>180</v>
      </c>
      <c r="B3297">
        <v>2003</v>
      </c>
      <c r="C3297">
        <v>5048.9946</v>
      </c>
      <c r="D3297">
        <v>119.9999973</v>
      </c>
      <c r="E3297">
        <v>0.04</v>
      </c>
      <c r="F3297">
        <v>0</v>
      </c>
      <c r="G3297">
        <v>0</v>
      </c>
      <c r="H3297">
        <v>0</v>
      </c>
      <c r="I3297">
        <v>0.84</v>
      </c>
      <c r="J3297">
        <v>2.0099999999999998</v>
      </c>
      <c r="K3297">
        <v>147</v>
      </c>
      <c r="L3297">
        <v>87.703220000000002</v>
      </c>
      <c r="M3297">
        <v>42.8</v>
      </c>
      <c r="P3297">
        <v>2.3080454939999999</v>
      </c>
      <c r="Q3297">
        <v>2030.7754689999999</v>
      </c>
      <c r="R3297">
        <v>3.2</v>
      </c>
      <c r="S3297">
        <v>747</v>
      </c>
      <c r="T3297">
        <v>-21.178985999999998</v>
      </c>
      <c r="U3297">
        <v>-175.19824199999999</v>
      </c>
    </row>
    <row r="3298" spans="1:21">
      <c r="A3298" t="s">
        <v>180</v>
      </c>
      <c r="B3298">
        <v>2004</v>
      </c>
      <c r="C3298">
        <v>4648.0396000000001</v>
      </c>
      <c r="D3298">
        <v>129.9999952</v>
      </c>
      <c r="E3298">
        <v>0.04</v>
      </c>
      <c r="F3298">
        <v>0</v>
      </c>
      <c r="G3298">
        <v>0</v>
      </c>
      <c r="H3298">
        <v>0</v>
      </c>
      <c r="I3298">
        <v>0.84</v>
      </c>
      <c r="J3298">
        <v>2.15</v>
      </c>
      <c r="K3298">
        <v>147</v>
      </c>
      <c r="L3298">
        <v>88.402510000000007</v>
      </c>
      <c r="M3298">
        <v>45.8</v>
      </c>
      <c r="O3298">
        <v>20000</v>
      </c>
      <c r="P3298">
        <v>-2.410700609</v>
      </c>
      <c r="Q3298">
        <v>2301.6541149999998</v>
      </c>
      <c r="R3298">
        <v>3.11</v>
      </c>
      <c r="S3298">
        <v>747</v>
      </c>
      <c r="T3298">
        <v>-21.178985999999998</v>
      </c>
      <c r="U3298">
        <v>-175.19824199999999</v>
      </c>
    </row>
    <row r="3299" spans="1:21">
      <c r="A3299" t="s">
        <v>180</v>
      </c>
      <c r="B3299">
        <v>2005</v>
      </c>
      <c r="C3299">
        <v>4922.0360000000001</v>
      </c>
      <c r="D3299">
        <v>129.9999952</v>
      </c>
      <c r="E3299">
        <v>0.05</v>
      </c>
      <c r="F3299">
        <v>0</v>
      </c>
      <c r="G3299">
        <v>0</v>
      </c>
      <c r="H3299">
        <v>0</v>
      </c>
      <c r="I3299">
        <v>0.83</v>
      </c>
      <c r="J3299">
        <v>2.15</v>
      </c>
      <c r="K3299">
        <v>147</v>
      </c>
      <c r="L3299">
        <v>89.101264999999998</v>
      </c>
      <c r="M3299">
        <v>47.9</v>
      </c>
      <c r="O3299">
        <v>760000</v>
      </c>
      <c r="P3299">
        <v>8.1033893999999995E-2</v>
      </c>
      <c r="Q3299">
        <v>2594.4187390000002</v>
      </c>
      <c r="R3299">
        <v>3.1</v>
      </c>
      <c r="S3299">
        <v>747</v>
      </c>
      <c r="T3299">
        <v>-21.178985999999998</v>
      </c>
      <c r="U3299">
        <v>-175.19824199999999</v>
      </c>
    </row>
    <row r="3300" spans="1:21">
      <c r="A3300" t="s">
        <v>180</v>
      </c>
      <c r="B3300">
        <v>2006</v>
      </c>
      <c r="C3300">
        <v>5507.4423999999999</v>
      </c>
      <c r="D3300">
        <v>150.00000600000001</v>
      </c>
      <c r="E3300">
        <v>0.05</v>
      </c>
      <c r="F3300">
        <v>0</v>
      </c>
      <c r="G3300">
        <v>0</v>
      </c>
      <c r="H3300">
        <v>0</v>
      </c>
      <c r="I3300">
        <v>1.0900000000000001</v>
      </c>
      <c r="J3300">
        <v>1.86</v>
      </c>
      <c r="K3300">
        <v>147</v>
      </c>
      <c r="L3300">
        <v>92.3</v>
      </c>
      <c r="M3300">
        <v>50.7</v>
      </c>
      <c r="O3300">
        <v>440000</v>
      </c>
      <c r="P3300">
        <v>-0.14863532300000001</v>
      </c>
      <c r="Q3300">
        <v>2873.0766370000001</v>
      </c>
      <c r="R3300">
        <v>3.56</v>
      </c>
      <c r="S3300">
        <v>747</v>
      </c>
      <c r="T3300">
        <v>-21.178985999999998</v>
      </c>
      <c r="U3300">
        <v>-175.19824199999999</v>
      </c>
    </row>
    <row r="3301" spans="1:21">
      <c r="A3301" t="s">
        <v>180</v>
      </c>
      <c r="B3301">
        <v>2007</v>
      </c>
      <c r="C3301">
        <v>4695.1674999999996</v>
      </c>
      <c r="D3301">
        <v>129.9999952</v>
      </c>
      <c r="E3301">
        <v>0.05</v>
      </c>
      <c r="F3301">
        <v>0</v>
      </c>
      <c r="G3301">
        <v>0</v>
      </c>
      <c r="H3301">
        <v>0</v>
      </c>
      <c r="I3301">
        <v>1.08</v>
      </c>
      <c r="J3301">
        <v>2.17</v>
      </c>
      <c r="K3301">
        <v>147</v>
      </c>
      <c r="L3301">
        <v>90.507040000000003</v>
      </c>
      <c r="M3301">
        <v>53.1</v>
      </c>
      <c r="P3301">
        <v>0.27109529100000002</v>
      </c>
      <c r="Q3301">
        <v>2910.1451219999999</v>
      </c>
      <c r="R3301">
        <v>3.17</v>
      </c>
      <c r="S3301">
        <v>747</v>
      </c>
      <c r="T3301">
        <v>-21.178985999999998</v>
      </c>
      <c r="U3301">
        <v>-175.19824199999999</v>
      </c>
    </row>
    <row r="3302" spans="1:21">
      <c r="A3302" t="s">
        <v>180</v>
      </c>
      <c r="B3302">
        <v>2008</v>
      </c>
      <c r="C3302">
        <v>5056.3519999999999</v>
      </c>
      <c r="D3302">
        <v>129.9999952</v>
      </c>
      <c r="E3302">
        <v>0.05</v>
      </c>
      <c r="F3302">
        <v>0</v>
      </c>
      <c r="G3302">
        <v>0</v>
      </c>
      <c r="H3302">
        <v>0</v>
      </c>
      <c r="I3302">
        <v>1.07</v>
      </c>
      <c r="J3302">
        <v>1.99</v>
      </c>
      <c r="K3302">
        <v>147</v>
      </c>
      <c r="L3302">
        <v>91.219430000000003</v>
      </c>
      <c r="M3302">
        <v>55.2</v>
      </c>
      <c r="P3302">
        <v>4.7501696559999997</v>
      </c>
      <c r="Q3302">
        <v>3331.5465549999999</v>
      </c>
      <c r="R3302">
        <v>3.21</v>
      </c>
      <c r="S3302">
        <v>747</v>
      </c>
      <c r="T3302">
        <v>-21.178985999999998</v>
      </c>
      <c r="U3302">
        <v>-175.19824199999999</v>
      </c>
    </row>
    <row r="3303" spans="1:21">
      <c r="A3303" t="s">
        <v>180</v>
      </c>
      <c r="B3303">
        <v>2009</v>
      </c>
      <c r="C3303">
        <v>5477.1777000000002</v>
      </c>
      <c r="D3303">
        <v>140.00000059999999</v>
      </c>
      <c r="E3303">
        <v>0.05</v>
      </c>
      <c r="F3303">
        <v>0</v>
      </c>
      <c r="G3303">
        <v>0</v>
      </c>
      <c r="H3303">
        <v>0</v>
      </c>
      <c r="I3303">
        <v>1.1499999999999999</v>
      </c>
      <c r="J3303">
        <v>1.82</v>
      </c>
      <c r="K3303">
        <v>147</v>
      </c>
      <c r="L3303">
        <v>91.941749999999999</v>
      </c>
      <c r="M3303">
        <v>57.6</v>
      </c>
      <c r="O3303">
        <v>0</v>
      </c>
      <c r="P3303">
        <v>-5.1991090370000004</v>
      </c>
      <c r="Q3303">
        <v>3006.6063439999998</v>
      </c>
      <c r="R3303">
        <v>3.67</v>
      </c>
      <c r="S3303">
        <v>747</v>
      </c>
      <c r="T3303">
        <v>-21.178985999999998</v>
      </c>
      <c r="U3303">
        <v>-175.19824199999999</v>
      </c>
    </row>
    <row r="3304" spans="1:21">
      <c r="A3304" t="s">
        <v>180</v>
      </c>
      <c r="B3304">
        <v>2010</v>
      </c>
      <c r="C3304">
        <v>4973.9449999999997</v>
      </c>
      <c r="D3304">
        <v>119.9999973</v>
      </c>
      <c r="E3304">
        <v>0.05</v>
      </c>
      <c r="F3304">
        <v>0</v>
      </c>
      <c r="G3304">
        <v>0</v>
      </c>
      <c r="H3304">
        <v>0</v>
      </c>
      <c r="I3304">
        <v>1.1499999999999999</v>
      </c>
      <c r="J3304">
        <v>1.01</v>
      </c>
      <c r="K3304">
        <v>147</v>
      </c>
      <c r="L3304">
        <v>92.676720000000003</v>
      </c>
      <c r="M3304">
        <v>59.8</v>
      </c>
      <c r="O3304">
        <v>5660000</v>
      </c>
      <c r="P3304">
        <v>0.80349018299999997</v>
      </c>
      <c r="Q3304">
        <v>3527.952342</v>
      </c>
      <c r="R3304">
        <v>3.1</v>
      </c>
      <c r="S3304">
        <v>747</v>
      </c>
      <c r="T3304">
        <v>-21.178985999999998</v>
      </c>
      <c r="U3304">
        <v>-175.19824199999999</v>
      </c>
    </row>
    <row r="3305" spans="1:21">
      <c r="A3305" t="s">
        <v>180</v>
      </c>
      <c r="B3305">
        <v>2011</v>
      </c>
      <c r="C3305">
        <v>4697.0693000000001</v>
      </c>
      <c r="D3305">
        <v>109.99999939999999</v>
      </c>
      <c r="E3305">
        <v>0.05</v>
      </c>
      <c r="F3305">
        <v>0</v>
      </c>
      <c r="G3305">
        <v>0</v>
      </c>
      <c r="H3305">
        <v>0</v>
      </c>
      <c r="I3305">
        <v>1.1599999999999999</v>
      </c>
      <c r="J3305">
        <v>1.1399999999999999</v>
      </c>
      <c r="K3305">
        <v>147</v>
      </c>
      <c r="L3305">
        <v>92.175449999999998</v>
      </c>
      <c r="M3305">
        <v>62.1</v>
      </c>
      <c r="O3305">
        <v>12100000</v>
      </c>
      <c r="P3305">
        <v>6.8182761440000004</v>
      </c>
      <c r="Q3305">
        <v>4002.8137710000001</v>
      </c>
      <c r="R3305">
        <v>2.68</v>
      </c>
      <c r="S3305">
        <v>747</v>
      </c>
      <c r="T3305">
        <v>-21.178985999999998</v>
      </c>
      <c r="U3305">
        <v>-175.19824199999999</v>
      </c>
    </row>
    <row r="3306" spans="1:21">
      <c r="A3306" t="s">
        <v>180</v>
      </c>
      <c r="B3306">
        <v>2012</v>
      </c>
      <c r="C3306">
        <v>4791.7619999999997</v>
      </c>
      <c r="D3306">
        <v>109.99999939999999</v>
      </c>
      <c r="E3306">
        <v>0.05</v>
      </c>
      <c r="F3306">
        <v>0</v>
      </c>
      <c r="G3306">
        <v>0</v>
      </c>
      <c r="H3306">
        <v>0</v>
      </c>
      <c r="I3306">
        <v>11.01</v>
      </c>
      <c r="J3306">
        <v>1.1499999999999999</v>
      </c>
      <c r="K3306">
        <v>147</v>
      </c>
      <c r="L3306">
        <v>92.8</v>
      </c>
      <c r="M3306">
        <v>64.599999999999994</v>
      </c>
      <c r="O3306">
        <v>7940000</v>
      </c>
      <c r="P3306">
        <v>0.82310271800000001</v>
      </c>
      <c r="Q3306">
        <v>4581.7832449999996</v>
      </c>
      <c r="R3306">
        <v>2.68</v>
      </c>
      <c r="S3306">
        <v>747</v>
      </c>
      <c r="T3306">
        <v>-21.178985999999998</v>
      </c>
      <c r="U3306">
        <v>-175.19824199999999</v>
      </c>
    </row>
    <row r="3307" spans="1:21">
      <c r="A3307" t="s">
        <v>180</v>
      </c>
      <c r="B3307">
        <v>2013</v>
      </c>
      <c r="C3307">
        <v>4721.1549999999997</v>
      </c>
      <c r="D3307">
        <v>119.9999973</v>
      </c>
      <c r="E3307">
        <v>0.05</v>
      </c>
      <c r="F3307">
        <v>0</v>
      </c>
      <c r="G3307">
        <v>0</v>
      </c>
      <c r="H3307">
        <v>0</v>
      </c>
      <c r="I3307">
        <v>16.36</v>
      </c>
      <c r="J3307">
        <v>1.58</v>
      </c>
      <c r="K3307">
        <v>147</v>
      </c>
      <c r="L3307">
        <v>94.983665000000002</v>
      </c>
      <c r="M3307">
        <v>67</v>
      </c>
      <c r="O3307">
        <v>17550000</v>
      </c>
      <c r="P3307">
        <v>0.31230790899999999</v>
      </c>
      <c r="Q3307">
        <v>4428.1465209999997</v>
      </c>
      <c r="R3307">
        <v>2.79</v>
      </c>
      <c r="S3307">
        <v>747</v>
      </c>
      <c r="T3307">
        <v>-21.178985999999998</v>
      </c>
      <c r="U3307">
        <v>-175.19824199999999</v>
      </c>
    </row>
    <row r="3308" spans="1:21">
      <c r="A3308" t="s">
        <v>180</v>
      </c>
      <c r="B3308">
        <v>2014</v>
      </c>
      <c r="C3308">
        <v>5144.9155000000001</v>
      </c>
      <c r="D3308">
        <v>109.99999939999999</v>
      </c>
      <c r="E3308">
        <v>0.05</v>
      </c>
      <c r="F3308">
        <v>0</v>
      </c>
      <c r="G3308">
        <v>0</v>
      </c>
      <c r="H3308">
        <v>0</v>
      </c>
      <c r="I3308">
        <v>16.48</v>
      </c>
      <c r="J3308">
        <v>1.7</v>
      </c>
      <c r="K3308">
        <v>147</v>
      </c>
      <c r="L3308">
        <v>95.789699999999996</v>
      </c>
      <c r="M3308">
        <v>69.5</v>
      </c>
      <c r="O3308">
        <v>2510000</v>
      </c>
      <c r="P3308">
        <v>2.0187004599999998</v>
      </c>
      <c r="Q3308">
        <v>4354.2443599999997</v>
      </c>
      <c r="R3308">
        <v>2.68</v>
      </c>
      <c r="S3308">
        <v>747</v>
      </c>
      <c r="T3308">
        <v>-21.178985999999998</v>
      </c>
      <c r="U3308">
        <v>-175.19824199999999</v>
      </c>
    </row>
    <row r="3309" spans="1:21">
      <c r="A3309" t="s">
        <v>180</v>
      </c>
      <c r="B3309">
        <v>2015</v>
      </c>
      <c r="C3309">
        <v>5404.3779999999997</v>
      </c>
      <c r="D3309">
        <v>119.9999973</v>
      </c>
      <c r="E3309">
        <v>0.05</v>
      </c>
      <c r="F3309">
        <v>0</v>
      </c>
      <c r="G3309">
        <v>0</v>
      </c>
      <c r="H3309">
        <v>0</v>
      </c>
      <c r="I3309">
        <v>28.58</v>
      </c>
      <c r="J3309">
        <v>1.94</v>
      </c>
      <c r="K3309">
        <v>147</v>
      </c>
      <c r="L3309">
        <v>100</v>
      </c>
      <c r="M3309">
        <v>72.099999999999994</v>
      </c>
      <c r="O3309">
        <v>14140000</v>
      </c>
      <c r="P3309">
        <v>1.1718882559999999</v>
      </c>
      <c r="Q3309">
        <v>4336.239603</v>
      </c>
      <c r="R3309">
        <v>2.73</v>
      </c>
      <c r="S3309">
        <v>747</v>
      </c>
      <c r="T3309">
        <v>-21.178985999999998</v>
      </c>
      <c r="U3309">
        <v>-175.19824199999999</v>
      </c>
    </row>
    <row r="3310" spans="1:21">
      <c r="A3310" t="s">
        <v>180</v>
      </c>
      <c r="B3310">
        <v>2016</v>
      </c>
      <c r="C3310">
        <v>5738.4834000000001</v>
      </c>
      <c r="D3310">
        <v>150.00000600000001</v>
      </c>
      <c r="E3310">
        <v>0.05</v>
      </c>
      <c r="F3310">
        <v>0</v>
      </c>
      <c r="G3310">
        <v>0</v>
      </c>
      <c r="H3310">
        <v>0</v>
      </c>
      <c r="I3310">
        <v>34.020000000000003</v>
      </c>
      <c r="J3310">
        <v>2.0299999999999998</v>
      </c>
      <c r="K3310">
        <v>147</v>
      </c>
      <c r="L3310">
        <v>97.02</v>
      </c>
      <c r="M3310">
        <v>75.099999999999994</v>
      </c>
      <c r="O3310">
        <v>2910000</v>
      </c>
      <c r="P3310">
        <v>6.5710005010000003</v>
      </c>
      <c r="Q3310">
        <v>4157.8772490000001</v>
      </c>
      <c r="R3310">
        <v>2.77</v>
      </c>
      <c r="S3310">
        <v>747</v>
      </c>
      <c r="T3310">
        <v>-21.178985999999998</v>
      </c>
      <c r="U3310">
        <v>-175.19824199999999</v>
      </c>
    </row>
    <row r="3311" spans="1:21">
      <c r="A3311" t="s">
        <v>180</v>
      </c>
      <c r="B3311">
        <v>2017</v>
      </c>
      <c r="C3311">
        <v>6831.2397000000001</v>
      </c>
      <c r="D3311">
        <v>180.0000072</v>
      </c>
      <c r="E3311">
        <v>0.05</v>
      </c>
      <c r="F3311">
        <v>0</v>
      </c>
      <c r="G3311">
        <v>0.01</v>
      </c>
      <c r="H3311">
        <v>16.666668000000001</v>
      </c>
      <c r="I3311">
        <v>63.05</v>
      </c>
      <c r="J3311">
        <v>1.96</v>
      </c>
      <c r="K3311">
        <v>147</v>
      </c>
      <c r="L3311">
        <v>98.36157</v>
      </c>
      <c r="M3311">
        <v>77.099999999999994</v>
      </c>
      <c r="O3311">
        <v>20470000</v>
      </c>
      <c r="P3311">
        <v>3.3224325440000002</v>
      </c>
      <c r="Q3311">
        <v>4513.4325310000004</v>
      </c>
      <c r="R3311">
        <v>2.84</v>
      </c>
      <c r="S3311">
        <v>747</v>
      </c>
      <c r="T3311">
        <v>-21.178985999999998</v>
      </c>
      <c r="U3311">
        <v>-175.19824199999999</v>
      </c>
    </row>
    <row r="3312" spans="1:21">
      <c r="A3312" t="s">
        <v>180</v>
      </c>
      <c r="B3312">
        <v>2018</v>
      </c>
      <c r="C3312">
        <v>5979.6390000000001</v>
      </c>
      <c r="D3312">
        <v>159.99999639999999</v>
      </c>
      <c r="E3312">
        <v>0.06</v>
      </c>
      <c r="F3312">
        <v>0</v>
      </c>
      <c r="G3312">
        <v>0.01</v>
      </c>
      <c r="H3312">
        <v>14.285714</v>
      </c>
      <c r="I3312">
        <v>62.51</v>
      </c>
      <c r="J3312">
        <v>1.78</v>
      </c>
      <c r="K3312">
        <v>147</v>
      </c>
      <c r="L3312">
        <v>99.132570000000001</v>
      </c>
      <c r="M3312">
        <v>79.75</v>
      </c>
      <c r="O3312">
        <v>37000000</v>
      </c>
      <c r="P3312">
        <v>0.30000940399999998</v>
      </c>
      <c r="Q3312">
        <v>4740.700272</v>
      </c>
      <c r="R3312">
        <v>2.87</v>
      </c>
      <c r="S3312">
        <v>747</v>
      </c>
      <c r="T3312">
        <v>-21.178985999999998</v>
      </c>
      <c r="U3312">
        <v>-175.19824199999999</v>
      </c>
    </row>
    <row r="3313" spans="1:21">
      <c r="A3313" t="s">
        <v>180</v>
      </c>
      <c r="B3313">
        <v>2019</v>
      </c>
      <c r="C3313">
        <v>6863.2143999999998</v>
      </c>
      <c r="D3313">
        <v>159.99999639999999</v>
      </c>
      <c r="E3313">
        <v>0.06</v>
      </c>
      <c r="F3313">
        <v>0</v>
      </c>
      <c r="G3313">
        <v>0.01</v>
      </c>
      <c r="H3313">
        <v>14.285714</v>
      </c>
      <c r="I3313">
        <v>74.17</v>
      </c>
      <c r="J3313">
        <v>1.77</v>
      </c>
      <c r="K3313">
        <v>147</v>
      </c>
      <c r="L3313">
        <v>98.4</v>
      </c>
      <c r="M3313">
        <v>82.1</v>
      </c>
      <c r="O3313">
        <v>2450000</v>
      </c>
      <c r="P3313">
        <v>0.73403001700000003</v>
      </c>
      <c r="Q3313">
        <v>4903.012138</v>
      </c>
      <c r="R3313">
        <v>3.42</v>
      </c>
      <c r="S3313">
        <v>747</v>
      </c>
      <c r="T3313">
        <v>-21.178985999999998</v>
      </c>
      <c r="U3313">
        <v>-175.19824199999999</v>
      </c>
    </row>
    <row r="3314" spans="1:21">
      <c r="A3314" t="s">
        <v>180</v>
      </c>
      <c r="B3314">
        <v>2020</v>
      </c>
      <c r="C3314">
        <v>6542.0659999999998</v>
      </c>
      <c r="E3314">
        <v>0.06</v>
      </c>
      <c r="F3314">
        <v>0</v>
      </c>
      <c r="G3314">
        <v>0.01</v>
      </c>
      <c r="H3314">
        <v>14.285714</v>
      </c>
      <c r="I3314">
        <v>73.33</v>
      </c>
      <c r="K3314">
        <v>147</v>
      </c>
      <c r="L3314">
        <v>100</v>
      </c>
      <c r="M3314">
        <v>84.1</v>
      </c>
      <c r="P3314">
        <v>0.65469859600000002</v>
      </c>
      <c r="Q3314">
        <v>4624.8234490000004</v>
      </c>
      <c r="S3314">
        <v>747</v>
      </c>
      <c r="T3314">
        <v>-21.178985999999998</v>
      </c>
      <c r="U3314">
        <v>-175.19824199999999</v>
      </c>
    </row>
    <row r="3315" spans="1:21">
      <c r="A3315" t="s">
        <v>181</v>
      </c>
      <c r="B3315">
        <v>2000</v>
      </c>
      <c r="C3315">
        <v>89203.08</v>
      </c>
      <c r="D3315">
        <v>10200</v>
      </c>
      <c r="E3315">
        <v>5.1100000000000003</v>
      </c>
      <c r="F3315">
        <v>0</v>
      </c>
      <c r="G3315">
        <v>0.03</v>
      </c>
      <c r="H3315">
        <v>0.5836576</v>
      </c>
      <c r="I3315">
        <v>4.22</v>
      </c>
      <c r="J3315">
        <v>0.76</v>
      </c>
      <c r="K3315">
        <v>273</v>
      </c>
      <c r="L3315">
        <v>91.29</v>
      </c>
      <c r="M3315">
        <v>100</v>
      </c>
      <c r="N3315">
        <v>5.4040425000000003E-2</v>
      </c>
      <c r="P3315">
        <v>6.9013595910000003</v>
      </c>
      <c r="Q3315">
        <v>6435.1342119999999</v>
      </c>
      <c r="R3315">
        <v>19.47</v>
      </c>
      <c r="S3315">
        <v>5128</v>
      </c>
      <c r="T3315">
        <v>10.691803</v>
      </c>
      <c r="U3315">
        <v>-61.222503000000003</v>
      </c>
    </row>
    <row r="3316" spans="1:21">
      <c r="A3316" t="s">
        <v>181</v>
      </c>
      <c r="B3316">
        <v>2001</v>
      </c>
      <c r="C3316">
        <v>95790.32</v>
      </c>
      <c r="D3316">
        <v>11620</v>
      </c>
      <c r="E3316">
        <v>5.27</v>
      </c>
      <c r="F3316">
        <v>0</v>
      </c>
      <c r="G3316">
        <v>0.03</v>
      </c>
      <c r="H3316">
        <v>0.56603769999999998</v>
      </c>
      <c r="I3316">
        <v>4.46</v>
      </c>
      <c r="J3316">
        <v>0.71</v>
      </c>
      <c r="K3316">
        <v>273</v>
      </c>
      <c r="L3316">
        <v>96.932019999999994</v>
      </c>
      <c r="M3316">
        <v>100</v>
      </c>
      <c r="N3316">
        <v>7.3654259999999999E-2</v>
      </c>
      <c r="P3316">
        <v>4.168523982</v>
      </c>
      <c r="Q3316">
        <v>6939.8284709999998</v>
      </c>
      <c r="R3316">
        <v>20.76</v>
      </c>
      <c r="S3316">
        <v>5128</v>
      </c>
      <c r="T3316">
        <v>10.691803</v>
      </c>
      <c r="U3316">
        <v>-61.222503000000003</v>
      </c>
    </row>
    <row r="3317" spans="1:21">
      <c r="A3317" t="s">
        <v>181</v>
      </c>
      <c r="B3317">
        <v>2002</v>
      </c>
      <c r="C3317">
        <v>103376.06</v>
      </c>
      <c r="D3317">
        <v>12680.000309999999</v>
      </c>
      <c r="E3317">
        <v>5.27</v>
      </c>
      <c r="F3317">
        <v>0</v>
      </c>
      <c r="G3317">
        <v>0.03</v>
      </c>
      <c r="H3317">
        <v>0.56603769999999998</v>
      </c>
      <c r="I3317">
        <v>4.5999999999999996</v>
      </c>
      <c r="J3317">
        <v>0.69</v>
      </c>
      <c r="K3317">
        <v>273</v>
      </c>
      <c r="L3317">
        <v>97.123146000000006</v>
      </c>
      <c r="M3317">
        <v>100</v>
      </c>
      <c r="N3317">
        <v>6.1666550000000001E-2</v>
      </c>
      <c r="P3317">
        <v>7.9367096869999996</v>
      </c>
      <c r="Q3317">
        <v>7053.0873709999996</v>
      </c>
      <c r="R3317">
        <v>20.78</v>
      </c>
      <c r="S3317">
        <v>5128</v>
      </c>
      <c r="T3317">
        <v>10.691803</v>
      </c>
      <c r="U3317">
        <v>-61.222503000000003</v>
      </c>
    </row>
    <row r="3318" spans="1:21">
      <c r="A3318" t="s">
        <v>181</v>
      </c>
      <c r="B3318">
        <v>2003</v>
      </c>
      <c r="C3318">
        <v>115246.71</v>
      </c>
      <c r="D3318">
        <v>15449.999809999999</v>
      </c>
      <c r="E3318">
        <v>6.02</v>
      </c>
      <c r="F3318">
        <v>0</v>
      </c>
      <c r="G3318">
        <v>0.03</v>
      </c>
      <c r="H3318">
        <v>0.49586775999999999</v>
      </c>
      <c r="I3318">
        <v>4.8499999999999996</v>
      </c>
      <c r="J3318">
        <v>0.6</v>
      </c>
      <c r="K3318">
        <v>273</v>
      </c>
      <c r="L3318">
        <v>97.309020000000004</v>
      </c>
      <c r="M3318">
        <v>100</v>
      </c>
      <c r="N3318">
        <v>2.7334689999999998E-2</v>
      </c>
      <c r="P3318">
        <v>14.44098954</v>
      </c>
      <c r="Q3318">
        <v>8807.8660679999994</v>
      </c>
      <c r="R3318">
        <v>20.45</v>
      </c>
      <c r="S3318">
        <v>5128</v>
      </c>
      <c r="T3318">
        <v>10.691803</v>
      </c>
      <c r="U3318">
        <v>-61.222503000000003</v>
      </c>
    </row>
    <row r="3319" spans="1:21">
      <c r="A3319" t="s">
        <v>181</v>
      </c>
      <c r="B3319">
        <v>2004</v>
      </c>
      <c r="C3319">
        <v>126030.69500000001</v>
      </c>
      <c r="D3319">
        <v>16100.000379999999</v>
      </c>
      <c r="E3319">
        <v>6.01</v>
      </c>
      <c r="F3319">
        <v>0</v>
      </c>
      <c r="G3319">
        <v>0.03</v>
      </c>
      <c r="H3319">
        <v>0.49668875000000001</v>
      </c>
      <c r="I3319">
        <v>5.16</v>
      </c>
      <c r="J3319">
        <v>0.6</v>
      </c>
      <c r="K3319">
        <v>273</v>
      </c>
      <c r="L3319">
        <v>97.492019999999997</v>
      </c>
      <c r="M3319">
        <v>100</v>
      </c>
      <c r="N3319">
        <v>4.6458135999999997E-2</v>
      </c>
      <c r="P3319">
        <v>7.9500515109999998</v>
      </c>
      <c r="Q3319">
        <v>10293.86925</v>
      </c>
      <c r="R3319">
        <v>19.36</v>
      </c>
      <c r="S3319">
        <v>5128</v>
      </c>
      <c r="T3319">
        <v>10.691803</v>
      </c>
      <c r="U3319">
        <v>-61.222503000000003</v>
      </c>
    </row>
    <row r="3320" spans="1:21">
      <c r="A3320" t="s">
        <v>181</v>
      </c>
      <c r="B3320">
        <v>2005</v>
      </c>
      <c r="C3320">
        <v>134353.78</v>
      </c>
      <c r="D3320">
        <v>17590.00015</v>
      </c>
      <c r="E3320">
        <v>6.6</v>
      </c>
      <c r="F3320">
        <v>0</v>
      </c>
      <c r="G3320">
        <v>0.04</v>
      </c>
      <c r="H3320">
        <v>0.60240965999999996</v>
      </c>
      <c r="I3320">
        <v>5.22</v>
      </c>
      <c r="J3320">
        <v>0.54</v>
      </c>
      <c r="K3320">
        <v>273</v>
      </c>
      <c r="L3320">
        <v>97.674480000000003</v>
      </c>
      <c r="M3320">
        <v>100</v>
      </c>
      <c r="N3320">
        <v>4.1819725000000002E-2</v>
      </c>
      <c r="P3320">
        <v>6.2089378799999997</v>
      </c>
      <c r="Q3320">
        <v>12327.280710000001</v>
      </c>
      <c r="R3320">
        <v>21.26</v>
      </c>
      <c r="S3320">
        <v>5128</v>
      </c>
      <c r="T3320">
        <v>10.691803</v>
      </c>
      <c r="U3320">
        <v>-61.222503000000003</v>
      </c>
    </row>
    <row r="3321" spans="1:21">
      <c r="A3321" t="s">
        <v>181</v>
      </c>
      <c r="B3321">
        <v>2006</v>
      </c>
      <c r="C3321">
        <v>156027.70000000001</v>
      </c>
      <c r="D3321">
        <v>20059.999469999999</v>
      </c>
      <c r="E3321">
        <v>6.71</v>
      </c>
      <c r="F3321">
        <v>0</v>
      </c>
      <c r="G3321">
        <v>0.04</v>
      </c>
      <c r="H3321">
        <v>0.59259260000000002</v>
      </c>
      <c r="I3321">
        <v>5.36</v>
      </c>
      <c r="J3321">
        <v>0.55000000000000004</v>
      </c>
      <c r="K3321">
        <v>273</v>
      </c>
      <c r="L3321">
        <v>100</v>
      </c>
      <c r="M3321">
        <v>100</v>
      </c>
      <c r="N3321">
        <v>4.2188040000000003E-2</v>
      </c>
      <c r="P3321">
        <v>13.20805861</v>
      </c>
      <c r="Q3321">
        <v>14102.593290000001</v>
      </c>
      <c r="R3321">
        <v>20.95</v>
      </c>
      <c r="S3321">
        <v>5128</v>
      </c>
      <c r="T3321">
        <v>10.691803</v>
      </c>
      <c r="U3321">
        <v>-61.222503000000003</v>
      </c>
    </row>
    <row r="3322" spans="1:21">
      <c r="A3322" t="s">
        <v>181</v>
      </c>
      <c r="B3322">
        <v>2007</v>
      </c>
      <c r="C3322">
        <v>159970.84</v>
      </c>
      <c r="D3322">
        <v>20500</v>
      </c>
      <c r="E3322">
        <v>7.19</v>
      </c>
      <c r="F3322">
        <v>0</v>
      </c>
      <c r="G3322">
        <v>0.03</v>
      </c>
      <c r="H3322">
        <v>0.41551247000000002</v>
      </c>
      <c r="I3322">
        <v>5.43</v>
      </c>
      <c r="J3322">
        <v>0.45</v>
      </c>
      <c r="K3322">
        <v>273</v>
      </c>
      <c r="L3322">
        <v>100</v>
      </c>
      <c r="M3322">
        <v>100</v>
      </c>
      <c r="N3322">
        <v>3.1051729E-2</v>
      </c>
      <c r="P3322">
        <v>4.7542097009999997</v>
      </c>
      <c r="Q3322">
        <v>16539.890749999999</v>
      </c>
      <c r="R3322">
        <v>21.29</v>
      </c>
      <c r="S3322">
        <v>5128</v>
      </c>
      <c r="T3322">
        <v>10.691803</v>
      </c>
      <c r="U3322">
        <v>-61.222503000000003</v>
      </c>
    </row>
    <row r="3323" spans="1:21">
      <c r="A3323" t="s">
        <v>181</v>
      </c>
      <c r="B3323">
        <v>2008</v>
      </c>
      <c r="C3323">
        <v>156718.94</v>
      </c>
      <c r="D3323">
        <v>20020.000459999999</v>
      </c>
      <c r="E3323">
        <v>7.26</v>
      </c>
      <c r="F3323">
        <v>0</v>
      </c>
      <c r="G3323">
        <v>0</v>
      </c>
      <c r="H3323">
        <v>0</v>
      </c>
      <c r="I3323">
        <v>1.73</v>
      </c>
      <c r="J3323">
        <v>0.46</v>
      </c>
      <c r="K3323">
        <v>273</v>
      </c>
      <c r="L3323">
        <v>100</v>
      </c>
      <c r="M3323">
        <v>100</v>
      </c>
      <c r="N3323">
        <v>3.328308E-2</v>
      </c>
      <c r="P3323">
        <v>3.3917370779999998</v>
      </c>
      <c r="Q3323">
        <v>21204.008180000001</v>
      </c>
      <c r="R3323">
        <v>19.97</v>
      </c>
      <c r="S3323">
        <v>5128</v>
      </c>
      <c r="T3323">
        <v>10.691803</v>
      </c>
      <c r="U3323">
        <v>-61.222503000000003</v>
      </c>
    </row>
    <row r="3324" spans="1:21">
      <c r="A3324" t="s">
        <v>181</v>
      </c>
      <c r="B3324">
        <v>2009</v>
      </c>
      <c r="C3324">
        <v>154489.57999999999</v>
      </c>
      <c r="D3324">
        <v>19040.000919999999</v>
      </c>
      <c r="E3324">
        <v>7.37</v>
      </c>
      <c r="F3324">
        <v>0</v>
      </c>
      <c r="G3324">
        <v>0</v>
      </c>
      <c r="H3324">
        <v>0</v>
      </c>
      <c r="I3324">
        <v>1.91</v>
      </c>
      <c r="J3324">
        <v>0.49</v>
      </c>
      <c r="K3324">
        <v>273</v>
      </c>
      <c r="L3324">
        <v>99</v>
      </c>
      <c r="M3324">
        <v>100</v>
      </c>
      <c r="N3324">
        <v>3.2574172999999998E-2</v>
      </c>
      <c r="P3324">
        <v>-4.3917292469999998</v>
      </c>
      <c r="Q3324">
        <v>14514.240610000001</v>
      </c>
      <c r="R3324">
        <v>20.97</v>
      </c>
      <c r="S3324">
        <v>5128</v>
      </c>
      <c r="T3324">
        <v>10.691803</v>
      </c>
      <c r="U3324">
        <v>-61.222503000000003</v>
      </c>
    </row>
    <row r="3325" spans="1:21">
      <c r="A3325" t="s">
        <v>181</v>
      </c>
      <c r="B3325">
        <v>2010</v>
      </c>
      <c r="C3325">
        <v>165831.28</v>
      </c>
      <c r="D3325">
        <v>21459.999080000001</v>
      </c>
      <c r="E3325">
        <v>7.97</v>
      </c>
      <c r="F3325">
        <v>0</v>
      </c>
      <c r="G3325">
        <v>0</v>
      </c>
      <c r="H3325">
        <v>0</v>
      </c>
      <c r="I3325">
        <v>2.13</v>
      </c>
      <c r="J3325">
        <v>0.38</v>
      </c>
      <c r="K3325">
        <v>273</v>
      </c>
      <c r="L3325">
        <v>100</v>
      </c>
      <c r="M3325">
        <v>100</v>
      </c>
      <c r="N3325">
        <v>4.750972E-3</v>
      </c>
      <c r="P3325">
        <v>3.3232247099999999</v>
      </c>
      <c r="Q3325">
        <v>16683.393059999999</v>
      </c>
      <c r="R3325">
        <v>21.6</v>
      </c>
      <c r="S3325">
        <v>5128</v>
      </c>
      <c r="T3325">
        <v>10.691803</v>
      </c>
      <c r="U3325">
        <v>-61.222503000000003</v>
      </c>
    </row>
    <row r="3326" spans="1:21">
      <c r="A3326" t="s">
        <v>181</v>
      </c>
      <c r="B3326">
        <v>2011</v>
      </c>
      <c r="C3326">
        <v>161740.31</v>
      </c>
      <c r="D3326">
        <v>22260.000230000001</v>
      </c>
      <c r="E3326">
        <v>8.24</v>
      </c>
      <c r="F3326">
        <v>0</v>
      </c>
      <c r="G3326">
        <v>0</v>
      </c>
      <c r="H3326">
        <v>0</v>
      </c>
      <c r="I3326">
        <v>2.12</v>
      </c>
      <c r="J3326">
        <v>0.38</v>
      </c>
      <c r="K3326">
        <v>273</v>
      </c>
      <c r="L3326">
        <v>100</v>
      </c>
      <c r="M3326">
        <v>100</v>
      </c>
      <c r="N3326">
        <v>4.8135970000000002E-3</v>
      </c>
      <c r="P3326">
        <v>-0.29435440899999998</v>
      </c>
      <c r="Q3326">
        <v>19034.120709999999</v>
      </c>
      <c r="R3326">
        <v>21.57</v>
      </c>
      <c r="S3326">
        <v>5128</v>
      </c>
      <c r="T3326">
        <v>10.691803</v>
      </c>
      <c r="U3326">
        <v>-61.222503000000003</v>
      </c>
    </row>
    <row r="3327" spans="1:21">
      <c r="A3327" t="s">
        <v>181</v>
      </c>
      <c r="B3327">
        <v>2012</v>
      </c>
      <c r="C3327">
        <v>158071.06</v>
      </c>
      <c r="D3327">
        <v>21520.000459999999</v>
      </c>
      <c r="E3327">
        <v>8.58</v>
      </c>
      <c r="F3327">
        <v>0</v>
      </c>
      <c r="G3327">
        <v>0</v>
      </c>
      <c r="H3327">
        <v>0</v>
      </c>
      <c r="I3327">
        <v>2.11</v>
      </c>
      <c r="J3327">
        <v>0.37</v>
      </c>
      <c r="K3327">
        <v>273</v>
      </c>
      <c r="L3327">
        <v>100</v>
      </c>
      <c r="M3327">
        <v>100</v>
      </c>
      <c r="N3327">
        <v>4.8528089999999996E-3</v>
      </c>
      <c r="P3327">
        <v>1.2699643650000001</v>
      </c>
      <c r="Q3327">
        <v>19157.459770000001</v>
      </c>
      <c r="R3327">
        <v>20.9</v>
      </c>
      <c r="S3327">
        <v>5128</v>
      </c>
      <c r="T3327">
        <v>10.691803</v>
      </c>
      <c r="U3327">
        <v>-61.222503000000003</v>
      </c>
    </row>
    <row r="3328" spans="1:21">
      <c r="A3328" t="s">
        <v>181</v>
      </c>
      <c r="B3328">
        <v>2013</v>
      </c>
      <c r="C3328">
        <v>159847.20000000001</v>
      </c>
      <c r="D3328">
        <v>22209.999080000001</v>
      </c>
      <c r="E3328">
        <v>8.94</v>
      </c>
      <c r="F3328">
        <v>0</v>
      </c>
      <c r="G3328">
        <v>0</v>
      </c>
      <c r="H3328">
        <v>0</v>
      </c>
      <c r="I3328">
        <v>2.09</v>
      </c>
      <c r="J3328">
        <v>0.36</v>
      </c>
      <c r="K3328">
        <v>273</v>
      </c>
      <c r="L3328">
        <v>100</v>
      </c>
      <c r="M3328">
        <v>100</v>
      </c>
      <c r="N3328">
        <v>4.7402820000000002E-3</v>
      </c>
      <c r="P3328">
        <v>2.2290748050000002</v>
      </c>
      <c r="Q3328">
        <v>20143.545409999999</v>
      </c>
      <c r="R3328">
        <v>20.32</v>
      </c>
      <c r="S3328">
        <v>5128</v>
      </c>
      <c r="T3328">
        <v>10.691803</v>
      </c>
      <c r="U3328">
        <v>-61.222503000000003</v>
      </c>
    </row>
    <row r="3329" spans="1:21">
      <c r="A3329" t="s">
        <v>181</v>
      </c>
      <c r="B3329">
        <v>2014</v>
      </c>
      <c r="C3329">
        <v>157936.94</v>
      </c>
      <c r="D3329">
        <v>22040.000919999999</v>
      </c>
      <c r="E3329">
        <v>8.85</v>
      </c>
      <c r="F3329">
        <v>0</v>
      </c>
      <c r="G3329">
        <v>0</v>
      </c>
      <c r="H3329">
        <v>0</v>
      </c>
      <c r="I3329">
        <v>2.31</v>
      </c>
      <c r="J3329">
        <v>0.35</v>
      </c>
      <c r="K3329">
        <v>273</v>
      </c>
      <c r="L3329">
        <v>100</v>
      </c>
      <c r="M3329">
        <v>100</v>
      </c>
      <c r="N3329">
        <v>5.3103539999999998E-3</v>
      </c>
      <c r="P3329">
        <v>-0.91254496900000004</v>
      </c>
      <c r="Q3329">
        <v>20270.93377</v>
      </c>
      <c r="R3329">
        <v>20.98</v>
      </c>
      <c r="S3329">
        <v>5128</v>
      </c>
      <c r="T3329">
        <v>10.691803</v>
      </c>
      <c r="U3329">
        <v>-61.222503000000003</v>
      </c>
    </row>
    <row r="3330" spans="1:21">
      <c r="A3330" t="s">
        <v>181</v>
      </c>
      <c r="B3330">
        <v>2015</v>
      </c>
      <c r="C3330">
        <v>152244.28</v>
      </c>
      <c r="D3330">
        <v>21329.999919999998</v>
      </c>
      <c r="E3330">
        <v>9</v>
      </c>
      <c r="F3330">
        <v>0</v>
      </c>
      <c r="G3330">
        <v>0.01</v>
      </c>
      <c r="H3330">
        <v>0.11098779</v>
      </c>
      <c r="I3330">
        <v>2.61</v>
      </c>
      <c r="J3330">
        <v>0.37</v>
      </c>
      <c r="K3330">
        <v>273</v>
      </c>
      <c r="L3330">
        <v>100</v>
      </c>
      <c r="M3330">
        <v>100</v>
      </c>
      <c r="N3330">
        <v>6.2352370000000002E-3</v>
      </c>
      <c r="P3330">
        <v>1.4837810339999999</v>
      </c>
      <c r="Q3330">
        <v>18214.460620000002</v>
      </c>
      <c r="R3330">
        <v>19.93</v>
      </c>
      <c r="S3330">
        <v>5128</v>
      </c>
      <c r="T3330">
        <v>10.691803</v>
      </c>
      <c r="U3330">
        <v>-61.222503000000003</v>
      </c>
    </row>
    <row r="3331" spans="1:21">
      <c r="A3331" t="s">
        <v>181</v>
      </c>
      <c r="B3331">
        <v>2016</v>
      </c>
      <c r="C3331">
        <v>134233.72</v>
      </c>
      <c r="D3331">
        <v>18309.999469999999</v>
      </c>
      <c r="E3331">
        <v>8.85</v>
      </c>
      <c r="F3331">
        <v>0</v>
      </c>
      <c r="G3331">
        <v>0.01</v>
      </c>
      <c r="H3331">
        <v>0.11286682000000001</v>
      </c>
      <c r="I3331">
        <v>2.6</v>
      </c>
      <c r="J3331">
        <v>0.43</v>
      </c>
      <c r="K3331">
        <v>273</v>
      </c>
      <c r="L3331">
        <v>100</v>
      </c>
      <c r="M3331">
        <v>100</v>
      </c>
      <c r="N3331">
        <v>6.9855330000000004E-3</v>
      </c>
      <c r="P3331">
        <v>-5.6018181389999997</v>
      </c>
      <c r="Q3331">
        <v>16250.62869</v>
      </c>
      <c r="R3331">
        <v>18.48</v>
      </c>
      <c r="S3331">
        <v>5128</v>
      </c>
      <c r="T3331">
        <v>10.691803</v>
      </c>
      <c r="U3331">
        <v>-61.222503000000003</v>
      </c>
    </row>
    <row r="3332" spans="1:21">
      <c r="A3332" t="s">
        <v>181</v>
      </c>
      <c r="B3332">
        <v>2017</v>
      </c>
      <c r="C3332">
        <v>141542.45000000001</v>
      </c>
      <c r="D3332">
        <v>18250</v>
      </c>
      <c r="E3332">
        <v>8.76</v>
      </c>
      <c r="F3332">
        <v>0</v>
      </c>
      <c r="G3332">
        <v>0.01</v>
      </c>
      <c r="H3332">
        <v>0.11402508</v>
      </c>
      <c r="I3332">
        <v>2.59</v>
      </c>
      <c r="J3332">
        <v>0.42</v>
      </c>
      <c r="K3332">
        <v>273</v>
      </c>
      <c r="L3332">
        <v>100</v>
      </c>
      <c r="M3332">
        <v>100</v>
      </c>
      <c r="N3332">
        <v>6.543419E-3</v>
      </c>
      <c r="P3332">
        <v>-2.987340197</v>
      </c>
      <c r="Q3332">
        <v>16173.74005</v>
      </c>
      <c r="R3332">
        <v>19.21</v>
      </c>
      <c r="S3332">
        <v>5128</v>
      </c>
      <c r="T3332">
        <v>10.691803</v>
      </c>
      <c r="U3332">
        <v>-61.222503000000003</v>
      </c>
    </row>
    <row r="3333" spans="1:21">
      <c r="A3333" t="s">
        <v>181</v>
      </c>
      <c r="B3333">
        <v>2018</v>
      </c>
      <c r="C3333">
        <v>131650.60999999999</v>
      </c>
      <c r="D3333">
        <v>17780.000690000001</v>
      </c>
      <c r="E3333">
        <v>8.67</v>
      </c>
      <c r="F3333">
        <v>0</v>
      </c>
      <c r="G3333">
        <v>0.01</v>
      </c>
      <c r="H3333">
        <v>0.11520737</v>
      </c>
      <c r="I3333">
        <v>2.17</v>
      </c>
      <c r="J3333">
        <v>0.45</v>
      </c>
      <c r="K3333">
        <v>273</v>
      </c>
      <c r="L3333">
        <v>100</v>
      </c>
      <c r="M3333">
        <v>100</v>
      </c>
      <c r="N3333">
        <v>6.2400479999999998E-3</v>
      </c>
      <c r="P3333">
        <v>6.6049775000000005E-2</v>
      </c>
      <c r="Q3333">
        <v>17037.862359999999</v>
      </c>
      <c r="R3333">
        <v>19.34</v>
      </c>
      <c r="S3333">
        <v>5128</v>
      </c>
      <c r="T3333">
        <v>10.691803</v>
      </c>
      <c r="U3333">
        <v>-61.222503000000003</v>
      </c>
    </row>
    <row r="3334" spans="1:21">
      <c r="A3334" t="s">
        <v>181</v>
      </c>
      <c r="B3334">
        <v>2019</v>
      </c>
      <c r="C3334">
        <v>123712.94</v>
      </c>
      <c r="D3334">
        <v>17190.000530000001</v>
      </c>
      <c r="E3334">
        <v>8.6300000000000008</v>
      </c>
      <c r="F3334">
        <v>0</v>
      </c>
      <c r="G3334">
        <v>0.01</v>
      </c>
      <c r="H3334">
        <v>0.11574073999999999</v>
      </c>
      <c r="I3334">
        <v>2.16</v>
      </c>
      <c r="J3334">
        <v>0.43</v>
      </c>
      <c r="K3334">
        <v>273</v>
      </c>
      <c r="L3334">
        <v>100</v>
      </c>
      <c r="M3334">
        <v>100</v>
      </c>
      <c r="N3334">
        <v>6.3736130000000002E-3</v>
      </c>
      <c r="P3334">
        <v>-1.246427336</v>
      </c>
      <c r="Q3334">
        <v>16637.162939999998</v>
      </c>
      <c r="R3334">
        <v>19.899999999999999</v>
      </c>
      <c r="S3334">
        <v>5128</v>
      </c>
      <c r="T3334">
        <v>10.691803</v>
      </c>
      <c r="U3334">
        <v>-61.222503000000003</v>
      </c>
    </row>
    <row r="3335" spans="1:21">
      <c r="A3335" t="s">
        <v>181</v>
      </c>
      <c r="B3335">
        <v>2020</v>
      </c>
      <c r="C3335">
        <v>108794.93</v>
      </c>
      <c r="E3335">
        <v>8.1999999999999993</v>
      </c>
      <c r="F3335">
        <v>0</v>
      </c>
      <c r="G3335">
        <v>0.01</v>
      </c>
      <c r="H3335">
        <v>0.12180268</v>
      </c>
      <c r="I3335">
        <v>2.15</v>
      </c>
      <c r="K3335">
        <v>273</v>
      </c>
      <c r="L3335">
        <v>100</v>
      </c>
      <c r="M3335">
        <v>100</v>
      </c>
      <c r="N3335">
        <v>7.3120090000000004E-3</v>
      </c>
      <c r="P3335">
        <v>-7.8539399479999998</v>
      </c>
      <c r="Q3335">
        <v>15425.635109999999</v>
      </c>
      <c r="S3335">
        <v>5128</v>
      </c>
      <c r="T3335">
        <v>10.691803</v>
      </c>
      <c r="U3335">
        <v>-61.222503000000003</v>
      </c>
    </row>
    <row r="3336" spans="1:21">
      <c r="A3336" t="s">
        <v>182</v>
      </c>
      <c r="B3336">
        <v>2000</v>
      </c>
      <c r="C3336">
        <v>9003.8209999999999</v>
      </c>
      <c r="D3336">
        <v>20700</v>
      </c>
      <c r="E3336">
        <v>9.8800000000000008</v>
      </c>
      <c r="F3336">
        <v>0</v>
      </c>
      <c r="G3336">
        <v>0.08</v>
      </c>
      <c r="H3336">
        <v>0.80321279999999995</v>
      </c>
      <c r="I3336">
        <v>7.57</v>
      </c>
      <c r="J3336">
        <v>14.24</v>
      </c>
      <c r="K3336">
        <v>76</v>
      </c>
      <c r="L3336">
        <v>94.8</v>
      </c>
      <c r="M3336">
        <v>94.2</v>
      </c>
      <c r="O3336">
        <v>4390000</v>
      </c>
      <c r="P3336">
        <v>4.7099729029999997</v>
      </c>
      <c r="Q3336">
        <v>2211.8350150000001</v>
      </c>
      <c r="R3336">
        <v>4.3</v>
      </c>
      <c r="S3336">
        <v>163610</v>
      </c>
      <c r="T3336">
        <v>33.886916999999997</v>
      </c>
      <c r="U3336">
        <v>9.5374990000000004</v>
      </c>
    </row>
    <row r="3337" spans="1:21">
      <c r="A3337" t="s">
        <v>182</v>
      </c>
      <c r="B3337">
        <v>2001</v>
      </c>
      <c r="C3337">
        <v>9892.7479999999996</v>
      </c>
      <c r="D3337">
        <v>21570</v>
      </c>
      <c r="E3337">
        <v>10.64</v>
      </c>
      <c r="F3337">
        <v>0</v>
      </c>
      <c r="G3337">
        <v>7.0000000000000007E-2</v>
      </c>
      <c r="H3337">
        <v>0.65359480000000003</v>
      </c>
      <c r="I3337">
        <v>7.52</v>
      </c>
      <c r="J3337">
        <v>14.22</v>
      </c>
      <c r="K3337">
        <v>76</v>
      </c>
      <c r="L3337">
        <v>97.3</v>
      </c>
      <c r="M3337">
        <v>95.1</v>
      </c>
      <c r="O3337">
        <v>4400000</v>
      </c>
      <c r="P3337">
        <v>3.7962715469999999</v>
      </c>
      <c r="Q3337">
        <v>2253.0348519999998</v>
      </c>
      <c r="R3337">
        <v>4.37</v>
      </c>
      <c r="S3337">
        <v>163610</v>
      </c>
      <c r="T3337">
        <v>33.886916999999997</v>
      </c>
      <c r="U3337">
        <v>9.5374990000000004</v>
      </c>
    </row>
    <row r="3338" spans="1:21">
      <c r="A3338" t="s">
        <v>182</v>
      </c>
      <c r="B3338">
        <v>2002</v>
      </c>
      <c r="C3338">
        <v>9695.5010000000002</v>
      </c>
      <c r="D3338">
        <v>21709.999080000001</v>
      </c>
      <c r="E3338">
        <v>11.04</v>
      </c>
      <c r="F3338">
        <v>0</v>
      </c>
      <c r="G3338">
        <v>0.09</v>
      </c>
      <c r="H3338">
        <v>0.80862533999999997</v>
      </c>
      <c r="I3338">
        <v>7.47</v>
      </c>
      <c r="J3338">
        <v>14.55</v>
      </c>
      <c r="K3338">
        <v>76</v>
      </c>
      <c r="L3338">
        <v>97.8</v>
      </c>
      <c r="M3338">
        <v>96.1</v>
      </c>
      <c r="O3338">
        <v>5280000</v>
      </c>
      <c r="P3338">
        <v>1.3225571469999999</v>
      </c>
      <c r="Q3338">
        <v>2344.3969069999998</v>
      </c>
      <c r="R3338">
        <v>4.37</v>
      </c>
      <c r="S3338">
        <v>163610</v>
      </c>
      <c r="T3338">
        <v>33.886916999999997</v>
      </c>
      <c r="U3338">
        <v>9.5374990000000004</v>
      </c>
    </row>
    <row r="3339" spans="1:21">
      <c r="A3339" t="s">
        <v>182</v>
      </c>
      <c r="B3339">
        <v>2003</v>
      </c>
      <c r="C3339">
        <v>9464.0249999999996</v>
      </c>
      <c r="D3339">
        <v>21500</v>
      </c>
      <c r="E3339">
        <v>11.48</v>
      </c>
      <c r="F3339">
        <v>0</v>
      </c>
      <c r="G3339">
        <v>0.19</v>
      </c>
      <c r="H3339">
        <v>1.6281061999999999</v>
      </c>
      <c r="I3339">
        <v>8.3000000000000007</v>
      </c>
      <c r="J3339">
        <v>14.13</v>
      </c>
      <c r="K3339">
        <v>76</v>
      </c>
      <c r="L3339">
        <v>98.4</v>
      </c>
      <c r="M3339">
        <v>96.8</v>
      </c>
      <c r="O3339">
        <v>420000</v>
      </c>
      <c r="P3339">
        <v>4.7023996490000002</v>
      </c>
      <c r="Q3339">
        <v>2760.4051220000001</v>
      </c>
      <c r="R3339">
        <v>4.29</v>
      </c>
      <c r="S3339">
        <v>163610</v>
      </c>
      <c r="T3339">
        <v>33.886916999999997</v>
      </c>
      <c r="U3339">
        <v>9.5374990000000004</v>
      </c>
    </row>
    <row r="3340" spans="1:21">
      <c r="A3340" t="s">
        <v>182</v>
      </c>
      <c r="B3340">
        <v>2004</v>
      </c>
      <c r="C3340">
        <v>9557.0159999999996</v>
      </c>
      <c r="D3340">
        <v>22479.999540000001</v>
      </c>
      <c r="E3340">
        <v>12.1</v>
      </c>
      <c r="F3340">
        <v>0</v>
      </c>
      <c r="G3340">
        <v>0.19</v>
      </c>
      <c r="H3340">
        <v>1.5459723000000001</v>
      </c>
      <c r="I3340">
        <v>8.24</v>
      </c>
      <c r="J3340">
        <v>13.92</v>
      </c>
      <c r="K3340">
        <v>76</v>
      </c>
      <c r="L3340">
        <v>99</v>
      </c>
      <c r="M3340">
        <v>97.4</v>
      </c>
      <c r="O3340">
        <v>280000</v>
      </c>
      <c r="P3340">
        <v>6.235790615</v>
      </c>
      <c r="Q3340">
        <v>3111.3743810000001</v>
      </c>
      <c r="R3340">
        <v>4.26</v>
      </c>
      <c r="S3340">
        <v>163610</v>
      </c>
      <c r="T3340">
        <v>33.886916999999997</v>
      </c>
      <c r="U3340">
        <v>9.5374990000000004</v>
      </c>
    </row>
    <row r="3341" spans="1:21">
      <c r="A3341" t="s">
        <v>182</v>
      </c>
      <c r="B3341">
        <v>2005</v>
      </c>
      <c r="C3341">
        <v>10276.655000000001</v>
      </c>
      <c r="D3341">
        <v>22969.999309999999</v>
      </c>
      <c r="E3341">
        <v>12.79</v>
      </c>
      <c r="F3341">
        <v>0</v>
      </c>
      <c r="G3341">
        <v>0.18</v>
      </c>
      <c r="H3341">
        <v>1.387818</v>
      </c>
      <c r="I3341">
        <v>8.17</v>
      </c>
      <c r="J3341">
        <v>14.18</v>
      </c>
      <c r="K3341">
        <v>76</v>
      </c>
      <c r="L3341">
        <v>99.3</v>
      </c>
      <c r="M3341">
        <v>97.9</v>
      </c>
      <c r="O3341">
        <v>17630000</v>
      </c>
      <c r="P3341">
        <v>3.486545622</v>
      </c>
      <c r="Q3341">
        <v>3193.204358</v>
      </c>
      <c r="R3341">
        <v>4.04</v>
      </c>
      <c r="S3341">
        <v>163610</v>
      </c>
      <c r="T3341">
        <v>33.886916999999997</v>
      </c>
      <c r="U3341">
        <v>9.5374990000000004</v>
      </c>
    </row>
    <row r="3342" spans="1:21">
      <c r="A3342" t="s">
        <v>182</v>
      </c>
      <c r="B3342">
        <v>2006</v>
      </c>
      <c r="C3342">
        <v>9603.9689999999991</v>
      </c>
      <c r="D3342">
        <v>23899.999619999999</v>
      </c>
      <c r="E3342">
        <v>13.15</v>
      </c>
      <c r="F3342">
        <v>0</v>
      </c>
      <c r="G3342">
        <v>0.13</v>
      </c>
      <c r="H3342">
        <v>0.97891570000000006</v>
      </c>
      <c r="I3342">
        <v>8.1</v>
      </c>
      <c r="J3342">
        <v>14.32</v>
      </c>
      <c r="K3342">
        <v>76</v>
      </c>
      <c r="L3342">
        <v>99.4</v>
      </c>
      <c r="M3342">
        <v>98.4</v>
      </c>
      <c r="O3342">
        <v>24440000</v>
      </c>
      <c r="P3342">
        <v>5.2440997620000003</v>
      </c>
      <c r="Q3342">
        <v>3369.9244429999999</v>
      </c>
      <c r="R3342">
        <v>4.04</v>
      </c>
      <c r="S3342">
        <v>163610</v>
      </c>
      <c r="T3342">
        <v>33.886916999999997</v>
      </c>
      <c r="U3342">
        <v>9.5374990000000004</v>
      </c>
    </row>
    <row r="3343" spans="1:21">
      <c r="A3343" t="s">
        <v>182</v>
      </c>
      <c r="B3343">
        <v>2007</v>
      </c>
      <c r="C3343">
        <v>8479.4189999999999</v>
      </c>
      <c r="D3343">
        <v>24750</v>
      </c>
      <c r="E3343">
        <v>12.83</v>
      </c>
      <c r="F3343">
        <v>0</v>
      </c>
      <c r="G3343">
        <v>0.09</v>
      </c>
      <c r="H3343">
        <v>0.69659439999999995</v>
      </c>
      <c r="I3343">
        <v>8.01</v>
      </c>
      <c r="J3343">
        <v>14.32</v>
      </c>
      <c r="K3343">
        <v>76</v>
      </c>
      <c r="L3343">
        <v>99.4</v>
      </c>
      <c r="M3343">
        <v>98.7</v>
      </c>
      <c r="O3343">
        <v>1640000</v>
      </c>
      <c r="P3343">
        <v>6.7095210190000003</v>
      </c>
      <c r="Q3343">
        <v>3776.332046</v>
      </c>
      <c r="R3343">
        <v>3.91</v>
      </c>
      <c r="S3343">
        <v>163610</v>
      </c>
      <c r="T3343">
        <v>33.886916999999997</v>
      </c>
      <c r="U3343">
        <v>9.5374990000000004</v>
      </c>
    </row>
    <row r="3344" spans="1:21">
      <c r="A3344" t="s">
        <v>182</v>
      </c>
      <c r="B3344">
        <v>2008</v>
      </c>
      <c r="C3344">
        <v>9715.2180000000008</v>
      </c>
      <c r="D3344">
        <v>25250</v>
      </c>
      <c r="E3344">
        <v>13.44</v>
      </c>
      <c r="F3344">
        <v>0</v>
      </c>
      <c r="G3344">
        <v>7.0000000000000007E-2</v>
      </c>
      <c r="H3344">
        <v>0.51813469999999995</v>
      </c>
      <c r="I3344">
        <v>7.94</v>
      </c>
      <c r="J3344">
        <v>14.61</v>
      </c>
      <c r="K3344">
        <v>76</v>
      </c>
      <c r="L3344">
        <v>99.4</v>
      </c>
      <c r="M3344">
        <v>99</v>
      </c>
      <c r="O3344">
        <v>235950000</v>
      </c>
      <c r="P3344">
        <v>4.237781547</v>
      </c>
      <c r="Q3344">
        <v>4307.5800230000004</v>
      </c>
      <c r="R3344">
        <v>3.91</v>
      </c>
      <c r="S3344">
        <v>163610</v>
      </c>
      <c r="T3344">
        <v>33.886916999999997</v>
      </c>
      <c r="U3344">
        <v>9.5374990000000004</v>
      </c>
    </row>
    <row r="3345" spans="1:21">
      <c r="A3345" t="s">
        <v>182</v>
      </c>
      <c r="B3345">
        <v>2009</v>
      </c>
      <c r="C3345">
        <v>8024.8980000000001</v>
      </c>
      <c r="D3345">
        <v>25290.000919999999</v>
      </c>
      <c r="E3345">
        <v>14.17</v>
      </c>
      <c r="F3345">
        <v>0</v>
      </c>
      <c r="G3345">
        <v>0.18</v>
      </c>
      <c r="H3345">
        <v>1.2543553000000001</v>
      </c>
      <c r="I3345">
        <v>11.12</v>
      </c>
      <c r="J3345">
        <v>16.07</v>
      </c>
      <c r="K3345">
        <v>76</v>
      </c>
      <c r="L3345">
        <v>99.5</v>
      </c>
      <c r="M3345">
        <v>99.2</v>
      </c>
      <c r="O3345">
        <v>123490000</v>
      </c>
      <c r="P3345">
        <v>3.0434500930000001</v>
      </c>
      <c r="Q3345">
        <v>4128.4639589999997</v>
      </c>
      <c r="R3345">
        <v>3.69</v>
      </c>
      <c r="S3345">
        <v>163610</v>
      </c>
      <c r="T3345">
        <v>33.886916999999997</v>
      </c>
      <c r="U3345">
        <v>9.5374990000000004</v>
      </c>
    </row>
    <row r="3346" spans="1:21">
      <c r="A3346" t="s">
        <v>182</v>
      </c>
      <c r="B3346">
        <v>2010</v>
      </c>
      <c r="C3346">
        <v>8150.6959999999999</v>
      </c>
      <c r="D3346">
        <v>27520.000459999999</v>
      </c>
      <c r="E3346">
        <v>14.76</v>
      </c>
      <c r="F3346">
        <v>0</v>
      </c>
      <c r="G3346">
        <v>0.19</v>
      </c>
      <c r="H3346">
        <v>1.2709029999999999</v>
      </c>
      <c r="I3346">
        <v>11.05</v>
      </c>
      <c r="J3346">
        <v>12.61</v>
      </c>
      <c r="K3346">
        <v>76</v>
      </c>
      <c r="L3346">
        <v>99.5</v>
      </c>
      <c r="M3346">
        <v>99.4</v>
      </c>
      <c r="O3346">
        <v>130720000</v>
      </c>
      <c r="P3346">
        <v>3.5111640660000001</v>
      </c>
      <c r="Q3346">
        <v>4344.64192</v>
      </c>
      <c r="R3346">
        <v>4.01</v>
      </c>
      <c r="S3346">
        <v>163610</v>
      </c>
      <c r="T3346">
        <v>33.886916999999997</v>
      </c>
      <c r="U3346">
        <v>9.5374990000000004</v>
      </c>
    </row>
    <row r="3347" spans="1:21">
      <c r="A3347" t="s">
        <v>182</v>
      </c>
      <c r="B3347">
        <v>2011</v>
      </c>
      <c r="C3347">
        <v>7678.8429999999998</v>
      </c>
      <c r="D3347">
        <v>26340.00015</v>
      </c>
      <c r="E3347">
        <v>15.17</v>
      </c>
      <c r="F3347">
        <v>0</v>
      </c>
      <c r="G3347">
        <v>0.16</v>
      </c>
      <c r="H3347">
        <v>1.0437050999999999</v>
      </c>
      <c r="I3347">
        <v>11.04</v>
      </c>
      <c r="J3347">
        <v>13.24</v>
      </c>
      <c r="K3347">
        <v>76</v>
      </c>
      <c r="L3347">
        <v>99.5</v>
      </c>
      <c r="M3347">
        <v>99.5</v>
      </c>
      <c r="O3347">
        <v>820000</v>
      </c>
      <c r="P3347">
        <v>-1.6641890850000001</v>
      </c>
      <c r="Q3347">
        <v>4479.930327</v>
      </c>
      <c r="R3347">
        <v>3.9</v>
      </c>
      <c r="S3347">
        <v>163610</v>
      </c>
      <c r="T3347">
        <v>33.886916999999997</v>
      </c>
      <c r="U3347">
        <v>9.5374990000000004</v>
      </c>
    </row>
    <row r="3348" spans="1:21">
      <c r="A3348" t="s">
        <v>182</v>
      </c>
      <c r="B3348">
        <v>2012</v>
      </c>
      <c r="C3348">
        <v>8332.0820000000003</v>
      </c>
      <c r="D3348">
        <v>27790.000919999999</v>
      </c>
      <c r="E3348">
        <v>16.48</v>
      </c>
      <c r="F3348">
        <v>0</v>
      </c>
      <c r="G3348">
        <v>0.32</v>
      </c>
      <c r="H3348">
        <v>1.9047620000000001</v>
      </c>
      <c r="I3348">
        <v>22.18</v>
      </c>
      <c r="J3348">
        <v>13</v>
      </c>
      <c r="K3348">
        <v>76</v>
      </c>
      <c r="L3348">
        <v>99.5</v>
      </c>
      <c r="M3348">
        <v>99.6</v>
      </c>
      <c r="O3348">
        <v>180150000</v>
      </c>
      <c r="P3348">
        <v>3.913275869</v>
      </c>
      <c r="Q3348">
        <v>4361.6877359999999</v>
      </c>
      <c r="R3348">
        <v>3.9</v>
      </c>
      <c r="S3348">
        <v>163610</v>
      </c>
      <c r="T3348">
        <v>33.886916999999997</v>
      </c>
      <c r="U3348">
        <v>9.5374990000000004</v>
      </c>
    </row>
    <row r="3349" spans="1:21">
      <c r="A3349" t="s">
        <v>182</v>
      </c>
      <c r="B3349">
        <v>2013</v>
      </c>
      <c r="C3349">
        <v>8726.0859999999993</v>
      </c>
      <c r="D3349">
        <v>27850.000380000001</v>
      </c>
      <c r="E3349">
        <v>16.64</v>
      </c>
      <c r="F3349">
        <v>0</v>
      </c>
      <c r="G3349">
        <v>0.44</v>
      </c>
      <c r="H3349">
        <v>2.5761124999999998</v>
      </c>
      <c r="I3349">
        <v>24.79</v>
      </c>
      <c r="J3349">
        <v>13.17</v>
      </c>
      <c r="K3349">
        <v>76</v>
      </c>
      <c r="L3349">
        <v>99.7</v>
      </c>
      <c r="M3349">
        <v>99.7</v>
      </c>
      <c r="O3349">
        <v>9350000</v>
      </c>
      <c r="P3349">
        <v>2.14306442</v>
      </c>
      <c r="Q3349">
        <v>4444.816511</v>
      </c>
      <c r="R3349">
        <v>3.87</v>
      </c>
      <c r="S3349">
        <v>163610</v>
      </c>
      <c r="T3349">
        <v>33.886916999999997</v>
      </c>
      <c r="U3349">
        <v>9.5374990000000004</v>
      </c>
    </row>
    <row r="3350" spans="1:21">
      <c r="A3350" t="s">
        <v>182</v>
      </c>
      <c r="B3350">
        <v>2014</v>
      </c>
      <c r="C3350">
        <v>9507.3420000000006</v>
      </c>
      <c r="D3350">
        <v>29950.000759999999</v>
      </c>
      <c r="E3350">
        <v>17.27</v>
      </c>
      <c r="F3350">
        <v>0</v>
      </c>
      <c r="G3350">
        <v>0.59</v>
      </c>
      <c r="H3350">
        <v>3.303471</v>
      </c>
      <c r="I3350">
        <v>28.21</v>
      </c>
      <c r="J3350">
        <v>12.86</v>
      </c>
      <c r="K3350">
        <v>76</v>
      </c>
      <c r="L3350">
        <v>99.8</v>
      </c>
      <c r="M3350">
        <v>99.7</v>
      </c>
      <c r="P3350">
        <v>2.7066085659999999</v>
      </c>
      <c r="Q3350">
        <v>4544.0166319999998</v>
      </c>
      <c r="R3350">
        <v>3.82</v>
      </c>
      <c r="S3350">
        <v>163610</v>
      </c>
      <c r="T3350">
        <v>33.886916999999997</v>
      </c>
      <c r="U3350">
        <v>9.5374990000000004</v>
      </c>
    </row>
    <row r="3351" spans="1:21">
      <c r="A3351" t="s">
        <v>182</v>
      </c>
      <c r="B3351">
        <v>2015</v>
      </c>
      <c r="C3351">
        <v>9709.6579999999994</v>
      </c>
      <c r="D3351">
        <v>30479.999540000001</v>
      </c>
      <c r="E3351">
        <v>17.77</v>
      </c>
      <c r="F3351">
        <v>0</v>
      </c>
      <c r="G3351">
        <v>0.57999999999999996</v>
      </c>
      <c r="H3351">
        <v>3.1607628000000001</v>
      </c>
      <c r="I3351">
        <v>29.83</v>
      </c>
      <c r="J3351">
        <v>12.5</v>
      </c>
      <c r="K3351">
        <v>76</v>
      </c>
      <c r="L3351">
        <v>99.9</v>
      </c>
      <c r="M3351">
        <v>99.7</v>
      </c>
      <c r="O3351">
        <v>8880000</v>
      </c>
      <c r="P3351">
        <v>1.0001807840000001</v>
      </c>
      <c r="Q3351">
        <v>4094.8362870000001</v>
      </c>
      <c r="R3351">
        <v>3.87</v>
      </c>
      <c r="S3351">
        <v>163610</v>
      </c>
      <c r="T3351">
        <v>33.886916999999997</v>
      </c>
      <c r="U3351">
        <v>9.5374990000000004</v>
      </c>
    </row>
    <row r="3352" spans="1:21">
      <c r="A3352" t="s">
        <v>182</v>
      </c>
      <c r="B3352">
        <v>2016</v>
      </c>
      <c r="C3352">
        <v>9585.7729999999992</v>
      </c>
      <c r="D3352">
        <v>29610.000609999999</v>
      </c>
      <c r="E3352">
        <v>17.86</v>
      </c>
      <c r="F3352">
        <v>0</v>
      </c>
      <c r="G3352">
        <v>0.63</v>
      </c>
      <c r="H3352">
        <v>3.4072472999999999</v>
      </c>
      <c r="I3352">
        <v>30.7</v>
      </c>
      <c r="J3352">
        <v>12.4</v>
      </c>
      <c r="K3352">
        <v>76</v>
      </c>
      <c r="L3352">
        <v>100</v>
      </c>
      <c r="M3352">
        <v>99.8</v>
      </c>
      <c r="O3352">
        <v>45640000</v>
      </c>
      <c r="P3352">
        <v>1.117425857</v>
      </c>
      <c r="Q3352">
        <v>3924.3633460000001</v>
      </c>
      <c r="R3352">
        <v>3.88</v>
      </c>
      <c r="S3352">
        <v>163610</v>
      </c>
      <c r="T3352">
        <v>33.886916999999997</v>
      </c>
      <c r="U3352">
        <v>9.5374990000000004</v>
      </c>
    </row>
    <row r="3353" spans="1:21">
      <c r="A3353" t="s">
        <v>182</v>
      </c>
      <c r="B3353">
        <v>2017</v>
      </c>
      <c r="C3353">
        <v>10039.691000000001</v>
      </c>
      <c r="D3353">
        <v>29959.999080000001</v>
      </c>
      <c r="E3353">
        <v>18.57</v>
      </c>
      <c r="F3353">
        <v>0</v>
      </c>
      <c r="G3353">
        <v>0.6</v>
      </c>
      <c r="H3353">
        <v>3.1298906999999998</v>
      </c>
      <c r="I3353">
        <v>31.21</v>
      </c>
      <c r="J3353">
        <v>11.82</v>
      </c>
      <c r="K3353">
        <v>76</v>
      </c>
      <c r="L3353">
        <v>100</v>
      </c>
      <c r="M3353">
        <v>99.8</v>
      </c>
      <c r="O3353">
        <v>4870000</v>
      </c>
      <c r="P3353">
        <v>2.2442009679999999</v>
      </c>
      <c r="Q3353">
        <v>3687.7774610000001</v>
      </c>
      <c r="R3353">
        <v>3.92</v>
      </c>
      <c r="S3353">
        <v>163610</v>
      </c>
      <c r="T3353">
        <v>33.886916999999997</v>
      </c>
      <c r="U3353">
        <v>9.5374990000000004</v>
      </c>
    </row>
    <row r="3354" spans="1:21">
      <c r="A3354" t="s">
        <v>182</v>
      </c>
      <c r="B3354">
        <v>2018</v>
      </c>
      <c r="C3354">
        <v>10208.621999999999</v>
      </c>
      <c r="D3354">
        <v>29889.999390000001</v>
      </c>
      <c r="E3354">
        <v>18.88</v>
      </c>
      <c r="F3354">
        <v>0</v>
      </c>
      <c r="G3354">
        <v>0.64</v>
      </c>
      <c r="H3354">
        <v>3.2786884000000001</v>
      </c>
      <c r="I3354">
        <v>31.97</v>
      </c>
      <c r="J3354">
        <v>11.91</v>
      </c>
      <c r="K3354">
        <v>76</v>
      </c>
      <c r="L3354">
        <v>99.8</v>
      </c>
      <c r="M3354">
        <v>99.8</v>
      </c>
      <c r="O3354">
        <v>18600000</v>
      </c>
      <c r="P3354">
        <v>2.5109070720000002</v>
      </c>
      <c r="Q3354">
        <v>3680.892597</v>
      </c>
      <c r="R3354">
        <v>3.85</v>
      </c>
      <c r="S3354">
        <v>163610</v>
      </c>
      <c r="T3354">
        <v>33.886916999999997</v>
      </c>
      <c r="U3354">
        <v>9.5374990000000004</v>
      </c>
    </row>
    <row r="3355" spans="1:21">
      <c r="A3355" t="s">
        <v>182</v>
      </c>
      <c r="B3355">
        <v>2019</v>
      </c>
      <c r="C3355">
        <v>10128.142</v>
      </c>
      <c r="D3355">
        <v>29909.99985</v>
      </c>
      <c r="E3355">
        <v>19.73</v>
      </c>
      <c r="F3355">
        <v>0</v>
      </c>
      <c r="G3355">
        <v>0.82</v>
      </c>
      <c r="H3355">
        <v>3.9902677999999998</v>
      </c>
      <c r="I3355">
        <v>33.01</v>
      </c>
      <c r="J3355">
        <v>12.2</v>
      </c>
      <c r="K3355">
        <v>76</v>
      </c>
      <c r="L3355">
        <v>100</v>
      </c>
      <c r="M3355">
        <v>99.8</v>
      </c>
      <c r="O3355">
        <v>80070000</v>
      </c>
      <c r="P3355">
        <v>1.4019766760000001</v>
      </c>
      <c r="Q3355">
        <v>3574.6540239999999</v>
      </c>
      <c r="R3355">
        <v>3.75</v>
      </c>
      <c r="S3355">
        <v>163610</v>
      </c>
      <c r="T3355">
        <v>33.886916999999997</v>
      </c>
      <c r="U3355">
        <v>9.5374990000000004</v>
      </c>
    </row>
    <row r="3356" spans="1:21">
      <c r="A3356" t="s">
        <v>182</v>
      </c>
      <c r="B3356">
        <v>2020</v>
      </c>
      <c r="C3356">
        <v>9290.7019999999993</v>
      </c>
      <c r="E3356">
        <v>18.73</v>
      </c>
      <c r="F3356">
        <v>0</v>
      </c>
      <c r="G3356">
        <v>0.85</v>
      </c>
      <c r="H3356">
        <v>4.3411645999999999</v>
      </c>
      <c r="I3356">
        <v>33.92</v>
      </c>
      <c r="K3356">
        <v>76</v>
      </c>
      <c r="L3356">
        <v>100</v>
      </c>
      <c r="M3356">
        <v>99.8</v>
      </c>
      <c r="P3356">
        <v>-9.1823725940000003</v>
      </c>
      <c r="Q3356">
        <v>3521.5919479999998</v>
      </c>
      <c r="S3356">
        <v>163610</v>
      </c>
      <c r="T3356">
        <v>33.886916999999997</v>
      </c>
      <c r="U3356">
        <v>9.5374990000000004</v>
      </c>
    </row>
    <row r="3357" spans="1:21">
      <c r="A3357" t="s">
        <v>183</v>
      </c>
      <c r="B3357">
        <v>2000</v>
      </c>
      <c r="C3357">
        <v>13486.675999999999</v>
      </c>
      <c r="E3357">
        <v>93.17</v>
      </c>
      <c r="F3357">
        <v>0</v>
      </c>
      <c r="G3357">
        <v>31.16</v>
      </c>
      <c r="H3357">
        <v>25.062334</v>
      </c>
      <c r="I3357">
        <v>178.5</v>
      </c>
      <c r="J3357">
        <v>17.29</v>
      </c>
      <c r="K3357">
        <v>110</v>
      </c>
      <c r="L3357">
        <v>100</v>
      </c>
      <c r="M3357">
        <v>90.1</v>
      </c>
      <c r="N3357">
        <v>10.657171999999999</v>
      </c>
      <c r="O3357">
        <v>130880000</v>
      </c>
      <c r="P3357">
        <v>6.9332397050000001</v>
      </c>
      <c r="Q3357">
        <v>4337.4780030000002</v>
      </c>
      <c r="R3357">
        <v>3.27</v>
      </c>
      <c r="S3357">
        <v>783562</v>
      </c>
      <c r="T3357">
        <v>38.963745000000003</v>
      </c>
      <c r="U3357">
        <v>35.243321999999999</v>
      </c>
    </row>
    <row r="3358" spans="1:21">
      <c r="A3358" t="s">
        <v>183</v>
      </c>
      <c r="B3358">
        <v>2001</v>
      </c>
      <c r="C3358">
        <v>12073.246999999999</v>
      </c>
      <c r="E3358">
        <v>97.85</v>
      </c>
      <c r="F3358">
        <v>0</v>
      </c>
      <c r="G3358">
        <v>24.34</v>
      </c>
      <c r="H3358">
        <v>19.919796000000002</v>
      </c>
      <c r="I3358">
        <v>183.61</v>
      </c>
      <c r="J3358">
        <v>18.12</v>
      </c>
      <c r="K3358">
        <v>110</v>
      </c>
      <c r="L3358">
        <v>100</v>
      </c>
      <c r="M3358">
        <v>90.8</v>
      </c>
      <c r="N3358">
        <v>9.1085139999999996</v>
      </c>
      <c r="O3358">
        <v>10000</v>
      </c>
      <c r="P3358">
        <v>-5.7500065549999997</v>
      </c>
      <c r="Q3358">
        <v>3142.9209980000001</v>
      </c>
      <c r="R3358">
        <v>3.2</v>
      </c>
      <c r="S3358">
        <v>783562</v>
      </c>
      <c r="T3358">
        <v>38.963745000000003</v>
      </c>
      <c r="U3358">
        <v>35.243321999999999</v>
      </c>
    </row>
    <row r="3359" spans="1:21">
      <c r="A3359" t="s">
        <v>183</v>
      </c>
      <c r="B3359">
        <v>2002</v>
      </c>
      <c r="C3359">
        <v>13026.979499999999</v>
      </c>
      <c r="E3359">
        <v>94.46</v>
      </c>
      <c r="F3359">
        <v>0</v>
      </c>
      <c r="G3359">
        <v>33.96</v>
      </c>
      <c r="H3359">
        <v>26.444479000000001</v>
      </c>
      <c r="I3359">
        <v>189.72</v>
      </c>
      <c r="J3359">
        <v>17.489999999999998</v>
      </c>
      <c r="K3359">
        <v>110</v>
      </c>
      <c r="L3359">
        <v>100</v>
      </c>
      <c r="M3359">
        <v>91.3</v>
      </c>
      <c r="N3359">
        <v>11.535795999999999</v>
      </c>
      <c r="P3359">
        <v>6.4477220470000001</v>
      </c>
      <c r="Q3359">
        <v>3687.9560929999998</v>
      </c>
      <c r="R3359">
        <v>3.17</v>
      </c>
      <c r="S3359">
        <v>783562</v>
      </c>
      <c r="T3359">
        <v>38.963745000000003</v>
      </c>
      <c r="U3359">
        <v>35.243321999999999</v>
      </c>
    </row>
    <row r="3360" spans="1:21">
      <c r="A3360" t="s">
        <v>183</v>
      </c>
      <c r="B3360">
        <v>2003</v>
      </c>
      <c r="C3360">
        <v>13613.352999999999</v>
      </c>
      <c r="E3360">
        <v>103.96</v>
      </c>
      <c r="F3360">
        <v>0</v>
      </c>
      <c r="G3360">
        <v>35.56</v>
      </c>
      <c r="H3360">
        <v>25.487386999999998</v>
      </c>
      <c r="I3360">
        <v>192.09</v>
      </c>
      <c r="J3360">
        <v>16.29</v>
      </c>
      <c r="K3360">
        <v>110</v>
      </c>
      <c r="L3360">
        <v>100</v>
      </c>
      <c r="M3360">
        <v>91.7</v>
      </c>
      <c r="N3360">
        <v>11.330117</v>
      </c>
      <c r="P3360">
        <v>5.7632060669999996</v>
      </c>
      <c r="Q3360">
        <v>4760.1040190000003</v>
      </c>
      <c r="R3360">
        <v>3.18</v>
      </c>
      <c r="S3360">
        <v>783562</v>
      </c>
      <c r="T3360">
        <v>38.963745000000003</v>
      </c>
      <c r="U3360">
        <v>35.243321999999999</v>
      </c>
    </row>
    <row r="3361" spans="1:21">
      <c r="A3361" t="s">
        <v>183</v>
      </c>
      <c r="B3361">
        <v>2004</v>
      </c>
      <c r="C3361">
        <v>14380.439</v>
      </c>
      <c r="E3361">
        <v>103.43</v>
      </c>
      <c r="F3361">
        <v>0</v>
      </c>
      <c r="G3361">
        <v>46.31</v>
      </c>
      <c r="H3361">
        <v>30.926939000000001</v>
      </c>
      <c r="I3361">
        <v>190.44</v>
      </c>
      <c r="J3361">
        <v>16.78</v>
      </c>
      <c r="K3361">
        <v>110</v>
      </c>
      <c r="L3361">
        <v>99.997990000000001</v>
      </c>
      <c r="M3361">
        <v>92.3</v>
      </c>
      <c r="N3361">
        <v>13.691692</v>
      </c>
      <c r="O3361">
        <v>128920000</v>
      </c>
      <c r="P3361">
        <v>9.7959363889999995</v>
      </c>
      <c r="Q3361">
        <v>6101.6321170000001</v>
      </c>
      <c r="R3361">
        <v>2.97</v>
      </c>
      <c r="S3361">
        <v>783562</v>
      </c>
      <c r="T3361">
        <v>38.963745000000003</v>
      </c>
      <c r="U3361">
        <v>35.243321999999999</v>
      </c>
    </row>
    <row r="3362" spans="1:21">
      <c r="A3362" t="s">
        <v>183</v>
      </c>
      <c r="B3362">
        <v>2005</v>
      </c>
      <c r="C3362">
        <v>14507.763999999999</v>
      </c>
      <c r="E3362">
        <v>121.81</v>
      </c>
      <c r="F3362">
        <v>0</v>
      </c>
      <c r="G3362">
        <v>39.74</v>
      </c>
      <c r="H3362">
        <v>24.599195000000002</v>
      </c>
      <c r="I3362">
        <v>191.82</v>
      </c>
      <c r="J3362">
        <v>15.34</v>
      </c>
      <c r="K3362">
        <v>110</v>
      </c>
      <c r="L3362">
        <v>99.987030000000004</v>
      </c>
      <c r="M3362">
        <v>92.8</v>
      </c>
      <c r="N3362">
        <v>11.418583</v>
      </c>
      <c r="O3362">
        <v>350000</v>
      </c>
      <c r="P3362">
        <v>8.992304936</v>
      </c>
      <c r="Q3362">
        <v>7456.2961009999999</v>
      </c>
      <c r="R3362">
        <v>2.84</v>
      </c>
      <c r="S3362">
        <v>783562</v>
      </c>
      <c r="T3362">
        <v>38.963745000000003</v>
      </c>
      <c r="U3362">
        <v>35.243321999999999</v>
      </c>
    </row>
    <row r="3363" spans="1:21">
      <c r="A3363" t="s">
        <v>183</v>
      </c>
      <c r="B3363">
        <v>2006</v>
      </c>
      <c r="C3363">
        <v>15888.102999999999</v>
      </c>
      <c r="E3363">
        <v>131.65</v>
      </c>
      <c r="F3363">
        <v>0</v>
      </c>
      <c r="G3363">
        <v>44.52</v>
      </c>
      <c r="H3363">
        <v>25.271045999999998</v>
      </c>
      <c r="I3363">
        <v>192.47</v>
      </c>
      <c r="J3363">
        <v>14.23</v>
      </c>
      <c r="K3363">
        <v>110</v>
      </c>
      <c r="L3363">
        <v>99.960723999999999</v>
      </c>
      <c r="M3363">
        <v>93.1</v>
      </c>
      <c r="N3363">
        <v>11.456920999999999</v>
      </c>
      <c r="O3363">
        <v>240000</v>
      </c>
      <c r="P3363">
        <v>6.9479880859999996</v>
      </c>
      <c r="Q3363">
        <v>8101.8569239999997</v>
      </c>
      <c r="R3363">
        <v>2.94</v>
      </c>
      <c r="S3363">
        <v>783562</v>
      </c>
      <c r="T3363">
        <v>38.963745000000003</v>
      </c>
      <c r="U3363">
        <v>35.243321999999999</v>
      </c>
    </row>
    <row r="3364" spans="1:21">
      <c r="A3364" t="s">
        <v>183</v>
      </c>
      <c r="B3364">
        <v>2007</v>
      </c>
      <c r="C3364">
        <v>16664.893</v>
      </c>
      <c r="E3364">
        <v>154.94999999999999</v>
      </c>
      <c r="F3364">
        <v>0</v>
      </c>
      <c r="G3364">
        <v>36.46</v>
      </c>
      <c r="H3364">
        <v>19.048117000000001</v>
      </c>
      <c r="I3364">
        <v>196.24</v>
      </c>
      <c r="J3364">
        <v>12.48</v>
      </c>
      <c r="K3364">
        <v>110</v>
      </c>
      <c r="L3364">
        <v>99.923169999999999</v>
      </c>
      <c r="M3364">
        <v>93.4</v>
      </c>
      <c r="N3364">
        <v>8.7794895000000004</v>
      </c>
      <c r="O3364">
        <v>1640000</v>
      </c>
      <c r="P3364">
        <v>5.0435079319999998</v>
      </c>
      <c r="Q3364">
        <v>9791.8824499999992</v>
      </c>
      <c r="R3364">
        <v>3.02</v>
      </c>
      <c r="S3364">
        <v>783562</v>
      </c>
      <c r="T3364">
        <v>38.963745000000003</v>
      </c>
      <c r="U3364">
        <v>35.243321999999999</v>
      </c>
    </row>
    <row r="3365" spans="1:21">
      <c r="A3365" t="s">
        <v>183</v>
      </c>
      <c r="B3365">
        <v>2008</v>
      </c>
      <c r="C3365">
        <v>16521.768</v>
      </c>
      <c r="E3365">
        <v>163.89</v>
      </c>
      <c r="F3365">
        <v>0</v>
      </c>
      <c r="G3365">
        <v>34.42</v>
      </c>
      <c r="H3365">
        <v>17.356663000000001</v>
      </c>
      <c r="I3365">
        <v>203.48</v>
      </c>
      <c r="J3365">
        <v>12.53</v>
      </c>
      <c r="K3365">
        <v>110</v>
      </c>
      <c r="L3365">
        <v>99.880859999999998</v>
      </c>
      <c r="M3365">
        <v>93.7</v>
      </c>
      <c r="N3365">
        <v>8.2115989999999996</v>
      </c>
      <c r="O3365">
        <v>66710000</v>
      </c>
      <c r="P3365">
        <v>0.81502457299999997</v>
      </c>
      <c r="Q3365">
        <v>10941.17215</v>
      </c>
      <c r="R3365">
        <v>2.94</v>
      </c>
      <c r="S3365">
        <v>783562</v>
      </c>
      <c r="T3365">
        <v>38.963745000000003</v>
      </c>
      <c r="U3365">
        <v>35.243321999999999</v>
      </c>
    </row>
    <row r="3366" spans="1:21">
      <c r="A3366" t="s">
        <v>183</v>
      </c>
      <c r="B3366">
        <v>2009</v>
      </c>
      <c r="C3366">
        <v>16535.234</v>
      </c>
      <c r="E3366">
        <v>156.58000000000001</v>
      </c>
      <c r="F3366">
        <v>0</v>
      </c>
      <c r="G3366">
        <v>38.15</v>
      </c>
      <c r="H3366">
        <v>19.591229999999999</v>
      </c>
      <c r="I3366">
        <v>217.73</v>
      </c>
      <c r="J3366">
        <v>13.12</v>
      </c>
      <c r="K3366">
        <v>110</v>
      </c>
      <c r="L3366">
        <v>99.850876</v>
      </c>
      <c r="M3366">
        <v>93.9</v>
      </c>
      <c r="N3366">
        <v>8.9233440000000002</v>
      </c>
      <c r="O3366">
        <v>494550000</v>
      </c>
      <c r="P3366">
        <v>-4.8231539530000003</v>
      </c>
      <c r="Q3366">
        <v>9103.4740509999992</v>
      </c>
      <c r="R3366">
        <v>3.08</v>
      </c>
      <c r="S3366">
        <v>783562</v>
      </c>
      <c r="T3366">
        <v>38.963745000000003</v>
      </c>
      <c r="U3366">
        <v>35.243321999999999</v>
      </c>
    </row>
    <row r="3367" spans="1:21">
      <c r="A3367" t="s">
        <v>183</v>
      </c>
      <c r="B3367">
        <v>2010</v>
      </c>
      <c r="C3367">
        <v>17211.758000000002</v>
      </c>
      <c r="E3367">
        <v>155.34</v>
      </c>
      <c r="F3367">
        <v>0</v>
      </c>
      <c r="G3367">
        <v>55.72</v>
      </c>
      <c r="H3367">
        <v>26.400075999999999</v>
      </c>
      <c r="I3367">
        <v>240.14</v>
      </c>
      <c r="J3367">
        <v>14.21</v>
      </c>
      <c r="K3367">
        <v>110</v>
      </c>
      <c r="L3367">
        <v>100</v>
      </c>
      <c r="M3367">
        <v>94.2</v>
      </c>
      <c r="N3367">
        <v>12.280028</v>
      </c>
      <c r="O3367">
        <v>270520000</v>
      </c>
      <c r="P3367">
        <v>8.427104323</v>
      </c>
      <c r="Q3367">
        <v>10742.77498</v>
      </c>
      <c r="R3367">
        <v>3.06</v>
      </c>
      <c r="S3367">
        <v>783562</v>
      </c>
      <c r="T3367">
        <v>38.963745000000003</v>
      </c>
      <c r="U3367">
        <v>35.243321999999999</v>
      </c>
    </row>
    <row r="3368" spans="1:21">
      <c r="A3368" t="s">
        <v>183</v>
      </c>
      <c r="B3368">
        <v>2011</v>
      </c>
      <c r="C3368">
        <v>18146.143</v>
      </c>
      <c r="E3368">
        <v>171.19</v>
      </c>
      <c r="F3368">
        <v>0</v>
      </c>
      <c r="G3368">
        <v>58.09</v>
      </c>
      <c r="H3368">
        <v>25.335834999999999</v>
      </c>
      <c r="I3368">
        <v>259.87</v>
      </c>
      <c r="J3368">
        <v>12.68</v>
      </c>
      <c r="K3368">
        <v>110</v>
      </c>
      <c r="L3368">
        <v>100</v>
      </c>
      <c r="M3368">
        <v>94.3</v>
      </c>
      <c r="N3368">
        <v>11.913781999999999</v>
      </c>
      <c r="O3368">
        <v>801710000</v>
      </c>
      <c r="P3368">
        <v>11.20011058</v>
      </c>
      <c r="Q3368">
        <v>11420.55546</v>
      </c>
      <c r="R3368">
        <v>2.92</v>
      </c>
      <c r="S3368">
        <v>783562</v>
      </c>
      <c r="T3368">
        <v>38.963745000000003</v>
      </c>
      <c r="U3368">
        <v>35.243321999999999</v>
      </c>
    </row>
    <row r="3369" spans="1:21">
      <c r="A3369" t="s">
        <v>183</v>
      </c>
      <c r="B3369">
        <v>2012</v>
      </c>
      <c r="C3369">
        <v>18988.32</v>
      </c>
      <c r="E3369">
        <v>174.17</v>
      </c>
      <c r="F3369">
        <v>0</v>
      </c>
      <c r="G3369">
        <v>65.209999999999994</v>
      </c>
      <c r="H3369">
        <v>27.241205000000001</v>
      </c>
      <c r="I3369">
        <v>297.19</v>
      </c>
      <c r="J3369">
        <v>13.03</v>
      </c>
      <c r="K3369">
        <v>110</v>
      </c>
      <c r="L3369">
        <v>100</v>
      </c>
      <c r="M3369">
        <v>94.5</v>
      </c>
      <c r="N3369">
        <v>12.522766000000001</v>
      </c>
      <c r="O3369">
        <v>263710000</v>
      </c>
      <c r="P3369">
        <v>4.788492711</v>
      </c>
      <c r="Q3369">
        <v>11795.633459999999</v>
      </c>
      <c r="R3369">
        <v>2.92</v>
      </c>
      <c r="S3369">
        <v>783562</v>
      </c>
      <c r="T3369">
        <v>38.963745000000003</v>
      </c>
      <c r="U3369">
        <v>35.243321999999999</v>
      </c>
    </row>
    <row r="3370" spans="1:21">
      <c r="A3370" t="s">
        <v>183</v>
      </c>
      <c r="B3370">
        <v>2013</v>
      </c>
      <c r="C3370">
        <v>18532.307000000001</v>
      </c>
      <c r="E3370">
        <v>170.65</v>
      </c>
      <c r="F3370">
        <v>0</v>
      </c>
      <c r="G3370">
        <v>69.22</v>
      </c>
      <c r="H3370">
        <v>28.857298</v>
      </c>
      <c r="I3370">
        <v>336.52</v>
      </c>
      <c r="J3370">
        <v>13.8</v>
      </c>
      <c r="K3370">
        <v>110</v>
      </c>
      <c r="L3370">
        <v>100</v>
      </c>
      <c r="M3370">
        <v>94.7</v>
      </c>
      <c r="N3370">
        <v>13.313222</v>
      </c>
      <c r="O3370">
        <v>595990000</v>
      </c>
      <c r="P3370">
        <v>8.4858169970000006</v>
      </c>
      <c r="Q3370">
        <v>12614.78161</v>
      </c>
      <c r="R3370">
        <v>2.63</v>
      </c>
      <c r="S3370">
        <v>783562</v>
      </c>
      <c r="T3370">
        <v>38.963745000000003</v>
      </c>
      <c r="U3370">
        <v>35.243321999999999</v>
      </c>
    </row>
    <row r="3371" spans="1:21">
      <c r="A3371" t="s">
        <v>183</v>
      </c>
      <c r="B3371">
        <v>2014</v>
      </c>
      <c r="C3371">
        <v>18718.594000000001</v>
      </c>
      <c r="E3371">
        <v>199</v>
      </c>
      <c r="F3371">
        <v>0</v>
      </c>
      <c r="G3371">
        <v>52.62</v>
      </c>
      <c r="H3371">
        <v>20.912486999999999</v>
      </c>
      <c r="I3371">
        <v>361.78</v>
      </c>
      <c r="J3371">
        <v>11.51</v>
      </c>
      <c r="K3371">
        <v>110</v>
      </c>
      <c r="L3371">
        <v>100</v>
      </c>
      <c r="M3371">
        <v>94.8</v>
      </c>
      <c r="N3371">
        <v>9.7692270000000008</v>
      </c>
      <c r="O3371">
        <v>515970000</v>
      </c>
      <c r="P3371">
        <v>4.9397151609999996</v>
      </c>
      <c r="Q3371">
        <v>12157.99043</v>
      </c>
      <c r="R3371">
        <v>2.59</v>
      </c>
      <c r="S3371">
        <v>783562</v>
      </c>
      <c r="T3371">
        <v>38.963745000000003</v>
      </c>
      <c r="U3371">
        <v>35.243321999999999</v>
      </c>
    </row>
    <row r="3372" spans="1:21">
      <c r="A3372" t="s">
        <v>183</v>
      </c>
      <c r="B3372">
        <v>2015</v>
      </c>
      <c r="C3372">
        <v>20173.495999999999</v>
      </c>
      <c r="E3372">
        <v>177.64</v>
      </c>
      <c r="F3372">
        <v>0</v>
      </c>
      <c r="G3372">
        <v>83.65</v>
      </c>
      <c r="H3372">
        <v>32.014235999999997</v>
      </c>
      <c r="I3372">
        <v>401.33</v>
      </c>
      <c r="J3372">
        <v>13.34</v>
      </c>
      <c r="K3372">
        <v>110</v>
      </c>
      <c r="L3372">
        <v>100</v>
      </c>
      <c r="M3372">
        <v>94.9</v>
      </c>
      <c r="N3372">
        <v>14.063813</v>
      </c>
      <c r="O3372">
        <v>389350000</v>
      </c>
      <c r="P3372">
        <v>6.0844869040000003</v>
      </c>
      <c r="Q3372">
        <v>11006.27952</v>
      </c>
      <c r="R3372">
        <v>2.65</v>
      </c>
      <c r="S3372">
        <v>783562</v>
      </c>
      <c r="T3372">
        <v>38.963745000000003</v>
      </c>
      <c r="U3372">
        <v>35.243321999999999</v>
      </c>
    </row>
    <row r="3373" spans="1:21">
      <c r="A3373" t="s">
        <v>183</v>
      </c>
      <c r="B3373">
        <v>2016</v>
      </c>
      <c r="C3373">
        <v>20824.393</v>
      </c>
      <c r="E3373">
        <v>183.45</v>
      </c>
      <c r="F3373">
        <v>0</v>
      </c>
      <c r="G3373">
        <v>90.24</v>
      </c>
      <c r="H3373">
        <v>32.971609999999998</v>
      </c>
      <c r="I3373">
        <v>431.5</v>
      </c>
      <c r="J3373">
        <v>13.23</v>
      </c>
      <c r="K3373">
        <v>110</v>
      </c>
      <c r="L3373">
        <v>100</v>
      </c>
      <c r="M3373">
        <v>95.1</v>
      </c>
      <c r="N3373">
        <v>14.479533999999999</v>
      </c>
      <c r="O3373">
        <v>1364150000</v>
      </c>
      <c r="P3373">
        <v>3.323084208</v>
      </c>
      <c r="Q3373">
        <v>10894.60338</v>
      </c>
      <c r="R3373">
        <v>2.72</v>
      </c>
      <c r="S3373">
        <v>783562</v>
      </c>
      <c r="T3373">
        <v>38.963745000000003</v>
      </c>
      <c r="U3373">
        <v>35.243321999999999</v>
      </c>
    </row>
    <row r="3374" spans="1:21">
      <c r="A3374" t="s">
        <v>183</v>
      </c>
      <c r="B3374">
        <v>2017</v>
      </c>
      <c r="C3374">
        <v>21773.724999999999</v>
      </c>
      <c r="E3374">
        <v>209.19</v>
      </c>
      <c r="F3374">
        <v>0</v>
      </c>
      <c r="G3374">
        <v>87.24</v>
      </c>
      <c r="H3374">
        <v>29.430219999999998</v>
      </c>
      <c r="I3374">
        <v>477.67</v>
      </c>
      <c r="J3374">
        <v>11.4</v>
      </c>
      <c r="K3374">
        <v>110</v>
      </c>
      <c r="L3374">
        <v>100</v>
      </c>
      <c r="M3374">
        <v>95.2</v>
      </c>
      <c r="N3374">
        <v>13.170472</v>
      </c>
      <c r="O3374">
        <v>403600000</v>
      </c>
      <c r="P3374">
        <v>7.5019974889999999</v>
      </c>
      <c r="Q3374">
        <v>10589.667719999999</v>
      </c>
      <c r="R3374">
        <v>2.71</v>
      </c>
      <c r="S3374">
        <v>783562</v>
      </c>
      <c r="T3374">
        <v>38.963745000000003</v>
      </c>
      <c r="U3374">
        <v>35.243321999999999</v>
      </c>
    </row>
    <row r="3375" spans="1:21">
      <c r="A3375" t="s">
        <v>183</v>
      </c>
      <c r="B3375">
        <v>2018</v>
      </c>
      <c r="C3375">
        <v>21345.375</v>
      </c>
      <c r="E3375">
        <v>206.09</v>
      </c>
      <c r="F3375">
        <v>0</v>
      </c>
      <c r="G3375">
        <v>97.77</v>
      </c>
      <c r="H3375">
        <v>32.176003000000001</v>
      </c>
      <c r="I3375">
        <v>512.88</v>
      </c>
      <c r="J3375">
        <v>11.83</v>
      </c>
      <c r="K3375">
        <v>110</v>
      </c>
      <c r="L3375">
        <v>100</v>
      </c>
      <c r="M3375">
        <v>95.2</v>
      </c>
      <c r="N3375">
        <v>14.846624</v>
      </c>
      <c r="O3375">
        <v>1062530000</v>
      </c>
      <c r="P3375">
        <v>2.9798852349999998</v>
      </c>
      <c r="Q3375">
        <v>9454.3484430000008</v>
      </c>
      <c r="R3375">
        <v>2.59</v>
      </c>
      <c r="S3375">
        <v>783562</v>
      </c>
      <c r="T3375">
        <v>38.963745000000003</v>
      </c>
      <c r="U3375">
        <v>35.243321999999999</v>
      </c>
    </row>
    <row r="3376" spans="1:21">
      <c r="A3376" t="s">
        <v>183</v>
      </c>
      <c r="B3376">
        <v>2019</v>
      </c>
      <c r="C3376">
        <v>21973.062000000002</v>
      </c>
      <c r="E3376">
        <v>170.53</v>
      </c>
      <c r="F3376">
        <v>0</v>
      </c>
      <c r="G3376">
        <v>132.26</v>
      </c>
      <c r="H3376">
        <v>43.680435000000003</v>
      </c>
      <c r="I3376">
        <v>534.42999999999995</v>
      </c>
      <c r="J3376">
        <v>14.12</v>
      </c>
      <c r="K3376">
        <v>110</v>
      </c>
      <c r="L3376">
        <v>100</v>
      </c>
      <c r="M3376">
        <v>95.2</v>
      </c>
      <c r="N3376">
        <v>19.254936000000001</v>
      </c>
      <c r="O3376">
        <v>360120000</v>
      </c>
      <c r="P3376">
        <v>0.88958516099999996</v>
      </c>
      <c r="Q3376">
        <v>9121.5151669999996</v>
      </c>
      <c r="R3376">
        <v>2.61</v>
      </c>
      <c r="S3376">
        <v>783562</v>
      </c>
      <c r="T3376">
        <v>38.963745000000003</v>
      </c>
      <c r="U3376">
        <v>35.243321999999999</v>
      </c>
    </row>
    <row r="3377" spans="1:21">
      <c r="A3377" t="s">
        <v>183</v>
      </c>
      <c r="B3377">
        <v>2020</v>
      </c>
      <c r="C3377">
        <v>21435.07</v>
      </c>
      <c r="E3377">
        <v>177.08</v>
      </c>
      <c r="F3377">
        <v>0</v>
      </c>
      <c r="G3377">
        <v>128.34</v>
      </c>
      <c r="H3377">
        <v>42.020820000000001</v>
      </c>
      <c r="I3377">
        <v>585.71</v>
      </c>
      <c r="K3377">
        <v>110</v>
      </c>
      <c r="L3377">
        <v>100</v>
      </c>
      <c r="M3377">
        <v>95.2</v>
      </c>
      <c r="N3377">
        <v>19.150110000000002</v>
      </c>
      <c r="P3377">
        <v>1.793551396</v>
      </c>
      <c r="Q3377">
        <v>8536.4333200000001</v>
      </c>
      <c r="S3377">
        <v>783562</v>
      </c>
      <c r="T3377">
        <v>38.963745000000003</v>
      </c>
      <c r="U3377">
        <v>35.243321999999999</v>
      </c>
    </row>
    <row r="3378" spans="1:21">
      <c r="A3378" t="s">
        <v>184</v>
      </c>
      <c r="B3378">
        <v>2000</v>
      </c>
      <c r="C3378">
        <v>26223.863000000001</v>
      </c>
      <c r="D3378">
        <v>38510</v>
      </c>
      <c r="E3378">
        <v>9.25</v>
      </c>
      <c r="F3378">
        <v>0</v>
      </c>
      <c r="G3378">
        <v>0</v>
      </c>
      <c r="H3378">
        <v>0</v>
      </c>
      <c r="I3378">
        <v>0.27</v>
      </c>
      <c r="J3378">
        <v>0.09</v>
      </c>
      <c r="K3378">
        <v>13</v>
      </c>
      <c r="L3378">
        <v>99.6</v>
      </c>
      <c r="M3378">
        <v>99.4</v>
      </c>
      <c r="N3378">
        <v>7.7894369999999998E-3</v>
      </c>
      <c r="P3378">
        <v>5.4690641329999998</v>
      </c>
      <c r="Q3378">
        <v>643.19097539999996</v>
      </c>
      <c r="R3378">
        <v>29.85</v>
      </c>
      <c r="S3378">
        <v>488100</v>
      </c>
      <c r="T3378">
        <v>38.969718999999998</v>
      </c>
      <c r="U3378">
        <v>59.556277999999999</v>
      </c>
    </row>
    <row r="3379" spans="1:21">
      <c r="A3379" t="s">
        <v>184</v>
      </c>
      <c r="B3379">
        <v>2001</v>
      </c>
      <c r="C3379">
        <v>32628.65</v>
      </c>
      <c r="D3379">
        <v>39120</v>
      </c>
      <c r="E3379">
        <v>9.9700000000000006</v>
      </c>
      <c r="F3379">
        <v>0</v>
      </c>
      <c r="G3379">
        <v>0</v>
      </c>
      <c r="H3379">
        <v>0</v>
      </c>
      <c r="I3379">
        <v>0.26</v>
      </c>
      <c r="J3379">
        <v>0.09</v>
      </c>
      <c r="K3379">
        <v>13</v>
      </c>
      <c r="L3379">
        <v>99.73518</v>
      </c>
      <c r="M3379">
        <v>99.5</v>
      </c>
      <c r="N3379">
        <v>6.1345929999999998E-3</v>
      </c>
      <c r="P3379">
        <v>4.3438457140000004</v>
      </c>
      <c r="Q3379">
        <v>774.48215200000004</v>
      </c>
      <c r="R3379">
        <v>24.27</v>
      </c>
      <c r="S3379">
        <v>488100</v>
      </c>
      <c r="T3379">
        <v>38.969718999999998</v>
      </c>
      <c r="U3379">
        <v>59.556277999999999</v>
      </c>
    </row>
    <row r="3380" spans="1:21">
      <c r="A3380" t="s">
        <v>184</v>
      </c>
      <c r="B3380">
        <v>2002</v>
      </c>
      <c r="C3380">
        <v>27147.498</v>
      </c>
      <c r="D3380">
        <v>41409.99985</v>
      </c>
      <c r="E3380">
        <v>10.06</v>
      </c>
      <c r="F3380">
        <v>0</v>
      </c>
      <c r="G3380">
        <v>0</v>
      </c>
      <c r="H3380">
        <v>0</v>
      </c>
      <c r="I3380">
        <v>0.26</v>
      </c>
      <c r="J3380">
        <v>0.09</v>
      </c>
      <c r="K3380">
        <v>13</v>
      </c>
      <c r="L3380">
        <v>99.719189999999998</v>
      </c>
      <c r="M3380">
        <v>99.6</v>
      </c>
      <c r="N3380">
        <v>7.2076359999999999E-3</v>
      </c>
      <c r="P3380">
        <v>0.25717992499999998</v>
      </c>
      <c r="Q3380">
        <v>967.88743529999999</v>
      </c>
      <c r="R3380">
        <v>20.25</v>
      </c>
      <c r="S3380">
        <v>488100</v>
      </c>
      <c r="T3380">
        <v>38.969718999999998</v>
      </c>
      <c r="U3380">
        <v>59.556277999999999</v>
      </c>
    </row>
    <row r="3381" spans="1:21">
      <c r="A3381" t="s">
        <v>184</v>
      </c>
      <c r="B3381">
        <v>2003</v>
      </c>
      <c r="C3381">
        <v>37007.589999999997</v>
      </c>
      <c r="D3381">
        <v>46349.998469999999</v>
      </c>
      <c r="E3381">
        <v>10.15</v>
      </c>
      <c r="F3381">
        <v>0</v>
      </c>
      <c r="G3381">
        <v>0</v>
      </c>
      <c r="H3381">
        <v>0</v>
      </c>
      <c r="I3381">
        <v>0.26</v>
      </c>
      <c r="J3381">
        <v>0.08</v>
      </c>
      <c r="K3381">
        <v>13</v>
      </c>
      <c r="L3381">
        <v>99.697969999999998</v>
      </c>
      <c r="M3381">
        <v>99.6</v>
      </c>
      <c r="N3381">
        <v>5.1890469999999996E-3</v>
      </c>
      <c r="P3381">
        <v>3.2688285600000002</v>
      </c>
      <c r="Q3381">
        <v>1283.908782</v>
      </c>
      <c r="R3381">
        <v>27.14</v>
      </c>
      <c r="S3381">
        <v>488100</v>
      </c>
      <c r="T3381">
        <v>38.969718999999998</v>
      </c>
      <c r="U3381">
        <v>59.556277999999999</v>
      </c>
    </row>
    <row r="3382" spans="1:21">
      <c r="A3382" t="s">
        <v>184</v>
      </c>
      <c r="B3382">
        <v>2004</v>
      </c>
      <c r="C3382">
        <v>36185.508000000002</v>
      </c>
      <c r="D3382">
        <v>49369.998930000002</v>
      </c>
      <c r="E3382">
        <v>11.2</v>
      </c>
      <c r="F3382">
        <v>0</v>
      </c>
      <c r="G3382">
        <v>0</v>
      </c>
      <c r="H3382">
        <v>0</v>
      </c>
      <c r="I3382">
        <v>0.25</v>
      </c>
      <c r="J3382">
        <v>7.0000000000000007E-2</v>
      </c>
      <c r="K3382">
        <v>13</v>
      </c>
      <c r="L3382">
        <v>99.673850000000002</v>
      </c>
      <c r="M3382">
        <v>99.65</v>
      </c>
      <c r="N3382">
        <v>5.208135E-3</v>
      </c>
      <c r="P3382">
        <v>5.0004074379999999</v>
      </c>
      <c r="Q3382">
        <v>1453.917784</v>
      </c>
      <c r="R3382">
        <v>32.57</v>
      </c>
      <c r="S3382">
        <v>488100</v>
      </c>
      <c r="T3382">
        <v>38.969718999999998</v>
      </c>
      <c r="U3382">
        <v>59.556277999999999</v>
      </c>
    </row>
    <row r="3383" spans="1:21">
      <c r="A3383" t="s">
        <v>184</v>
      </c>
      <c r="B3383">
        <v>2005</v>
      </c>
      <c r="C3383">
        <v>36145.839999999997</v>
      </c>
      <c r="D3383">
        <v>50590.00015</v>
      </c>
      <c r="E3383">
        <v>12.05</v>
      </c>
      <c r="F3383">
        <v>0</v>
      </c>
      <c r="G3383">
        <v>0</v>
      </c>
      <c r="H3383">
        <v>0</v>
      </c>
      <c r="I3383">
        <v>0.25</v>
      </c>
      <c r="J3383">
        <v>7.0000000000000007E-2</v>
      </c>
      <c r="K3383">
        <v>13</v>
      </c>
      <c r="L3383">
        <v>99.649199999999993</v>
      </c>
      <c r="M3383">
        <v>99.7</v>
      </c>
      <c r="N3383">
        <v>5.111974E-3</v>
      </c>
      <c r="P3383">
        <v>13.034034869999999</v>
      </c>
      <c r="Q3383">
        <v>1704.4153799999999</v>
      </c>
      <c r="R3383">
        <v>28.09</v>
      </c>
      <c r="S3383">
        <v>488100</v>
      </c>
      <c r="T3383">
        <v>38.969718999999998</v>
      </c>
      <c r="U3383">
        <v>59.556277999999999</v>
      </c>
    </row>
    <row r="3384" spans="1:21">
      <c r="A3384" t="s">
        <v>184</v>
      </c>
      <c r="B3384">
        <v>2006</v>
      </c>
      <c r="C3384">
        <v>36023.754000000001</v>
      </c>
      <c r="D3384">
        <v>51919.998169999999</v>
      </c>
      <c r="E3384">
        <v>12.83</v>
      </c>
      <c r="F3384">
        <v>0</v>
      </c>
      <c r="G3384">
        <v>0</v>
      </c>
      <c r="H3384">
        <v>0</v>
      </c>
      <c r="I3384">
        <v>0.25</v>
      </c>
      <c r="J3384">
        <v>0.08</v>
      </c>
      <c r="K3384">
        <v>13</v>
      </c>
      <c r="L3384">
        <v>99.841329999999999</v>
      </c>
      <c r="M3384">
        <v>99.8</v>
      </c>
      <c r="N3384">
        <v>5.0275010000000002E-3</v>
      </c>
      <c r="P3384">
        <v>10.97330833</v>
      </c>
      <c r="Q3384">
        <v>2136.4721009999998</v>
      </c>
      <c r="R3384">
        <v>26.15</v>
      </c>
      <c r="S3384">
        <v>488100</v>
      </c>
      <c r="T3384">
        <v>38.969718999999998</v>
      </c>
      <c r="U3384">
        <v>59.556277999999999</v>
      </c>
    </row>
    <row r="3385" spans="1:21">
      <c r="A3385" t="s">
        <v>184</v>
      </c>
      <c r="B3385">
        <v>2007</v>
      </c>
      <c r="C3385">
        <v>34462.887000000002</v>
      </c>
      <c r="D3385">
        <v>58479.999539999997</v>
      </c>
      <c r="E3385">
        <v>13.98</v>
      </c>
      <c r="F3385">
        <v>0</v>
      </c>
      <c r="G3385">
        <v>0</v>
      </c>
      <c r="H3385">
        <v>0</v>
      </c>
      <c r="I3385">
        <v>0.25</v>
      </c>
      <c r="J3385">
        <v>7.0000000000000007E-2</v>
      </c>
      <c r="K3385">
        <v>13</v>
      </c>
      <c r="L3385">
        <v>99.608159999999998</v>
      </c>
      <c r="M3385">
        <v>99.8</v>
      </c>
      <c r="N3385">
        <v>5.1490099999999999E-3</v>
      </c>
      <c r="P3385">
        <v>11.059299469999999</v>
      </c>
      <c r="Q3385">
        <v>2600.3687580000001</v>
      </c>
      <c r="R3385">
        <v>23.34</v>
      </c>
      <c r="S3385">
        <v>488100</v>
      </c>
      <c r="T3385">
        <v>38.969718999999998</v>
      </c>
      <c r="U3385">
        <v>59.556277999999999</v>
      </c>
    </row>
    <row r="3386" spans="1:21">
      <c r="A3386" t="s">
        <v>184</v>
      </c>
      <c r="B3386">
        <v>2008</v>
      </c>
      <c r="C3386">
        <v>27853.562000000002</v>
      </c>
      <c r="D3386">
        <v>59279.998780000002</v>
      </c>
      <c r="E3386">
        <v>14.13</v>
      </c>
      <c r="F3386">
        <v>0</v>
      </c>
      <c r="G3386">
        <v>0</v>
      </c>
      <c r="H3386">
        <v>0</v>
      </c>
      <c r="I3386">
        <v>0.24</v>
      </c>
      <c r="J3386">
        <v>7.0000000000000007E-2</v>
      </c>
      <c r="K3386">
        <v>13</v>
      </c>
      <c r="L3386">
        <v>99.597139999999996</v>
      </c>
      <c r="M3386">
        <v>99.8</v>
      </c>
      <c r="N3386">
        <v>6.2377750000000001E-3</v>
      </c>
      <c r="P3386">
        <v>14.7</v>
      </c>
      <c r="Q3386">
        <v>3904.4653010000002</v>
      </c>
      <c r="R3386">
        <v>25.06</v>
      </c>
      <c r="S3386">
        <v>488100</v>
      </c>
      <c r="T3386">
        <v>38.969718999999998</v>
      </c>
      <c r="U3386">
        <v>59.556277999999999</v>
      </c>
    </row>
    <row r="3387" spans="1:21">
      <c r="A3387" t="s">
        <v>184</v>
      </c>
      <c r="B3387">
        <v>2009</v>
      </c>
      <c r="C3387">
        <v>44702.366999999998</v>
      </c>
      <c r="D3387">
        <v>52389.999389999997</v>
      </c>
      <c r="E3387">
        <v>15.02</v>
      </c>
      <c r="F3387">
        <v>0</v>
      </c>
      <c r="G3387">
        <v>0</v>
      </c>
      <c r="H3387">
        <v>0</v>
      </c>
      <c r="I3387">
        <v>0.24</v>
      </c>
      <c r="J3387">
        <v>0.08</v>
      </c>
      <c r="K3387">
        <v>13</v>
      </c>
      <c r="L3387">
        <v>99.596053999999995</v>
      </c>
      <c r="M3387">
        <v>99.8</v>
      </c>
      <c r="N3387">
        <v>3.8020329999999998E-3</v>
      </c>
      <c r="O3387">
        <v>30000</v>
      </c>
      <c r="P3387">
        <v>6.1000001150000003</v>
      </c>
      <c r="Q3387">
        <v>4036.4568049999998</v>
      </c>
      <c r="R3387">
        <v>20.74</v>
      </c>
      <c r="S3387">
        <v>488100</v>
      </c>
      <c r="T3387">
        <v>38.969718999999998</v>
      </c>
      <c r="U3387">
        <v>59.556277999999999</v>
      </c>
    </row>
    <row r="3388" spans="1:21">
      <c r="A3388" t="s">
        <v>184</v>
      </c>
      <c r="B3388">
        <v>2010</v>
      </c>
      <c r="C3388">
        <v>47374.233999999997</v>
      </c>
      <c r="D3388">
        <v>59180.000310000003</v>
      </c>
      <c r="E3388">
        <v>15.66</v>
      </c>
      <c r="F3388">
        <v>0</v>
      </c>
      <c r="G3388">
        <v>0</v>
      </c>
      <c r="H3388">
        <v>0</v>
      </c>
      <c r="I3388">
        <v>0.24</v>
      </c>
      <c r="J3388">
        <v>7.0000000000000007E-2</v>
      </c>
      <c r="K3388">
        <v>13</v>
      </c>
      <c r="L3388">
        <v>100</v>
      </c>
      <c r="M3388">
        <v>99.9</v>
      </c>
      <c r="N3388">
        <v>3.6830560000000001E-3</v>
      </c>
      <c r="P3388">
        <v>9.1999999880000001</v>
      </c>
      <c r="Q3388">
        <v>4439.2021279999999</v>
      </c>
      <c r="R3388">
        <v>21.67</v>
      </c>
      <c r="S3388">
        <v>488100</v>
      </c>
      <c r="T3388">
        <v>38.969718999999998</v>
      </c>
      <c r="U3388">
        <v>59.556277999999999</v>
      </c>
    </row>
    <row r="3389" spans="1:21">
      <c r="A3389" t="s">
        <v>184</v>
      </c>
      <c r="B3389">
        <v>2011</v>
      </c>
      <c r="C3389">
        <v>51670.953000000001</v>
      </c>
      <c r="D3389">
        <v>65449.996950000001</v>
      </c>
      <c r="E3389">
        <v>16.190000000000001</v>
      </c>
      <c r="F3389">
        <v>0</v>
      </c>
      <c r="G3389">
        <v>0</v>
      </c>
      <c r="H3389">
        <v>0</v>
      </c>
      <c r="I3389">
        <v>0.23</v>
      </c>
      <c r="J3389">
        <v>0.06</v>
      </c>
      <c r="K3389">
        <v>13</v>
      </c>
      <c r="L3389">
        <v>99.877409999999998</v>
      </c>
      <c r="M3389">
        <v>99.9</v>
      </c>
      <c r="N3389">
        <v>3.5940849999999999E-3</v>
      </c>
      <c r="P3389">
        <v>14.699999930000001</v>
      </c>
      <c r="Q3389">
        <v>5649.9621059999999</v>
      </c>
      <c r="R3389">
        <v>20.55</v>
      </c>
      <c r="S3389">
        <v>488100</v>
      </c>
      <c r="T3389">
        <v>38.969718999999998</v>
      </c>
      <c r="U3389">
        <v>59.556277999999999</v>
      </c>
    </row>
    <row r="3390" spans="1:21">
      <c r="A3390" t="s">
        <v>184</v>
      </c>
      <c r="B3390">
        <v>2012</v>
      </c>
      <c r="C3390">
        <v>55318.343999999997</v>
      </c>
      <c r="D3390">
        <v>69010.002139999997</v>
      </c>
      <c r="E3390">
        <v>16.68</v>
      </c>
      <c r="F3390">
        <v>0</v>
      </c>
      <c r="G3390">
        <v>0</v>
      </c>
      <c r="H3390">
        <v>0</v>
      </c>
      <c r="I3390">
        <v>0.23</v>
      </c>
      <c r="J3390">
        <v>0.05</v>
      </c>
      <c r="K3390">
        <v>13</v>
      </c>
      <c r="L3390">
        <v>99.895836000000003</v>
      </c>
      <c r="M3390">
        <v>99.9</v>
      </c>
      <c r="N3390">
        <v>3.752268E-3</v>
      </c>
      <c r="P3390">
        <v>11.09999996</v>
      </c>
      <c r="Q3390">
        <v>6675.1780550000003</v>
      </c>
      <c r="R3390">
        <v>19.149999999999999</v>
      </c>
      <c r="S3390">
        <v>488100</v>
      </c>
      <c r="T3390">
        <v>38.969718999999998</v>
      </c>
      <c r="U3390">
        <v>59.556277999999999</v>
      </c>
    </row>
    <row r="3391" spans="1:21">
      <c r="A3391" t="s">
        <v>184</v>
      </c>
      <c r="B3391">
        <v>2013</v>
      </c>
      <c r="C3391">
        <v>48244.71</v>
      </c>
      <c r="D3391">
        <v>70220.001220000006</v>
      </c>
      <c r="E3391">
        <v>17.739999999999998</v>
      </c>
      <c r="F3391">
        <v>0</v>
      </c>
      <c r="G3391">
        <v>0</v>
      </c>
      <c r="H3391">
        <v>0</v>
      </c>
      <c r="I3391">
        <v>0.22</v>
      </c>
      <c r="J3391">
        <v>0.06</v>
      </c>
      <c r="K3391">
        <v>13</v>
      </c>
      <c r="L3391">
        <v>99.912093999999996</v>
      </c>
      <c r="M3391">
        <v>99.9</v>
      </c>
      <c r="N3391">
        <v>5.0741270000000003E-3</v>
      </c>
      <c r="O3391">
        <v>5940000</v>
      </c>
      <c r="P3391">
        <v>10.2000001</v>
      </c>
      <c r="Q3391">
        <v>7304.2857709999998</v>
      </c>
      <c r="R3391">
        <v>17.829999999999998</v>
      </c>
      <c r="S3391">
        <v>488100</v>
      </c>
      <c r="T3391">
        <v>38.969718999999998</v>
      </c>
      <c r="U3391">
        <v>59.556277999999999</v>
      </c>
    </row>
    <row r="3392" spans="1:21">
      <c r="A3392" t="s">
        <v>184</v>
      </c>
      <c r="B3392">
        <v>2014</v>
      </c>
      <c r="C3392">
        <v>49096.004000000001</v>
      </c>
      <c r="D3392">
        <v>71400.001529999994</v>
      </c>
      <c r="E3392">
        <v>19.18</v>
      </c>
      <c r="F3392">
        <v>0</v>
      </c>
      <c r="G3392">
        <v>0</v>
      </c>
      <c r="H3392">
        <v>0</v>
      </c>
      <c r="I3392">
        <v>0.22</v>
      </c>
      <c r="J3392">
        <v>0.05</v>
      </c>
      <c r="K3392">
        <v>13</v>
      </c>
      <c r="L3392">
        <v>99.935103999999995</v>
      </c>
      <c r="M3392">
        <v>99.9</v>
      </c>
      <c r="N3392">
        <v>6.1142619999999996E-3</v>
      </c>
      <c r="O3392">
        <v>50000</v>
      </c>
      <c r="P3392">
        <v>10.29999997</v>
      </c>
      <c r="Q3392">
        <v>7962.244925</v>
      </c>
      <c r="R3392">
        <v>16.5</v>
      </c>
      <c r="S3392">
        <v>488100</v>
      </c>
      <c r="T3392">
        <v>38.969718999999998</v>
      </c>
      <c r="U3392">
        <v>59.556277999999999</v>
      </c>
    </row>
    <row r="3393" spans="1:21">
      <c r="A3393" t="s">
        <v>184</v>
      </c>
      <c r="B3393">
        <v>2015</v>
      </c>
      <c r="C3393">
        <v>57717.438000000002</v>
      </c>
      <c r="D3393">
        <v>73400.001529999994</v>
      </c>
      <c r="E3393">
        <v>21.18</v>
      </c>
      <c r="F3393">
        <v>0</v>
      </c>
      <c r="G3393">
        <v>0</v>
      </c>
      <c r="H3393">
        <v>0</v>
      </c>
      <c r="I3393">
        <v>0.22</v>
      </c>
      <c r="J3393">
        <v>0.05</v>
      </c>
      <c r="K3393">
        <v>13</v>
      </c>
      <c r="L3393">
        <v>100</v>
      </c>
      <c r="M3393">
        <v>99.9</v>
      </c>
      <c r="N3393">
        <v>6.7770340000000004E-3</v>
      </c>
      <c r="O3393">
        <v>120000</v>
      </c>
      <c r="P3393">
        <v>6.4999999099999997</v>
      </c>
      <c r="Q3393">
        <v>6432.6853250000004</v>
      </c>
      <c r="R3393">
        <v>16</v>
      </c>
      <c r="S3393">
        <v>488100</v>
      </c>
      <c r="T3393">
        <v>38.969718999999998</v>
      </c>
      <c r="U3393">
        <v>59.556277999999999</v>
      </c>
    </row>
    <row r="3394" spans="1:21">
      <c r="A3394" t="s">
        <v>184</v>
      </c>
      <c r="B3394">
        <v>2016</v>
      </c>
      <c r="C3394">
        <v>56153.7</v>
      </c>
      <c r="D3394">
        <v>73339.996339999998</v>
      </c>
      <c r="E3394">
        <v>21.18</v>
      </c>
      <c r="F3394">
        <v>0</v>
      </c>
      <c r="G3394">
        <v>0</v>
      </c>
      <c r="H3394">
        <v>0</v>
      </c>
      <c r="I3394">
        <v>0.21</v>
      </c>
      <c r="J3394">
        <v>0.05</v>
      </c>
      <c r="K3394">
        <v>13</v>
      </c>
      <c r="L3394">
        <v>99.989900000000006</v>
      </c>
      <c r="M3394">
        <v>99.9</v>
      </c>
      <c r="N3394">
        <v>8.2353400000000007E-3</v>
      </c>
      <c r="O3394">
        <v>80000</v>
      </c>
      <c r="P3394">
        <v>6.199999966</v>
      </c>
      <c r="Q3394">
        <v>6387.6825749999998</v>
      </c>
      <c r="R3394">
        <v>15.04</v>
      </c>
      <c r="S3394">
        <v>488100</v>
      </c>
      <c r="T3394">
        <v>38.969718999999998</v>
      </c>
      <c r="U3394">
        <v>59.556277999999999</v>
      </c>
    </row>
    <row r="3395" spans="1:21">
      <c r="A3395" t="s">
        <v>184</v>
      </c>
      <c r="B3395">
        <v>2017</v>
      </c>
      <c r="C3395">
        <v>54625.52</v>
      </c>
      <c r="D3395">
        <v>73120.00275</v>
      </c>
      <c r="E3395">
        <v>21.18</v>
      </c>
      <c r="F3395">
        <v>0</v>
      </c>
      <c r="G3395">
        <v>0</v>
      </c>
      <c r="H3395">
        <v>0</v>
      </c>
      <c r="I3395">
        <v>0.21</v>
      </c>
      <c r="J3395">
        <v>0.06</v>
      </c>
      <c r="K3395">
        <v>13</v>
      </c>
      <c r="L3395">
        <v>99.996250000000003</v>
      </c>
      <c r="M3395">
        <v>99.9</v>
      </c>
      <c r="N3395">
        <v>8.2540310000000002E-3</v>
      </c>
      <c r="O3395">
        <v>60000</v>
      </c>
      <c r="P3395">
        <v>6.5000000470000003</v>
      </c>
      <c r="Q3395">
        <v>6587.0926040000004</v>
      </c>
      <c r="R3395">
        <v>14.13</v>
      </c>
      <c r="S3395">
        <v>488100</v>
      </c>
      <c r="T3395">
        <v>38.969718999999998</v>
      </c>
      <c r="U3395">
        <v>59.556277999999999</v>
      </c>
    </row>
    <row r="3396" spans="1:21">
      <c r="A3396" t="s">
        <v>184</v>
      </c>
      <c r="B3396">
        <v>2018</v>
      </c>
      <c r="C3396">
        <v>59849.832000000002</v>
      </c>
      <c r="D3396">
        <v>73050.003049999999</v>
      </c>
      <c r="E3396">
        <v>21.18</v>
      </c>
      <c r="F3396">
        <v>0</v>
      </c>
      <c r="G3396">
        <v>0</v>
      </c>
      <c r="H3396">
        <v>0</v>
      </c>
      <c r="I3396">
        <v>0.2</v>
      </c>
      <c r="J3396">
        <v>0.06</v>
      </c>
      <c r="K3396">
        <v>13</v>
      </c>
      <c r="L3396">
        <v>100</v>
      </c>
      <c r="M3396">
        <v>99.9</v>
      </c>
      <c r="N3396">
        <v>7.3683459999999996E-3</v>
      </c>
      <c r="O3396">
        <v>0</v>
      </c>
      <c r="P3396">
        <v>6.1999999409999997</v>
      </c>
      <c r="Q3396">
        <v>6967.375043</v>
      </c>
      <c r="R3396">
        <v>13.33</v>
      </c>
      <c r="S3396">
        <v>488100</v>
      </c>
      <c r="T3396">
        <v>38.969718999999998</v>
      </c>
      <c r="U3396">
        <v>59.556277999999999</v>
      </c>
    </row>
    <row r="3397" spans="1:21">
      <c r="A3397" t="s">
        <v>184</v>
      </c>
      <c r="B3397">
        <v>2019</v>
      </c>
      <c r="C3397">
        <v>57961.055</v>
      </c>
      <c r="D3397">
        <v>72870.00275</v>
      </c>
      <c r="E3397">
        <v>21.18</v>
      </c>
      <c r="F3397">
        <v>0</v>
      </c>
      <c r="G3397">
        <v>0</v>
      </c>
      <c r="H3397">
        <v>0</v>
      </c>
      <c r="I3397">
        <v>0.2</v>
      </c>
      <c r="J3397">
        <v>0.06</v>
      </c>
      <c r="K3397">
        <v>13</v>
      </c>
      <c r="L3397">
        <v>99.9</v>
      </c>
      <c r="M3397">
        <v>99.9</v>
      </c>
      <c r="N3397">
        <v>6.7476879999999999E-3</v>
      </c>
      <c r="O3397">
        <v>40000</v>
      </c>
      <c r="P3397">
        <v>6.3</v>
      </c>
      <c r="Q3397">
        <v>7612.0351799999999</v>
      </c>
      <c r="R3397">
        <v>12.87</v>
      </c>
      <c r="S3397">
        <v>488100</v>
      </c>
      <c r="T3397">
        <v>38.969718999999998</v>
      </c>
      <c r="U3397">
        <v>59.556277999999999</v>
      </c>
    </row>
    <row r="3398" spans="1:21">
      <c r="A3398" t="s">
        <v>184</v>
      </c>
      <c r="B3398">
        <v>2020</v>
      </c>
      <c r="C3398">
        <v>67626.92</v>
      </c>
      <c r="E3398">
        <v>20.11</v>
      </c>
      <c r="F3398">
        <v>0</v>
      </c>
      <c r="G3398">
        <v>0</v>
      </c>
      <c r="H3398">
        <v>0</v>
      </c>
      <c r="I3398">
        <v>0.2</v>
      </c>
      <c r="K3398">
        <v>13</v>
      </c>
      <c r="L3398">
        <v>100</v>
      </c>
      <c r="M3398">
        <v>99.9</v>
      </c>
      <c r="N3398">
        <v>7.1611469999999997E-3</v>
      </c>
      <c r="S3398">
        <v>488100</v>
      </c>
      <c r="T3398">
        <v>38.969718999999998</v>
      </c>
      <c r="U3398">
        <v>59.556277999999999</v>
      </c>
    </row>
    <row r="3399" spans="1:21">
      <c r="A3399" t="s">
        <v>185</v>
      </c>
      <c r="B3399">
        <v>2000</v>
      </c>
      <c r="C3399">
        <v>0</v>
      </c>
      <c r="D3399">
        <v>10</v>
      </c>
      <c r="I3399">
        <v>0.64</v>
      </c>
      <c r="J3399">
        <v>0</v>
      </c>
      <c r="K3399">
        <v>393</v>
      </c>
      <c r="L3399">
        <v>94.630679999999998</v>
      </c>
      <c r="M3399">
        <v>16.100000000000001</v>
      </c>
      <c r="P3399">
        <v>-0.97059981399999995</v>
      </c>
      <c r="Q3399">
        <v>1463.166211</v>
      </c>
      <c r="R3399">
        <v>3.46</v>
      </c>
      <c r="S3399">
        <v>26</v>
      </c>
      <c r="T3399">
        <v>-7.1095350000000002</v>
      </c>
      <c r="U3399">
        <v>177.64932999999999</v>
      </c>
    </row>
    <row r="3400" spans="1:21">
      <c r="A3400" t="s">
        <v>185</v>
      </c>
      <c r="B3400">
        <v>2001</v>
      </c>
      <c r="C3400">
        <v>0</v>
      </c>
      <c r="D3400">
        <v>10</v>
      </c>
      <c r="I3400">
        <v>0.63</v>
      </c>
      <c r="J3400">
        <v>0</v>
      </c>
      <c r="K3400">
        <v>393</v>
      </c>
      <c r="L3400">
        <v>94.835819999999998</v>
      </c>
      <c r="M3400">
        <v>17.75</v>
      </c>
      <c r="P3400">
        <v>1.634107644</v>
      </c>
      <c r="Q3400">
        <v>1392.3343480000001</v>
      </c>
      <c r="R3400">
        <v>4.1900000000000004</v>
      </c>
      <c r="S3400">
        <v>26</v>
      </c>
      <c r="T3400">
        <v>-7.1095350000000002</v>
      </c>
      <c r="U3400">
        <v>177.64932999999999</v>
      </c>
    </row>
    <row r="3401" spans="1:21">
      <c r="A3401" t="s">
        <v>185</v>
      </c>
      <c r="B3401">
        <v>2002</v>
      </c>
      <c r="C3401">
        <v>0</v>
      </c>
      <c r="D3401">
        <v>9.9999997759999992</v>
      </c>
      <c r="I3401">
        <v>0.62</v>
      </c>
      <c r="J3401">
        <v>0</v>
      </c>
      <c r="K3401">
        <v>393</v>
      </c>
      <c r="L3401">
        <v>94.629779999999997</v>
      </c>
      <c r="M3401">
        <v>19.8</v>
      </c>
      <c r="P3401">
        <v>7.886174359</v>
      </c>
      <c r="Q3401">
        <v>1610.6530009999999</v>
      </c>
      <c r="R3401">
        <v>3.64</v>
      </c>
      <c r="S3401">
        <v>26</v>
      </c>
      <c r="T3401">
        <v>-7.1095350000000002</v>
      </c>
      <c r="U3401">
        <v>177.64932999999999</v>
      </c>
    </row>
    <row r="3402" spans="1:21">
      <c r="A3402" t="s">
        <v>185</v>
      </c>
      <c r="B3402">
        <v>2003</v>
      </c>
      <c r="C3402">
        <v>0</v>
      </c>
      <c r="D3402">
        <v>9.9999997759999992</v>
      </c>
      <c r="I3402">
        <v>0.62</v>
      </c>
      <c r="J3402">
        <v>0</v>
      </c>
      <c r="K3402">
        <v>393</v>
      </c>
      <c r="L3402">
        <v>95.225716000000006</v>
      </c>
      <c r="M3402">
        <v>22.4</v>
      </c>
      <c r="P3402">
        <v>-3.3335365330000002</v>
      </c>
      <c r="Q3402">
        <v>1874.8538189999999</v>
      </c>
      <c r="R3402">
        <v>3.51</v>
      </c>
      <c r="S3402">
        <v>26</v>
      </c>
      <c r="T3402">
        <v>-7.1095350000000002</v>
      </c>
      <c r="U3402">
        <v>177.64932999999999</v>
      </c>
    </row>
    <row r="3403" spans="1:21">
      <c r="A3403" t="s">
        <v>185</v>
      </c>
      <c r="B3403">
        <v>2004</v>
      </c>
      <c r="C3403">
        <v>0</v>
      </c>
      <c r="D3403">
        <v>9.9999997759999992</v>
      </c>
      <c r="I3403">
        <v>0.61</v>
      </c>
      <c r="J3403">
        <v>0</v>
      </c>
      <c r="K3403">
        <v>393</v>
      </c>
      <c r="L3403">
        <v>95.41516</v>
      </c>
      <c r="M3403">
        <v>25.3</v>
      </c>
      <c r="P3403">
        <v>-1.352181114</v>
      </c>
      <c r="Q3403">
        <v>2181.6362690000001</v>
      </c>
      <c r="R3403">
        <v>3.44</v>
      </c>
      <c r="S3403">
        <v>26</v>
      </c>
      <c r="T3403">
        <v>-7.1095350000000002</v>
      </c>
      <c r="U3403">
        <v>177.64932999999999</v>
      </c>
    </row>
    <row r="3404" spans="1:21">
      <c r="A3404" t="s">
        <v>185</v>
      </c>
      <c r="B3404">
        <v>2005</v>
      </c>
      <c r="C3404">
        <v>0</v>
      </c>
      <c r="D3404">
        <v>9.9999997759999992</v>
      </c>
      <c r="I3404">
        <v>0.6</v>
      </c>
      <c r="J3404">
        <v>0</v>
      </c>
      <c r="K3404">
        <v>393</v>
      </c>
      <c r="L3404">
        <v>95.604069999999993</v>
      </c>
      <c r="M3404">
        <v>28.2</v>
      </c>
      <c r="P3404">
        <v>-3.7797299620000002</v>
      </c>
      <c r="Q3404">
        <v>2184.565259</v>
      </c>
      <c r="R3404">
        <v>3.57</v>
      </c>
      <c r="S3404">
        <v>26</v>
      </c>
      <c r="T3404">
        <v>-7.1095350000000002</v>
      </c>
      <c r="U3404">
        <v>177.64932999999999</v>
      </c>
    </row>
    <row r="3405" spans="1:21">
      <c r="A3405" t="s">
        <v>185</v>
      </c>
      <c r="B3405">
        <v>2006</v>
      </c>
      <c r="C3405">
        <v>0</v>
      </c>
      <c r="D3405">
        <v>9.9999997759999992</v>
      </c>
      <c r="I3405">
        <v>0.59</v>
      </c>
      <c r="J3405">
        <v>0</v>
      </c>
      <c r="K3405">
        <v>393</v>
      </c>
      <c r="L3405">
        <v>95.794846000000007</v>
      </c>
      <c r="M3405">
        <v>31.4</v>
      </c>
      <c r="P3405">
        <v>2.1389383290000001</v>
      </c>
      <c r="Q3405">
        <v>2263.5759480000002</v>
      </c>
      <c r="R3405">
        <v>4.67</v>
      </c>
      <c r="S3405">
        <v>26</v>
      </c>
      <c r="T3405">
        <v>-7.1095350000000002</v>
      </c>
      <c r="U3405">
        <v>177.64932999999999</v>
      </c>
    </row>
    <row r="3406" spans="1:21">
      <c r="A3406" t="s">
        <v>185</v>
      </c>
      <c r="B3406">
        <v>2007</v>
      </c>
      <c r="C3406">
        <v>0</v>
      </c>
      <c r="D3406">
        <v>9.9999997759999992</v>
      </c>
      <c r="I3406">
        <v>0.59</v>
      </c>
      <c r="J3406">
        <v>0</v>
      </c>
      <c r="K3406">
        <v>393</v>
      </c>
      <c r="L3406">
        <v>96.7</v>
      </c>
      <c r="M3406">
        <v>35.799999999999997</v>
      </c>
      <c r="P3406">
        <v>6.3505648749999999</v>
      </c>
      <c r="Q3406">
        <v>2645.1095049999999</v>
      </c>
      <c r="R3406">
        <v>5.23</v>
      </c>
      <c r="S3406">
        <v>26</v>
      </c>
      <c r="T3406">
        <v>-7.1095350000000002</v>
      </c>
      <c r="U3406">
        <v>177.64932999999999</v>
      </c>
    </row>
    <row r="3407" spans="1:21">
      <c r="A3407" t="s">
        <v>185</v>
      </c>
      <c r="B3407">
        <v>2008</v>
      </c>
      <c r="C3407">
        <v>0</v>
      </c>
      <c r="D3407">
        <v>9.9999997759999992</v>
      </c>
      <c r="I3407">
        <v>2.52</v>
      </c>
      <c r="J3407">
        <v>0</v>
      </c>
      <c r="K3407">
        <v>393</v>
      </c>
      <c r="L3407">
        <v>96.192679999999996</v>
      </c>
      <c r="M3407">
        <v>40.9</v>
      </c>
      <c r="O3407">
        <v>30000</v>
      </c>
      <c r="P3407">
        <v>7.9832609049999999</v>
      </c>
      <c r="Q3407">
        <v>2936.5215469999998</v>
      </c>
      <c r="R3407">
        <v>3.5</v>
      </c>
      <c r="S3407">
        <v>26</v>
      </c>
      <c r="T3407">
        <v>-7.1095350000000002</v>
      </c>
      <c r="U3407">
        <v>177.64932999999999</v>
      </c>
    </row>
    <row r="3408" spans="1:21">
      <c r="A3408" t="s">
        <v>185</v>
      </c>
      <c r="B3408">
        <v>2009</v>
      </c>
      <c r="C3408">
        <v>0</v>
      </c>
      <c r="D3408">
        <v>9.9999997759999992</v>
      </c>
      <c r="I3408">
        <v>20.07</v>
      </c>
      <c r="J3408">
        <v>0</v>
      </c>
      <c r="K3408">
        <v>393</v>
      </c>
      <c r="L3408">
        <v>96.405150000000006</v>
      </c>
      <c r="M3408">
        <v>44.65</v>
      </c>
      <c r="O3408">
        <v>10000</v>
      </c>
      <c r="P3408">
        <v>-4.4328513940000001</v>
      </c>
      <c r="Q3408">
        <v>2602.6194439999999</v>
      </c>
      <c r="R3408">
        <v>4.13</v>
      </c>
      <c r="S3408">
        <v>26</v>
      </c>
      <c r="T3408">
        <v>-7.1095350000000002</v>
      </c>
      <c r="U3408">
        <v>177.64932999999999</v>
      </c>
    </row>
    <row r="3409" spans="1:21">
      <c r="A3409" t="s">
        <v>185</v>
      </c>
      <c r="B3409">
        <v>2010</v>
      </c>
      <c r="C3409">
        <v>0</v>
      </c>
      <c r="D3409">
        <v>9.9999997759999992</v>
      </c>
      <c r="I3409">
        <v>19.86</v>
      </c>
      <c r="J3409">
        <v>0.26</v>
      </c>
      <c r="K3409">
        <v>393</v>
      </c>
      <c r="L3409">
        <v>96.630269999999996</v>
      </c>
      <c r="M3409">
        <v>48.55</v>
      </c>
      <c r="O3409">
        <v>530000</v>
      </c>
      <c r="P3409">
        <v>-2.7294279119999998</v>
      </c>
      <c r="Q3409">
        <v>3024.7617740000001</v>
      </c>
      <c r="R3409">
        <v>3.88</v>
      </c>
      <c r="S3409">
        <v>26</v>
      </c>
      <c r="T3409">
        <v>-7.1095350000000002</v>
      </c>
      <c r="U3409">
        <v>177.64932999999999</v>
      </c>
    </row>
    <row r="3410" spans="1:21">
      <c r="A3410" t="s">
        <v>185</v>
      </c>
      <c r="B3410">
        <v>2011</v>
      </c>
      <c r="C3410">
        <v>0</v>
      </c>
      <c r="D3410">
        <v>9.9999997759999992</v>
      </c>
      <c r="I3410">
        <v>19.95</v>
      </c>
      <c r="J3410">
        <v>0.26</v>
      </c>
      <c r="K3410">
        <v>393</v>
      </c>
      <c r="L3410">
        <v>96.870750000000001</v>
      </c>
      <c r="M3410">
        <v>52.9</v>
      </c>
      <c r="O3410">
        <v>10000</v>
      </c>
      <c r="P3410">
        <v>7.515954206</v>
      </c>
      <c r="Q3410">
        <v>3643.1216079999999</v>
      </c>
      <c r="R3410">
        <v>3.84</v>
      </c>
      <c r="S3410">
        <v>26</v>
      </c>
      <c r="T3410">
        <v>-7.1095350000000002</v>
      </c>
      <c r="U3410">
        <v>177.64932999999999</v>
      </c>
    </row>
    <row r="3411" spans="1:21">
      <c r="A3411" t="s">
        <v>185</v>
      </c>
      <c r="B3411">
        <v>2012</v>
      </c>
      <c r="C3411">
        <v>0</v>
      </c>
      <c r="D3411">
        <v>9.9999997759999992</v>
      </c>
      <c r="I3411">
        <v>19.73</v>
      </c>
      <c r="J3411">
        <v>0.31</v>
      </c>
      <c r="K3411">
        <v>393</v>
      </c>
      <c r="L3411">
        <v>97.671775999999994</v>
      </c>
      <c r="M3411">
        <v>56.6</v>
      </c>
      <c r="O3411">
        <v>2320000</v>
      </c>
      <c r="P3411">
        <v>-3.8357488210000001</v>
      </c>
      <c r="Q3411">
        <v>3506.3081440000001</v>
      </c>
      <c r="R3411">
        <v>3.75</v>
      </c>
      <c r="S3411">
        <v>26</v>
      </c>
      <c r="T3411">
        <v>-7.1095350000000002</v>
      </c>
      <c r="U3411">
        <v>177.64932999999999</v>
      </c>
    </row>
    <row r="3412" spans="1:21">
      <c r="A3412" t="s">
        <v>185</v>
      </c>
      <c r="B3412">
        <v>2013</v>
      </c>
      <c r="C3412">
        <v>0</v>
      </c>
      <c r="D3412">
        <v>9.9999997759999992</v>
      </c>
      <c r="I3412">
        <v>19.54</v>
      </c>
      <c r="J3412">
        <v>0.83</v>
      </c>
      <c r="K3412">
        <v>393</v>
      </c>
      <c r="L3412">
        <v>97.407679999999999</v>
      </c>
      <c r="M3412">
        <v>59.5</v>
      </c>
      <c r="O3412">
        <v>4760000</v>
      </c>
      <c r="P3412">
        <v>4.5768237039999997</v>
      </c>
      <c r="Q3412">
        <v>3457.3762660000002</v>
      </c>
      <c r="R3412">
        <v>3.26</v>
      </c>
      <c r="S3412">
        <v>26</v>
      </c>
      <c r="T3412">
        <v>-7.1095350000000002</v>
      </c>
      <c r="U3412">
        <v>177.64932999999999</v>
      </c>
    </row>
    <row r="3413" spans="1:21">
      <c r="A3413" t="s">
        <v>185</v>
      </c>
      <c r="B3413">
        <v>2014</v>
      </c>
      <c r="C3413">
        <v>0</v>
      </c>
      <c r="D3413">
        <v>9.9999997759999992</v>
      </c>
      <c r="I3413">
        <v>25.33</v>
      </c>
      <c r="J3413">
        <v>0.8</v>
      </c>
      <c r="K3413">
        <v>393</v>
      </c>
      <c r="L3413">
        <v>97.703860000000006</v>
      </c>
      <c r="M3413">
        <v>62.4</v>
      </c>
      <c r="O3413">
        <v>20310000</v>
      </c>
      <c r="P3413">
        <v>1.348012682</v>
      </c>
      <c r="Q3413">
        <v>3398.3967499999999</v>
      </c>
      <c r="R3413">
        <v>3.1</v>
      </c>
      <c r="S3413">
        <v>26</v>
      </c>
      <c r="T3413">
        <v>-7.1095350000000002</v>
      </c>
      <c r="U3413">
        <v>177.64932999999999</v>
      </c>
    </row>
    <row r="3414" spans="1:21">
      <c r="A3414" t="s">
        <v>185</v>
      </c>
      <c r="B3414">
        <v>2015</v>
      </c>
      <c r="C3414">
        <v>0</v>
      </c>
      <c r="D3414">
        <v>9.9999997759999992</v>
      </c>
      <c r="I3414">
        <v>185.96</v>
      </c>
      <c r="J3414">
        <v>3.88</v>
      </c>
      <c r="K3414">
        <v>393</v>
      </c>
      <c r="L3414">
        <v>98.014885000000007</v>
      </c>
      <c r="M3414">
        <v>64.2</v>
      </c>
      <c r="O3414">
        <v>8560000</v>
      </c>
      <c r="P3414">
        <v>9.1428939329999999</v>
      </c>
      <c r="Q3414">
        <v>3197.7722520000002</v>
      </c>
      <c r="R3414">
        <v>2.64</v>
      </c>
      <c r="S3414">
        <v>26</v>
      </c>
      <c r="T3414">
        <v>-7.1095350000000002</v>
      </c>
      <c r="U3414">
        <v>177.64932999999999</v>
      </c>
    </row>
    <row r="3415" spans="1:21">
      <c r="A3415" t="s">
        <v>185</v>
      </c>
      <c r="B3415">
        <v>2016</v>
      </c>
      <c r="C3415">
        <v>0</v>
      </c>
      <c r="D3415">
        <v>9.9999997759999992</v>
      </c>
      <c r="I3415">
        <v>197.83</v>
      </c>
      <c r="J3415">
        <v>9.4600000000000009</v>
      </c>
      <c r="K3415">
        <v>393</v>
      </c>
      <c r="L3415">
        <v>97.3</v>
      </c>
      <c r="M3415">
        <v>65.5</v>
      </c>
      <c r="P3415">
        <v>3.0347231529999998</v>
      </c>
      <c r="Q3415">
        <v>3253.8995359999999</v>
      </c>
      <c r="R3415">
        <v>2.56</v>
      </c>
      <c r="S3415">
        <v>26</v>
      </c>
      <c r="T3415">
        <v>-7.1095350000000002</v>
      </c>
      <c r="U3415">
        <v>177.64932999999999</v>
      </c>
    </row>
    <row r="3416" spans="1:21">
      <c r="A3416" t="s">
        <v>185</v>
      </c>
      <c r="B3416">
        <v>2017</v>
      </c>
      <c r="C3416">
        <v>0</v>
      </c>
      <c r="D3416">
        <v>9.9999997759999992</v>
      </c>
      <c r="I3416">
        <v>195.95</v>
      </c>
      <c r="J3416">
        <v>8.74</v>
      </c>
      <c r="K3416">
        <v>393</v>
      </c>
      <c r="L3416">
        <v>98.853836000000001</v>
      </c>
      <c r="M3416">
        <v>67.55</v>
      </c>
      <c r="P3416">
        <v>4.0940177169999998</v>
      </c>
      <c r="Q3416">
        <v>3574.0652879999998</v>
      </c>
      <c r="R3416">
        <v>2.5499999999999998</v>
      </c>
      <c r="S3416">
        <v>26</v>
      </c>
      <c r="T3416">
        <v>-7.1095350000000002</v>
      </c>
      <c r="U3416">
        <v>177.64932999999999</v>
      </c>
    </row>
    <row r="3417" spans="1:21">
      <c r="A3417" t="s">
        <v>185</v>
      </c>
      <c r="B3417">
        <v>2018</v>
      </c>
      <c r="C3417">
        <v>0</v>
      </c>
      <c r="D3417">
        <v>9.9999997759999992</v>
      </c>
      <c r="I3417">
        <v>194.52</v>
      </c>
      <c r="J3417">
        <v>8.32</v>
      </c>
      <c r="K3417">
        <v>393</v>
      </c>
      <c r="L3417">
        <v>99.065383999999995</v>
      </c>
      <c r="M3417">
        <v>68.900000000000006</v>
      </c>
      <c r="O3417">
        <v>390000</v>
      </c>
      <c r="P3417">
        <v>2.5</v>
      </c>
      <c r="Q3417">
        <v>3701.7092550000002</v>
      </c>
      <c r="R3417">
        <v>2.86</v>
      </c>
      <c r="S3417">
        <v>26</v>
      </c>
      <c r="T3417">
        <v>-7.1095350000000002</v>
      </c>
      <c r="U3417">
        <v>177.64932999999999</v>
      </c>
    </row>
    <row r="3418" spans="1:21">
      <c r="A3418" t="s">
        <v>185</v>
      </c>
      <c r="B3418">
        <v>2019</v>
      </c>
      <c r="C3418">
        <v>0</v>
      </c>
      <c r="D3418">
        <v>9.9999997759999992</v>
      </c>
      <c r="I3418">
        <v>192.02</v>
      </c>
      <c r="J3418">
        <v>8.1999999999999993</v>
      </c>
      <c r="K3418">
        <v>393</v>
      </c>
      <c r="L3418">
        <v>99.7</v>
      </c>
      <c r="M3418">
        <v>69.8</v>
      </c>
      <c r="O3418">
        <v>6160000</v>
      </c>
      <c r="P3418">
        <v>9.7560975610000007</v>
      </c>
      <c r="Q3418">
        <v>4055.89561</v>
      </c>
      <c r="R3418">
        <v>2.61</v>
      </c>
      <c r="S3418">
        <v>26</v>
      </c>
      <c r="T3418">
        <v>-7.1095350000000002</v>
      </c>
      <c r="U3418">
        <v>177.64932999999999</v>
      </c>
    </row>
    <row r="3419" spans="1:21">
      <c r="A3419" t="s">
        <v>185</v>
      </c>
      <c r="B3419">
        <v>2020</v>
      </c>
      <c r="C3419">
        <v>0</v>
      </c>
      <c r="I3419">
        <v>196.07</v>
      </c>
      <c r="K3419">
        <v>393</v>
      </c>
      <c r="L3419">
        <v>99.689229999999995</v>
      </c>
      <c r="M3419">
        <v>70.599999999999994</v>
      </c>
      <c r="P3419">
        <v>4.4000000000000004</v>
      </c>
      <c r="Q3419">
        <v>4143.1097529999997</v>
      </c>
      <c r="S3419">
        <v>26</v>
      </c>
      <c r="T3419">
        <v>-7.1095350000000002</v>
      </c>
      <c r="U3419">
        <v>177.64932999999999</v>
      </c>
    </row>
    <row r="3420" spans="1:21">
      <c r="A3420" t="s">
        <v>186</v>
      </c>
      <c r="B3420">
        <v>2000</v>
      </c>
      <c r="C3420">
        <v>430.94542999999999</v>
      </c>
      <c r="D3420">
        <v>1300</v>
      </c>
      <c r="E3420">
        <v>0.04</v>
      </c>
      <c r="F3420">
        <v>0</v>
      </c>
      <c r="G3420">
        <v>1.55</v>
      </c>
      <c r="H3420">
        <v>97.484275999999994</v>
      </c>
      <c r="I3420">
        <v>11</v>
      </c>
      <c r="J3420">
        <v>95.01</v>
      </c>
      <c r="K3420">
        <v>229</v>
      </c>
      <c r="L3420">
        <v>7.3511305</v>
      </c>
      <c r="M3420">
        <v>0.9</v>
      </c>
      <c r="O3420">
        <v>26560000</v>
      </c>
      <c r="P3420">
        <v>3.1419073380000002</v>
      </c>
      <c r="Q3420">
        <v>261.86914159999998</v>
      </c>
      <c r="R3420">
        <v>13.37</v>
      </c>
      <c r="S3420">
        <v>241038</v>
      </c>
      <c r="T3420">
        <v>1.3733329999999999</v>
      </c>
      <c r="U3420">
        <v>32.290275000000001</v>
      </c>
    </row>
    <row r="3421" spans="1:21">
      <c r="A3421" t="s">
        <v>186</v>
      </c>
      <c r="B3421">
        <v>2001</v>
      </c>
      <c r="C3421">
        <v>426.19103999999999</v>
      </c>
      <c r="D3421">
        <v>1300</v>
      </c>
      <c r="E3421">
        <v>0.04</v>
      </c>
      <c r="F3421">
        <v>0</v>
      </c>
      <c r="G3421">
        <v>1.55</v>
      </c>
      <c r="H3421">
        <v>97.484275999999994</v>
      </c>
      <c r="I3421">
        <v>10.69</v>
      </c>
      <c r="J3421">
        <v>95.22</v>
      </c>
      <c r="K3421">
        <v>229</v>
      </c>
      <c r="L3421">
        <v>8.6</v>
      </c>
      <c r="M3421">
        <v>0.9</v>
      </c>
      <c r="O3421">
        <v>6620000</v>
      </c>
      <c r="P3421">
        <v>5.1836611259999996</v>
      </c>
      <c r="Q3421">
        <v>239.47312700000001</v>
      </c>
      <c r="R3421">
        <v>13.97</v>
      </c>
      <c r="S3421">
        <v>241038</v>
      </c>
      <c r="T3421">
        <v>1.3733329999999999</v>
      </c>
      <c r="U3421">
        <v>32.290275000000001</v>
      </c>
    </row>
    <row r="3422" spans="1:21">
      <c r="A3422" t="s">
        <v>186</v>
      </c>
      <c r="B3422">
        <v>2002</v>
      </c>
      <c r="C3422">
        <v>423.49295000000001</v>
      </c>
      <c r="D3422">
        <v>1490.00001</v>
      </c>
      <c r="E3422">
        <v>0.04</v>
      </c>
      <c r="F3422">
        <v>0</v>
      </c>
      <c r="G3422">
        <v>1.67</v>
      </c>
      <c r="H3422">
        <v>97.660820000000001</v>
      </c>
      <c r="I3422">
        <v>11.96</v>
      </c>
      <c r="J3422">
        <v>95.35</v>
      </c>
      <c r="K3422">
        <v>229</v>
      </c>
      <c r="L3422">
        <v>7.8</v>
      </c>
      <c r="M3422">
        <v>0.9</v>
      </c>
      <c r="O3422">
        <v>3710000</v>
      </c>
      <c r="P3422">
        <v>8.7326857639999993</v>
      </c>
      <c r="Q3422">
        <v>245.50004029999999</v>
      </c>
      <c r="R3422">
        <v>13.36</v>
      </c>
      <c r="S3422">
        <v>241038</v>
      </c>
      <c r="T3422">
        <v>1.3733329999999999</v>
      </c>
      <c r="U3422">
        <v>32.290275000000001</v>
      </c>
    </row>
    <row r="3423" spans="1:21">
      <c r="A3423" t="s">
        <v>186</v>
      </c>
      <c r="B3423">
        <v>2003</v>
      </c>
      <c r="C3423">
        <v>432.85610000000003</v>
      </c>
      <c r="D3423">
        <v>1570.0000520000001</v>
      </c>
      <c r="E3423">
        <v>0.05</v>
      </c>
      <c r="F3423">
        <v>0</v>
      </c>
      <c r="G3423">
        <v>1.75</v>
      </c>
      <c r="H3423">
        <v>97.222219999999993</v>
      </c>
      <c r="I3423">
        <v>11.61</v>
      </c>
      <c r="J3423">
        <v>95.28</v>
      </c>
      <c r="K3423">
        <v>229</v>
      </c>
      <c r="L3423">
        <v>10.563554</v>
      </c>
      <c r="M3423">
        <v>0.9</v>
      </c>
      <c r="O3423">
        <v>630000</v>
      </c>
      <c r="P3423">
        <v>6.473258672</v>
      </c>
      <c r="Q3423">
        <v>254.30120429999999</v>
      </c>
      <c r="R3423">
        <v>13.08</v>
      </c>
      <c r="S3423">
        <v>241038</v>
      </c>
      <c r="T3423">
        <v>1.3733329999999999</v>
      </c>
      <c r="U3423">
        <v>32.290275000000001</v>
      </c>
    </row>
    <row r="3424" spans="1:21">
      <c r="A3424" t="s">
        <v>186</v>
      </c>
      <c r="B3424">
        <v>2004</v>
      </c>
      <c r="C3424">
        <v>447.65942000000001</v>
      </c>
      <c r="D3424">
        <v>1629.9999949999999</v>
      </c>
      <c r="E3424">
        <v>0.05</v>
      </c>
      <c r="F3424">
        <v>0</v>
      </c>
      <c r="G3424">
        <v>1.89</v>
      </c>
      <c r="H3424">
        <v>97.422675999999996</v>
      </c>
      <c r="I3424">
        <v>11.27</v>
      </c>
      <c r="J3424">
        <v>95.02</v>
      </c>
      <c r="K3424">
        <v>229</v>
      </c>
      <c r="L3424">
        <v>11.625457000000001</v>
      </c>
      <c r="M3424">
        <v>0.8</v>
      </c>
      <c r="O3424">
        <v>30000</v>
      </c>
      <c r="P3424">
        <v>6.8072333440000001</v>
      </c>
      <c r="Q3424">
        <v>296.01426750000002</v>
      </c>
      <c r="R3424">
        <v>12.77</v>
      </c>
      <c r="S3424">
        <v>241038</v>
      </c>
      <c r="T3424">
        <v>1.3733329999999999</v>
      </c>
      <c r="U3424">
        <v>32.290275000000001</v>
      </c>
    </row>
    <row r="3425" spans="1:21">
      <c r="A3425" t="s">
        <v>186</v>
      </c>
      <c r="B3425">
        <v>2005</v>
      </c>
      <c r="C3425">
        <v>493.46793000000002</v>
      </c>
      <c r="D3425">
        <v>2019.9999809999999</v>
      </c>
      <c r="E3425">
        <v>0.11</v>
      </c>
      <c r="F3425">
        <v>0</v>
      </c>
      <c r="G3425">
        <v>1.84</v>
      </c>
      <c r="H3425">
        <v>94.358969999999999</v>
      </c>
      <c r="I3425">
        <v>11.49</v>
      </c>
      <c r="J3425">
        <v>94.11</v>
      </c>
      <c r="K3425">
        <v>229</v>
      </c>
      <c r="L3425">
        <v>8.9</v>
      </c>
      <c r="M3425">
        <v>0.8</v>
      </c>
      <c r="O3425">
        <v>70000</v>
      </c>
      <c r="P3425">
        <v>6.3325651159999996</v>
      </c>
      <c r="Q3425">
        <v>333.73157629999997</v>
      </c>
      <c r="R3425">
        <v>12.6</v>
      </c>
      <c r="S3425">
        <v>241038</v>
      </c>
      <c r="T3425">
        <v>1.3733329999999999</v>
      </c>
      <c r="U3425">
        <v>32.290275000000001</v>
      </c>
    </row>
    <row r="3426" spans="1:21">
      <c r="A3426" t="s">
        <v>186</v>
      </c>
      <c r="B3426">
        <v>2006</v>
      </c>
      <c r="C3426">
        <v>465.70272999999997</v>
      </c>
      <c r="D3426">
        <v>2400.0000949999999</v>
      </c>
      <c r="E3426">
        <v>0.4</v>
      </c>
      <c r="F3426">
        <v>0</v>
      </c>
      <c r="G3426">
        <v>1.17</v>
      </c>
      <c r="H3426">
        <v>74.522284999999997</v>
      </c>
      <c r="I3426">
        <v>11.21</v>
      </c>
      <c r="J3426">
        <v>93.82</v>
      </c>
      <c r="K3426">
        <v>229</v>
      </c>
      <c r="L3426">
        <v>9</v>
      </c>
      <c r="M3426">
        <v>0.8</v>
      </c>
      <c r="O3426">
        <v>60000</v>
      </c>
      <c r="P3426">
        <v>10.78474439</v>
      </c>
      <c r="Q3426">
        <v>349.21710009999998</v>
      </c>
      <c r="R3426">
        <v>11.89</v>
      </c>
      <c r="S3426">
        <v>241038</v>
      </c>
      <c r="T3426">
        <v>1.3733329999999999</v>
      </c>
      <c r="U3426">
        <v>32.290275000000001</v>
      </c>
    </row>
    <row r="3427" spans="1:21">
      <c r="A3427" t="s">
        <v>186</v>
      </c>
      <c r="B3427">
        <v>2007</v>
      </c>
      <c r="C3427">
        <v>545.6078</v>
      </c>
      <c r="D3427">
        <v>2869.9998860000001</v>
      </c>
      <c r="E3427">
        <v>0.56000000000000005</v>
      </c>
      <c r="F3427">
        <v>0</v>
      </c>
      <c r="G3427">
        <v>1.41</v>
      </c>
      <c r="H3427">
        <v>71.573599999999999</v>
      </c>
      <c r="I3427">
        <v>10.94</v>
      </c>
      <c r="J3427">
        <v>93.74</v>
      </c>
      <c r="K3427">
        <v>229</v>
      </c>
      <c r="L3427">
        <v>14.817822</v>
      </c>
      <c r="M3427">
        <v>0.8</v>
      </c>
      <c r="O3427">
        <v>571170000</v>
      </c>
      <c r="P3427">
        <v>8.4124259650000006</v>
      </c>
      <c r="Q3427">
        <v>403.66374459999997</v>
      </c>
      <c r="R3427">
        <v>11.52</v>
      </c>
      <c r="S3427">
        <v>241038</v>
      </c>
      <c r="T3427">
        <v>1.3733329999999999</v>
      </c>
      <c r="U3427">
        <v>32.290275000000001</v>
      </c>
    </row>
    <row r="3428" spans="1:21">
      <c r="A3428" t="s">
        <v>186</v>
      </c>
      <c r="B3428">
        <v>2008</v>
      </c>
      <c r="C3428">
        <v>557.28687000000002</v>
      </c>
      <c r="D3428">
        <v>2970.0000289999998</v>
      </c>
      <c r="E3428">
        <v>0.62</v>
      </c>
      <c r="F3428">
        <v>0</v>
      </c>
      <c r="G3428">
        <v>1.7</v>
      </c>
      <c r="H3428">
        <v>73.275859999999994</v>
      </c>
      <c r="I3428">
        <v>13.89</v>
      </c>
      <c r="J3428">
        <v>93.73</v>
      </c>
      <c r="K3428">
        <v>229</v>
      </c>
      <c r="L3428">
        <v>15.892814</v>
      </c>
      <c r="M3428">
        <v>0.9</v>
      </c>
      <c r="O3428">
        <v>19610000</v>
      </c>
      <c r="P3428">
        <v>8.7087519009999994</v>
      </c>
      <c r="Q3428">
        <v>474.51794960000001</v>
      </c>
      <c r="R3428">
        <v>11.01</v>
      </c>
      <c r="S3428">
        <v>241038</v>
      </c>
      <c r="T3428">
        <v>1.3733329999999999</v>
      </c>
      <c r="U3428">
        <v>32.290275000000001</v>
      </c>
    </row>
    <row r="3429" spans="1:21">
      <c r="A3429" t="s">
        <v>186</v>
      </c>
      <c r="B3429">
        <v>2009</v>
      </c>
      <c r="C3429">
        <v>552.86536000000001</v>
      </c>
      <c r="D3429">
        <v>3359.9998949999999</v>
      </c>
      <c r="E3429">
        <v>0.89</v>
      </c>
      <c r="F3429">
        <v>0</v>
      </c>
      <c r="G3429">
        <v>1.51</v>
      </c>
      <c r="H3429">
        <v>62.916663999999997</v>
      </c>
      <c r="I3429">
        <v>13.95</v>
      </c>
      <c r="J3429">
        <v>93.87</v>
      </c>
      <c r="K3429">
        <v>229</v>
      </c>
      <c r="L3429">
        <v>10</v>
      </c>
      <c r="M3429">
        <v>0.8</v>
      </c>
      <c r="O3429">
        <v>74230000</v>
      </c>
      <c r="P3429">
        <v>6.801517348</v>
      </c>
      <c r="Q3429">
        <v>799.96589630000005</v>
      </c>
      <c r="R3429">
        <v>10.76</v>
      </c>
      <c r="S3429">
        <v>241038</v>
      </c>
      <c r="T3429">
        <v>1.3733329999999999</v>
      </c>
      <c r="U3429">
        <v>32.290275000000001</v>
      </c>
    </row>
    <row r="3430" spans="1:21">
      <c r="A3430" t="s">
        <v>186</v>
      </c>
      <c r="B3430">
        <v>2010</v>
      </c>
      <c r="C3430">
        <v>604.44949999999994</v>
      </c>
      <c r="D3430">
        <v>3329.9999240000002</v>
      </c>
      <c r="E3430">
        <v>1.1000000000000001</v>
      </c>
      <c r="F3430">
        <v>0</v>
      </c>
      <c r="G3430">
        <v>1.59</v>
      </c>
      <c r="H3430">
        <v>59.107807000000001</v>
      </c>
      <c r="I3430">
        <v>14.29</v>
      </c>
      <c r="J3430">
        <v>93.18</v>
      </c>
      <c r="K3430">
        <v>229</v>
      </c>
      <c r="L3430">
        <v>12.1</v>
      </c>
      <c r="M3430">
        <v>0.8</v>
      </c>
      <c r="O3430">
        <v>29340000</v>
      </c>
      <c r="P3430">
        <v>5.6376116380000001</v>
      </c>
      <c r="Q3430">
        <v>822.53937250000001</v>
      </c>
      <c r="R3430">
        <v>10.69</v>
      </c>
      <c r="S3430">
        <v>241038</v>
      </c>
      <c r="T3430">
        <v>1.3733329999999999</v>
      </c>
      <c r="U3430">
        <v>32.290275000000001</v>
      </c>
    </row>
    <row r="3431" spans="1:21">
      <c r="A3431" t="s">
        <v>186</v>
      </c>
      <c r="B3431">
        <v>2011</v>
      </c>
      <c r="C3431">
        <v>614.26904000000002</v>
      </c>
      <c r="D3431">
        <v>3740.0000100000002</v>
      </c>
      <c r="E3431">
        <v>1</v>
      </c>
      <c r="F3431">
        <v>0</v>
      </c>
      <c r="G3431">
        <v>1.61</v>
      </c>
      <c r="H3431">
        <v>61.685825000000001</v>
      </c>
      <c r="I3431">
        <v>13.88</v>
      </c>
      <c r="J3431">
        <v>92.79</v>
      </c>
      <c r="K3431">
        <v>229</v>
      </c>
      <c r="L3431">
        <v>14.6</v>
      </c>
      <c r="M3431">
        <v>0.8</v>
      </c>
      <c r="O3431">
        <v>27100000</v>
      </c>
      <c r="P3431">
        <v>9.391655493</v>
      </c>
      <c r="Q3431">
        <v>832.56907820000004</v>
      </c>
      <c r="R3431">
        <v>10.19</v>
      </c>
      <c r="S3431">
        <v>241038</v>
      </c>
      <c r="T3431">
        <v>1.3733329999999999</v>
      </c>
      <c r="U3431">
        <v>32.290275000000001</v>
      </c>
    </row>
    <row r="3432" spans="1:21">
      <c r="A3432" t="s">
        <v>186</v>
      </c>
      <c r="B3432">
        <v>2012</v>
      </c>
      <c r="C3432">
        <v>577.69269999999995</v>
      </c>
      <c r="D3432">
        <v>3779.9999710000002</v>
      </c>
      <c r="E3432">
        <v>0.38</v>
      </c>
      <c r="F3432">
        <v>0</v>
      </c>
      <c r="G3432">
        <v>1.58</v>
      </c>
      <c r="H3432">
        <v>80.61224</v>
      </c>
      <c r="I3432">
        <v>17.82</v>
      </c>
      <c r="J3432">
        <v>92.95</v>
      </c>
      <c r="K3432">
        <v>229</v>
      </c>
      <c r="L3432">
        <v>20.319271000000001</v>
      </c>
      <c r="M3432">
        <v>0.8</v>
      </c>
      <c r="O3432">
        <v>23250000</v>
      </c>
      <c r="P3432">
        <v>3.8374556059999998</v>
      </c>
      <c r="Q3432">
        <v>790.13145059999999</v>
      </c>
      <c r="R3432">
        <v>10.19</v>
      </c>
      <c r="S3432">
        <v>241038</v>
      </c>
      <c r="T3432">
        <v>1.3733329999999999</v>
      </c>
      <c r="U3432">
        <v>32.290275000000001</v>
      </c>
    </row>
    <row r="3433" spans="1:21">
      <c r="A3433" t="s">
        <v>186</v>
      </c>
      <c r="B3433">
        <v>2013</v>
      </c>
      <c r="C3433">
        <v>651.41376000000002</v>
      </c>
      <c r="D3433">
        <v>3690.0000570000002</v>
      </c>
      <c r="E3433">
        <v>0.14000000000000001</v>
      </c>
      <c r="F3433">
        <v>0</v>
      </c>
      <c r="G3433">
        <v>2.4500000000000002</v>
      </c>
      <c r="H3433">
        <v>94.5946</v>
      </c>
      <c r="I3433">
        <v>20.9</v>
      </c>
      <c r="J3433">
        <v>92.55</v>
      </c>
      <c r="K3433">
        <v>229</v>
      </c>
      <c r="L3433">
        <v>13.9</v>
      </c>
      <c r="M3433">
        <v>0.8</v>
      </c>
      <c r="O3433">
        <v>1470000000</v>
      </c>
      <c r="P3433">
        <v>3.5869058260000002</v>
      </c>
      <c r="Q3433">
        <v>810.09039499999994</v>
      </c>
      <c r="R3433">
        <v>10.34</v>
      </c>
      <c r="S3433">
        <v>241038</v>
      </c>
      <c r="T3433">
        <v>1.3733329999999999</v>
      </c>
      <c r="U3433">
        <v>32.290275000000001</v>
      </c>
    </row>
    <row r="3434" spans="1:21">
      <c r="A3434" t="s">
        <v>186</v>
      </c>
      <c r="B3434">
        <v>2014</v>
      </c>
      <c r="C3434">
        <v>728.95105000000001</v>
      </c>
      <c r="D3434">
        <v>4110.0001339999999</v>
      </c>
      <c r="E3434">
        <v>0.28999999999999998</v>
      </c>
      <c r="F3434">
        <v>0</v>
      </c>
      <c r="G3434">
        <v>2.52</v>
      </c>
      <c r="H3434">
        <v>89.679720000000003</v>
      </c>
      <c r="I3434">
        <v>20.74</v>
      </c>
      <c r="J3434">
        <v>91.84</v>
      </c>
      <c r="K3434">
        <v>229</v>
      </c>
      <c r="L3434">
        <v>20.399999999999999</v>
      </c>
      <c r="M3434">
        <v>0.7</v>
      </c>
      <c r="O3434">
        <v>32260000</v>
      </c>
      <c r="P3434">
        <v>5.1063073240000003</v>
      </c>
      <c r="Q3434">
        <v>883.52874450000002</v>
      </c>
      <c r="R3434">
        <v>10.28</v>
      </c>
      <c r="S3434">
        <v>241038</v>
      </c>
      <c r="T3434">
        <v>1.3733329999999999</v>
      </c>
      <c r="U3434">
        <v>32.290275000000001</v>
      </c>
    </row>
    <row r="3435" spans="1:21">
      <c r="A3435" t="s">
        <v>186</v>
      </c>
      <c r="B3435">
        <v>2015</v>
      </c>
      <c r="C3435">
        <v>707.74329999999998</v>
      </c>
      <c r="D3435">
        <v>4719.9997899999998</v>
      </c>
      <c r="E3435">
        <v>0.28999999999999998</v>
      </c>
      <c r="F3435">
        <v>0</v>
      </c>
      <c r="G3435">
        <v>2.58</v>
      </c>
      <c r="H3435">
        <v>89.895480000000006</v>
      </c>
      <c r="I3435">
        <v>20.440000000000001</v>
      </c>
      <c r="J3435">
        <v>91.07</v>
      </c>
      <c r="K3435">
        <v>229</v>
      </c>
      <c r="L3435">
        <v>18.5</v>
      </c>
      <c r="M3435">
        <v>0.7</v>
      </c>
      <c r="O3435">
        <v>521370000</v>
      </c>
      <c r="P3435">
        <v>5.1878598629999999</v>
      </c>
      <c r="Q3435">
        <v>847.26762889999998</v>
      </c>
      <c r="R3435">
        <v>10.24</v>
      </c>
      <c r="S3435">
        <v>241038</v>
      </c>
      <c r="T3435">
        <v>1.3733329999999999</v>
      </c>
      <c r="U3435">
        <v>32.290275000000001</v>
      </c>
    </row>
    <row r="3436" spans="1:21">
      <c r="A3436" t="s">
        <v>186</v>
      </c>
      <c r="B3436">
        <v>2016</v>
      </c>
      <c r="C3436">
        <v>765.05769999999995</v>
      </c>
      <c r="D3436">
        <v>4949.9998089999999</v>
      </c>
      <c r="E3436">
        <v>0.28999999999999998</v>
      </c>
      <c r="F3436">
        <v>0</v>
      </c>
      <c r="G3436">
        <v>3.48</v>
      </c>
      <c r="H3436">
        <v>92.307689999999994</v>
      </c>
      <c r="I3436">
        <v>19.760000000000002</v>
      </c>
      <c r="J3436">
        <v>90.83</v>
      </c>
      <c r="K3436">
        <v>229</v>
      </c>
      <c r="L3436">
        <v>26.7</v>
      </c>
      <c r="M3436">
        <v>0.7</v>
      </c>
      <c r="O3436">
        <v>187710000</v>
      </c>
      <c r="P3436">
        <v>4.7810002909999998</v>
      </c>
      <c r="Q3436">
        <v>736.55984739999997</v>
      </c>
      <c r="R3436">
        <v>10.16</v>
      </c>
      <c r="S3436">
        <v>241038</v>
      </c>
      <c r="T3436">
        <v>1.3733329999999999</v>
      </c>
      <c r="U3436">
        <v>32.290275000000001</v>
      </c>
    </row>
    <row r="3437" spans="1:21">
      <c r="A3437" t="s">
        <v>186</v>
      </c>
      <c r="B3437">
        <v>2017</v>
      </c>
      <c r="C3437">
        <v>804.89435000000003</v>
      </c>
      <c r="D3437">
        <v>5170.0000760000003</v>
      </c>
      <c r="E3437">
        <v>0.26</v>
      </c>
      <c r="F3437">
        <v>0</v>
      </c>
      <c r="G3437">
        <v>3.65</v>
      </c>
      <c r="H3437">
        <v>93.350380000000001</v>
      </c>
      <c r="I3437">
        <v>20.079999999999998</v>
      </c>
      <c r="J3437">
        <v>90.76</v>
      </c>
      <c r="K3437">
        <v>229</v>
      </c>
      <c r="L3437">
        <v>32.521152000000001</v>
      </c>
      <c r="M3437">
        <v>0.6</v>
      </c>
      <c r="O3437">
        <v>91700000</v>
      </c>
      <c r="P3437">
        <v>3.1314055180000002</v>
      </c>
      <c r="Q3437">
        <v>746.83075289999999</v>
      </c>
      <c r="R3437">
        <v>10.3</v>
      </c>
      <c r="S3437">
        <v>241038</v>
      </c>
      <c r="T3437">
        <v>1.3733329999999999</v>
      </c>
      <c r="U3437">
        <v>32.290275000000001</v>
      </c>
    </row>
    <row r="3438" spans="1:21">
      <c r="A3438" t="s">
        <v>186</v>
      </c>
      <c r="B3438">
        <v>2018</v>
      </c>
      <c r="C3438">
        <v>841.20447000000001</v>
      </c>
      <c r="D3438">
        <v>5860.0001339999999</v>
      </c>
      <c r="E3438">
        <v>0.31</v>
      </c>
      <c r="F3438">
        <v>0</v>
      </c>
      <c r="G3438">
        <v>4</v>
      </c>
      <c r="H3438">
        <v>92.807429999999997</v>
      </c>
      <c r="I3438">
        <v>21.23</v>
      </c>
      <c r="J3438">
        <v>90.07</v>
      </c>
      <c r="K3438">
        <v>229</v>
      </c>
      <c r="L3438">
        <v>41.92</v>
      </c>
      <c r="M3438">
        <v>0.6</v>
      </c>
      <c r="O3438">
        <v>542660000</v>
      </c>
      <c r="P3438">
        <v>6.3039237809999999</v>
      </c>
      <c r="Q3438">
        <v>770.60078429999999</v>
      </c>
      <c r="R3438">
        <v>10.17</v>
      </c>
      <c r="S3438">
        <v>241038</v>
      </c>
      <c r="T3438">
        <v>1.3733329999999999</v>
      </c>
      <c r="U3438">
        <v>32.290275000000001</v>
      </c>
    </row>
    <row r="3439" spans="1:21">
      <c r="A3439" t="s">
        <v>186</v>
      </c>
      <c r="B3439">
        <v>2019</v>
      </c>
      <c r="C3439">
        <v>811.62756000000002</v>
      </c>
      <c r="D3439">
        <v>5860.0001339999999</v>
      </c>
      <c r="E3439">
        <v>0.09</v>
      </c>
      <c r="F3439">
        <v>0</v>
      </c>
      <c r="G3439">
        <v>4.24</v>
      </c>
      <c r="H3439">
        <v>97.921469999999999</v>
      </c>
      <c r="I3439">
        <v>26.59</v>
      </c>
      <c r="J3439">
        <v>90.22</v>
      </c>
      <c r="K3439">
        <v>229</v>
      </c>
      <c r="L3439">
        <v>41.3</v>
      </c>
      <c r="M3439">
        <v>0.5</v>
      </c>
      <c r="O3439">
        <v>66480000</v>
      </c>
      <c r="P3439">
        <v>6.4387450340000001</v>
      </c>
      <c r="Q3439">
        <v>798.58573409999997</v>
      </c>
      <c r="R3439">
        <v>9.98</v>
      </c>
      <c r="S3439">
        <v>241038</v>
      </c>
      <c r="T3439">
        <v>1.3733329999999999</v>
      </c>
      <c r="U3439">
        <v>32.290275000000001</v>
      </c>
    </row>
    <row r="3440" spans="1:21">
      <c r="A3440" t="s">
        <v>186</v>
      </c>
      <c r="B3440">
        <v>2020</v>
      </c>
      <c r="C3440">
        <v>766.41430000000003</v>
      </c>
      <c r="E3440">
        <v>0.13</v>
      </c>
      <c r="F3440">
        <v>0</v>
      </c>
      <c r="G3440">
        <v>4.32</v>
      </c>
      <c r="H3440">
        <v>97.078659999999999</v>
      </c>
      <c r="I3440">
        <v>25.89</v>
      </c>
      <c r="K3440">
        <v>229</v>
      </c>
      <c r="L3440">
        <v>42.074416999999997</v>
      </c>
      <c r="M3440">
        <v>0.5</v>
      </c>
      <c r="P3440">
        <v>2.951306422</v>
      </c>
      <c r="Q3440">
        <v>822.02768149999997</v>
      </c>
      <c r="S3440">
        <v>241038</v>
      </c>
      <c r="T3440">
        <v>1.3733329999999999</v>
      </c>
      <c r="U3440">
        <v>32.290275000000001</v>
      </c>
    </row>
    <row r="3441" spans="1:21">
      <c r="A3441" t="s">
        <v>187</v>
      </c>
      <c r="B3441">
        <v>2000</v>
      </c>
      <c r="C3441">
        <v>32435.855</v>
      </c>
      <c r="D3441">
        <v>297380</v>
      </c>
      <c r="E3441">
        <v>82.65</v>
      </c>
      <c r="F3441">
        <v>77.34</v>
      </c>
      <c r="G3441">
        <v>11.28</v>
      </c>
      <c r="H3441">
        <v>51.742863</v>
      </c>
      <c r="J3441">
        <v>1.25</v>
      </c>
      <c r="K3441">
        <v>75</v>
      </c>
      <c r="L3441">
        <v>100</v>
      </c>
      <c r="M3441">
        <v>91.65</v>
      </c>
      <c r="N3441">
        <v>2.1038008000000001</v>
      </c>
      <c r="P3441">
        <v>5.9</v>
      </c>
      <c r="Q3441">
        <v>658.34860800000001</v>
      </c>
      <c r="R3441">
        <v>15.78</v>
      </c>
      <c r="S3441">
        <v>603550</v>
      </c>
      <c r="T3441">
        <v>48.379432999999999</v>
      </c>
      <c r="U3441">
        <v>31.165579999999999</v>
      </c>
    </row>
    <row r="3442" spans="1:21">
      <c r="A3442" t="s">
        <v>187</v>
      </c>
      <c r="B3442">
        <v>2001</v>
      </c>
      <c r="C3442">
        <v>32281.633000000002</v>
      </c>
      <c r="D3442">
        <v>300550</v>
      </c>
      <c r="E3442">
        <v>84.59</v>
      </c>
      <c r="F3442">
        <v>76.17</v>
      </c>
      <c r="G3442">
        <v>12.05</v>
      </c>
      <c r="H3442">
        <v>51.050285000000002</v>
      </c>
      <c r="J3442">
        <v>1.23</v>
      </c>
      <c r="K3442">
        <v>75</v>
      </c>
      <c r="L3442">
        <v>100</v>
      </c>
      <c r="M3442">
        <v>92</v>
      </c>
      <c r="N3442">
        <v>2.2646660000000001</v>
      </c>
      <c r="P3442">
        <v>8.8000000000000007</v>
      </c>
      <c r="Q3442">
        <v>807.80193710000003</v>
      </c>
      <c r="R3442">
        <v>14.48</v>
      </c>
      <c r="S3442">
        <v>603550</v>
      </c>
      <c r="T3442">
        <v>48.379432999999999</v>
      </c>
      <c r="U3442">
        <v>31.165579999999999</v>
      </c>
    </row>
    <row r="3443" spans="1:21">
      <c r="A3443" t="s">
        <v>187</v>
      </c>
      <c r="B3443">
        <v>2002</v>
      </c>
      <c r="C3443">
        <v>32374.942999999999</v>
      </c>
      <c r="D3443">
        <v>303940.0024</v>
      </c>
      <c r="E3443">
        <v>85.93</v>
      </c>
      <c r="F3443">
        <v>77.989999999999995</v>
      </c>
      <c r="G3443">
        <v>9.65</v>
      </c>
      <c r="H3443">
        <v>50.492595999999999</v>
      </c>
      <c r="J3443">
        <v>1.03</v>
      </c>
      <c r="K3443">
        <v>75</v>
      </c>
      <c r="L3443">
        <v>100</v>
      </c>
      <c r="M3443">
        <v>92.3</v>
      </c>
      <c r="N3443">
        <v>1.8132339</v>
      </c>
      <c r="P3443">
        <v>5.339647212</v>
      </c>
      <c r="Q3443">
        <v>911.91115139999999</v>
      </c>
      <c r="R3443">
        <v>13.91</v>
      </c>
      <c r="S3443">
        <v>603550</v>
      </c>
      <c r="T3443">
        <v>48.379432999999999</v>
      </c>
      <c r="U3443">
        <v>31.165579999999999</v>
      </c>
    </row>
    <row r="3444" spans="1:21">
      <c r="A3444" t="s">
        <v>187</v>
      </c>
      <c r="B3444">
        <v>2003</v>
      </c>
      <c r="C3444">
        <v>33439.894999999997</v>
      </c>
      <c r="D3444">
        <v>330230.011</v>
      </c>
      <c r="E3444">
        <v>89.52</v>
      </c>
      <c r="F3444">
        <v>81.41</v>
      </c>
      <c r="G3444">
        <v>9.27</v>
      </c>
      <c r="H3444">
        <v>50.321865000000003</v>
      </c>
      <c r="J3444">
        <v>0.99</v>
      </c>
      <c r="K3444">
        <v>75</v>
      </c>
      <c r="L3444">
        <v>100</v>
      </c>
      <c r="M3444">
        <v>92.7</v>
      </c>
      <c r="N3444">
        <v>1.6885973000000001</v>
      </c>
      <c r="P3444">
        <v>9.5166098629999993</v>
      </c>
      <c r="Q3444">
        <v>1087.785627</v>
      </c>
      <c r="R3444">
        <v>13.19</v>
      </c>
      <c r="S3444">
        <v>603550</v>
      </c>
      <c r="T3444">
        <v>48.379432999999999</v>
      </c>
      <c r="U3444">
        <v>31.165579999999999</v>
      </c>
    </row>
    <row r="3445" spans="1:21">
      <c r="A3445" t="s">
        <v>187</v>
      </c>
      <c r="B3445">
        <v>2004</v>
      </c>
      <c r="C3445">
        <v>33554.93</v>
      </c>
      <c r="D3445">
        <v>307140.01459999999</v>
      </c>
      <c r="E3445">
        <v>83.22</v>
      </c>
      <c r="F3445">
        <v>87.02</v>
      </c>
      <c r="G3445">
        <v>11.78</v>
      </c>
      <c r="H3445">
        <v>54.279747</v>
      </c>
      <c r="J3445">
        <v>1.21</v>
      </c>
      <c r="K3445">
        <v>75</v>
      </c>
      <c r="L3445">
        <v>100</v>
      </c>
      <c r="M3445">
        <v>92.9</v>
      </c>
      <c r="N3445">
        <v>2.1416073</v>
      </c>
      <c r="P3445">
        <v>11.795352530000001</v>
      </c>
      <c r="Q3445">
        <v>1416.6038100000001</v>
      </c>
      <c r="R3445">
        <v>11.86</v>
      </c>
      <c r="S3445">
        <v>603550</v>
      </c>
      <c r="T3445">
        <v>48.379432999999999</v>
      </c>
      <c r="U3445">
        <v>31.165579999999999</v>
      </c>
    </row>
    <row r="3446" spans="1:21">
      <c r="A3446" t="s">
        <v>187</v>
      </c>
      <c r="B3446">
        <v>2005</v>
      </c>
      <c r="C3446">
        <v>34223.042999999998</v>
      </c>
      <c r="D3446">
        <v>295410.0037</v>
      </c>
      <c r="E3446">
        <v>84.75</v>
      </c>
      <c r="F3446">
        <v>88.76</v>
      </c>
      <c r="G3446">
        <v>12.4</v>
      </c>
      <c r="H3446">
        <v>54.413424999999997</v>
      </c>
      <c r="J3446">
        <v>1.27</v>
      </c>
      <c r="K3446">
        <v>75</v>
      </c>
      <c r="L3446">
        <v>99.885559999999998</v>
      </c>
      <c r="M3446">
        <v>93.2</v>
      </c>
      <c r="N3446">
        <v>2.2117320999999999</v>
      </c>
      <c r="P3446">
        <v>3.0712303940000001</v>
      </c>
      <c r="Q3446">
        <v>1894.470781</v>
      </c>
      <c r="R3446">
        <v>11.44</v>
      </c>
      <c r="S3446">
        <v>603550</v>
      </c>
      <c r="T3446">
        <v>48.379432999999999</v>
      </c>
      <c r="U3446">
        <v>31.165579999999999</v>
      </c>
    </row>
    <row r="3447" spans="1:21">
      <c r="A3447" t="s">
        <v>187</v>
      </c>
      <c r="B3447">
        <v>2006</v>
      </c>
      <c r="C3447">
        <v>34864.605000000003</v>
      </c>
      <c r="D3447">
        <v>303989.9902</v>
      </c>
      <c r="E3447">
        <v>90.09</v>
      </c>
      <c r="F3447">
        <v>90.22</v>
      </c>
      <c r="G3447">
        <v>12.92</v>
      </c>
      <c r="H3447">
        <v>53.376804</v>
      </c>
      <c r="J3447">
        <v>1.75</v>
      </c>
      <c r="K3447">
        <v>75</v>
      </c>
      <c r="L3447">
        <v>100</v>
      </c>
      <c r="M3447">
        <v>93.6</v>
      </c>
      <c r="N3447">
        <v>2.2632829999999999</v>
      </c>
      <c r="P3447">
        <v>7.5714207619999998</v>
      </c>
      <c r="Q3447">
        <v>2391.323934</v>
      </c>
      <c r="R3447">
        <v>10.23</v>
      </c>
      <c r="S3447">
        <v>603550</v>
      </c>
      <c r="T3447">
        <v>48.379432999999999</v>
      </c>
      <c r="U3447">
        <v>31.165579999999999</v>
      </c>
    </row>
    <row r="3448" spans="1:21">
      <c r="A3448" t="s">
        <v>187</v>
      </c>
      <c r="B3448">
        <v>2007</v>
      </c>
      <c r="C3448">
        <v>34933.589999999997</v>
      </c>
      <c r="D3448">
        <v>312140.01459999999</v>
      </c>
      <c r="E3448">
        <v>93.13</v>
      </c>
      <c r="F3448">
        <v>92.54</v>
      </c>
      <c r="G3448">
        <v>10.47</v>
      </c>
      <c r="H3448">
        <v>52.518610000000002</v>
      </c>
      <c r="J3448">
        <v>2.39</v>
      </c>
      <c r="K3448">
        <v>75</v>
      </c>
      <c r="L3448">
        <v>99.8</v>
      </c>
      <c r="M3448">
        <v>93.9</v>
      </c>
      <c r="N3448">
        <v>1.8360311</v>
      </c>
      <c r="P3448">
        <v>8.2158444510000006</v>
      </c>
      <c r="Q3448">
        <v>3197.934295</v>
      </c>
      <c r="R3448">
        <v>9.7799999999999994</v>
      </c>
      <c r="S3448">
        <v>603550</v>
      </c>
      <c r="T3448">
        <v>48.379432999999999</v>
      </c>
      <c r="U3448">
        <v>31.165579999999999</v>
      </c>
    </row>
    <row r="3449" spans="1:21">
      <c r="A3449" t="s">
        <v>187</v>
      </c>
      <c r="B3449">
        <v>2008</v>
      </c>
      <c r="C3449">
        <v>33911.269999999997</v>
      </c>
      <c r="D3449">
        <v>301200.0122</v>
      </c>
      <c r="E3449">
        <v>90.92</v>
      </c>
      <c r="F3449">
        <v>89.84</v>
      </c>
      <c r="G3449">
        <v>11.82</v>
      </c>
      <c r="H3449">
        <v>52.788451999999999</v>
      </c>
      <c r="J3449">
        <v>2.72</v>
      </c>
      <c r="K3449">
        <v>75</v>
      </c>
      <c r="L3449">
        <v>100</v>
      </c>
      <c r="M3449">
        <v>94</v>
      </c>
      <c r="N3449">
        <v>2.133</v>
      </c>
      <c r="P3449">
        <v>2.2434915979999999</v>
      </c>
      <c r="Q3449">
        <v>4066.547885</v>
      </c>
      <c r="R3449">
        <v>9.24</v>
      </c>
      <c r="S3449">
        <v>603550</v>
      </c>
      <c r="T3449">
        <v>48.379432999999999</v>
      </c>
      <c r="U3449">
        <v>31.165579999999999</v>
      </c>
    </row>
    <row r="3450" spans="1:21">
      <c r="A3450" t="s">
        <v>187</v>
      </c>
      <c r="B3450">
        <v>2009</v>
      </c>
      <c r="C3450">
        <v>29011.01</v>
      </c>
      <c r="D3450">
        <v>251619.9951</v>
      </c>
      <c r="E3450">
        <v>78.58</v>
      </c>
      <c r="F3450">
        <v>82.92</v>
      </c>
      <c r="G3450">
        <v>12.12</v>
      </c>
      <c r="H3450">
        <v>54.74024</v>
      </c>
      <c r="J3450">
        <v>2.96</v>
      </c>
      <c r="K3450">
        <v>75</v>
      </c>
      <c r="L3450">
        <v>100</v>
      </c>
      <c r="M3450">
        <v>94.2</v>
      </c>
      <c r="N3450">
        <v>2.5476245999999998</v>
      </c>
      <c r="P3450">
        <v>-15.13646791</v>
      </c>
      <c r="Q3450">
        <v>2639.391654</v>
      </c>
      <c r="R3450">
        <v>9.1999999999999993</v>
      </c>
      <c r="S3450">
        <v>603550</v>
      </c>
      <c r="T3450">
        <v>48.379432999999999</v>
      </c>
      <c r="U3450">
        <v>31.165579999999999</v>
      </c>
    </row>
    <row r="3451" spans="1:21">
      <c r="A3451" t="s">
        <v>187</v>
      </c>
      <c r="B3451">
        <v>2010</v>
      </c>
      <c r="C3451">
        <v>31235.119999999999</v>
      </c>
      <c r="D3451">
        <v>268920.0134</v>
      </c>
      <c r="E3451">
        <v>86.28</v>
      </c>
      <c r="F3451">
        <v>89.15</v>
      </c>
      <c r="G3451">
        <v>13.39</v>
      </c>
      <c r="H3451">
        <v>54.305686999999999</v>
      </c>
      <c r="J3451">
        <v>2.88</v>
      </c>
      <c r="K3451">
        <v>75</v>
      </c>
      <c r="L3451">
        <v>100</v>
      </c>
      <c r="M3451">
        <v>94.3</v>
      </c>
      <c r="N3451">
        <v>2.6100599999999998</v>
      </c>
      <c r="P3451">
        <v>4.0920043670000004</v>
      </c>
      <c r="Q3451">
        <v>3078.4299820000001</v>
      </c>
      <c r="R3451">
        <v>10.26</v>
      </c>
      <c r="S3451">
        <v>603550</v>
      </c>
      <c r="T3451">
        <v>48.379432999999999</v>
      </c>
      <c r="U3451">
        <v>31.165579999999999</v>
      </c>
    </row>
    <row r="3452" spans="1:21">
      <c r="A3452" t="s">
        <v>187</v>
      </c>
      <c r="B3452">
        <v>2011</v>
      </c>
      <c r="C3452">
        <v>32400.47</v>
      </c>
      <c r="D3452">
        <v>283339.9963</v>
      </c>
      <c r="E3452">
        <v>93.5</v>
      </c>
      <c r="F3452">
        <v>90.25</v>
      </c>
      <c r="G3452">
        <v>11.2</v>
      </c>
      <c r="H3452">
        <v>52.038986000000001</v>
      </c>
      <c r="J3452">
        <v>2.74</v>
      </c>
      <c r="K3452">
        <v>75</v>
      </c>
      <c r="L3452">
        <v>100</v>
      </c>
      <c r="M3452">
        <v>94.6</v>
      </c>
      <c r="N3452">
        <v>2.0985288999999998</v>
      </c>
      <c r="P3452">
        <v>5.4452808130000001</v>
      </c>
      <c r="Q3452">
        <v>3704.8249730000002</v>
      </c>
      <c r="R3452">
        <v>9.3000000000000007</v>
      </c>
      <c r="S3452">
        <v>603550</v>
      </c>
      <c r="T3452">
        <v>48.379432999999999</v>
      </c>
      <c r="U3452">
        <v>31.165579999999999</v>
      </c>
    </row>
    <row r="3453" spans="1:21">
      <c r="A3453" t="s">
        <v>187</v>
      </c>
      <c r="B3453">
        <v>2012</v>
      </c>
      <c r="C3453">
        <v>31779.546999999999</v>
      </c>
      <c r="D3453">
        <v>277109.98540000001</v>
      </c>
      <c r="E3453">
        <v>96.99</v>
      </c>
      <c r="F3453">
        <v>90.14</v>
      </c>
      <c r="G3453">
        <v>11.23</v>
      </c>
      <c r="H3453">
        <v>51.104053</v>
      </c>
      <c r="J3453">
        <v>2.86</v>
      </c>
      <c r="K3453">
        <v>75</v>
      </c>
      <c r="L3453">
        <v>99.867490000000004</v>
      </c>
      <c r="M3453">
        <v>94.7</v>
      </c>
      <c r="N3453">
        <v>2.138865</v>
      </c>
      <c r="P3453">
        <v>0.152314965</v>
      </c>
      <c r="Q3453">
        <v>4004.804396</v>
      </c>
      <c r="R3453">
        <v>8.98</v>
      </c>
      <c r="S3453">
        <v>603550</v>
      </c>
      <c r="T3453">
        <v>48.379432999999999</v>
      </c>
      <c r="U3453">
        <v>31.165579999999999</v>
      </c>
    </row>
    <row r="3454" spans="1:21">
      <c r="A3454" t="s">
        <v>187</v>
      </c>
      <c r="B3454">
        <v>2013</v>
      </c>
      <c r="C3454">
        <v>30228.559000000001</v>
      </c>
      <c r="D3454">
        <v>270269.989</v>
      </c>
      <c r="E3454">
        <v>95.39</v>
      </c>
      <c r="F3454">
        <v>83.21</v>
      </c>
      <c r="G3454">
        <v>15.11</v>
      </c>
      <c r="H3454">
        <v>50.756283000000003</v>
      </c>
      <c r="J3454">
        <v>3.49</v>
      </c>
      <c r="K3454">
        <v>75</v>
      </c>
      <c r="L3454">
        <v>100</v>
      </c>
      <c r="M3454">
        <v>94.8</v>
      </c>
      <c r="N3454">
        <v>3.0111837000000001</v>
      </c>
      <c r="P3454">
        <v>4.5439093999999999E-2</v>
      </c>
      <c r="Q3454">
        <v>4187.7398450000001</v>
      </c>
      <c r="R3454">
        <v>8.52</v>
      </c>
      <c r="S3454">
        <v>603550</v>
      </c>
      <c r="T3454">
        <v>48.379432999999999</v>
      </c>
      <c r="U3454">
        <v>31.165579999999999</v>
      </c>
    </row>
    <row r="3455" spans="1:21">
      <c r="A3455" t="s">
        <v>187</v>
      </c>
      <c r="B3455">
        <v>2014</v>
      </c>
      <c r="C3455">
        <v>26764.613000000001</v>
      </c>
      <c r="D3455">
        <v>237729.9957</v>
      </c>
      <c r="E3455">
        <v>83.42</v>
      </c>
      <c r="F3455">
        <v>88.39</v>
      </c>
      <c r="G3455">
        <v>10.17</v>
      </c>
      <c r="H3455">
        <v>54.159798000000002</v>
      </c>
      <c r="J3455">
        <v>3.5</v>
      </c>
      <c r="K3455">
        <v>75</v>
      </c>
      <c r="L3455">
        <v>100</v>
      </c>
      <c r="M3455">
        <v>94.8</v>
      </c>
      <c r="N3455">
        <v>2.2846858999999999</v>
      </c>
      <c r="P3455">
        <v>-10.078894979999999</v>
      </c>
      <c r="Q3455">
        <v>3104.6432060000002</v>
      </c>
      <c r="R3455">
        <v>8.2899999999999991</v>
      </c>
      <c r="S3455">
        <v>603550</v>
      </c>
      <c r="T3455">
        <v>48.379432999999999</v>
      </c>
      <c r="U3455">
        <v>31.165579999999999</v>
      </c>
    </row>
    <row r="3456" spans="1:21">
      <c r="A3456" t="s">
        <v>187</v>
      </c>
      <c r="B3456">
        <v>2015</v>
      </c>
      <c r="C3456">
        <v>22306.594000000001</v>
      </c>
      <c r="D3456">
        <v>191070.0073</v>
      </c>
      <c r="E3456">
        <v>66.91</v>
      </c>
      <c r="F3456">
        <v>87.63</v>
      </c>
      <c r="G3456">
        <v>7.1</v>
      </c>
      <c r="H3456">
        <v>58.605544999999999</v>
      </c>
      <c r="J3456">
        <v>4.1500000000000004</v>
      </c>
      <c r="K3456">
        <v>75</v>
      </c>
      <c r="L3456">
        <v>100</v>
      </c>
      <c r="M3456">
        <v>94.9</v>
      </c>
      <c r="N3456">
        <v>1.9133266</v>
      </c>
      <c r="P3456">
        <v>-9.7729872110000002</v>
      </c>
      <c r="Q3456">
        <v>2124.662319</v>
      </c>
      <c r="R3456">
        <v>8.07</v>
      </c>
      <c r="S3456">
        <v>603550</v>
      </c>
      <c r="T3456">
        <v>48.379432999999999</v>
      </c>
      <c r="U3456">
        <v>31.165579999999999</v>
      </c>
    </row>
    <row r="3457" spans="1:21">
      <c r="A3457" t="s">
        <v>187</v>
      </c>
      <c r="B3457">
        <v>2016</v>
      </c>
      <c r="C3457">
        <v>23419.848000000002</v>
      </c>
      <c r="D3457">
        <v>201660.0037</v>
      </c>
      <c r="E3457">
        <v>72.66</v>
      </c>
      <c r="F3457">
        <v>80.95</v>
      </c>
      <c r="G3457">
        <v>9.25</v>
      </c>
      <c r="H3457">
        <v>55.384995000000004</v>
      </c>
      <c r="J3457">
        <v>5.48</v>
      </c>
      <c r="K3457">
        <v>75</v>
      </c>
      <c r="L3457">
        <v>100</v>
      </c>
      <c r="M3457">
        <v>94.9</v>
      </c>
      <c r="N3457">
        <v>2.366657</v>
      </c>
      <c r="P3457">
        <v>2.4409819449999999</v>
      </c>
      <c r="Q3457">
        <v>2187.7305099999999</v>
      </c>
      <c r="R3457">
        <v>7.79</v>
      </c>
      <c r="S3457">
        <v>603550</v>
      </c>
      <c r="T3457">
        <v>48.379432999999999</v>
      </c>
      <c r="U3457">
        <v>31.165579999999999</v>
      </c>
    </row>
    <row r="3458" spans="1:21">
      <c r="A3458" t="s">
        <v>187</v>
      </c>
      <c r="B3458">
        <v>2017</v>
      </c>
      <c r="C3458">
        <v>21840.365000000002</v>
      </c>
      <c r="D3458">
        <v>174940.0024</v>
      </c>
      <c r="E3458">
        <v>57.96</v>
      </c>
      <c r="F3458">
        <v>85.58</v>
      </c>
      <c r="G3458">
        <v>10.88</v>
      </c>
      <c r="H3458">
        <v>62.466003000000001</v>
      </c>
      <c r="J3458">
        <v>6.48</v>
      </c>
      <c r="K3458">
        <v>75</v>
      </c>
      <c r="L3458">
        <v>100</v>
      </c>
      <c r="M3458">
        <v>94.9</v>
      </c>
      <c r="N3458">
        <v>2.9754003999999998</v>
      </c>
      <c r="P3458">
        <v>2.3599722810000001</v>
      </c>
      <c r="Q3458">
        <v>2638.326055</v>
      </c>
      <c r="R3458">
        <v>7.42</v>
      </c>
      <c r="S3458">
        <v>603550</v>
      </c>
      <c r="T3458">
        <v>48.379432999999999</v>
      </c>
      <c r="U3458">
        <v>31.165579999999999</v>
      </c>
    </row>
    <row r="3459" spans="1:21">
      <c r="A3459" t="s">
        <v>187</v>
      </c>
      <c r="B3459">
        <v>2018</v>
      </c>
      <c r="C3459">
        <v>22768.458999999999</v>
      </c>
      <c r="D3459">
        <v>185619.9951</v>
      </c>
      <c r="E3459">
        <v>60.81</v>
      </c>
      <c r="F3459">
        <v>84.4</v>
      </c>
      <c r="G3459">
        <v>13.02</v>
      </c>
      <c r="H3459">
        <v>61.568604000000001</v>
      </c>
      <c r="J3459">
        <v>6.92</v>
      </c>
      <c r="K3459">
        <v>75</v>
      </c>
      <c r="L3459">
        <v>100</v>
      </c>
      <c r="M3459">
        <v>95</v>
      </c>
      <c r="N3459">
        <v>3.4212277000000002</v>
      </c>
      <c r="P3459">
        <v>3.4883623419999998</v>
      </c>
      <c r="Q3459">
        <v>3096.5616970000001</v>
      </c>
      <c r="R3459">
        <v>7.51</v>
      </c>
      <c r="S3459">
        <v>603550</v>
      </c>
      <c r="T3459">
        <v>48.379432999999999</v>
      </c>
      <c r="U3459">
        <v>31.165579999999999</v>
      </c>
    </row>
    <row r="3460" spans="1:21">
      <c r="A3460" t="s">
        <v>187</v>
      </c>
      <c r="B3460">
        <v>2019</v>
      </c>
      <c r="C3460">
        <v>21661.146000000001</v>
      </c>
      <c r="D3460">
        <v>174729.9957</v>
      </c>
      <c r="E3460">
        <v>57.79</v>
      </c>
      <c r="F3460">
        <v>83</v>
      </c>
      <c r="G3460">
        <v>11.87</v>
      </c>
      <c r="H3460">
        <v>62.144634000000003</v>
      </c>
      <c r="J3460">
        <v>7.44</v>
      </c>
      <c r="K3460">
        <v>75</v>
      </c>
      <c r="L3460">
        <v>100</v>
      </c>
      <c r="M3460">
        <v>94.9</v>
      </c>
      <c r="N3460">
        <v>3.2903612</v>
      </c>
      <c r="P3460">
        <v>3.1995038619999998</v>
      </c>
      <c r="Q3460">
        <v>3661.4562040000001</v>
      </c>
      <c r="R3460">
        <v>6.95</v>
      </c>
      <c r="S3460">
        <v>603550</v>
      </c>
      <c r="T3460">
        <v>48.379432999999999</v>
      </c>
      <c r="U3460">
        <v>31.165579999999999</v>
      </c>
    </row>
    <row r="3461" spans="1:21">
      <c r="A3461" t="s">
        <v>187</v>
      </c>
      <c r="B3461">
        <v>2020</v>
      </c>
      <c r="C3461">
        <v>20916.844000000001</v>
      </c>
      <c r="E3461">
        <v>54.5</v>
      </c>
      <c r="F3461">
        <v>76.2</v>
      </c>
      <c r="G3461">
        <v>17.559999999999999</v>
      </c>
      <c r="H3461">
        <v>63.240257</v>
      </c>
      <c r="K3461">
        <v>75</v>
      </c>
      <c r="L3461">
        <v>100</v>
      </c>
      <c r="M3461">
        <v>94.9</v>
      </c>
      <c r="N3461">
        <v>4.8960786000000001</v>
      </c>
      <c r="P3461">
        <v>-4.0000061010000003</v>
      </c>
      <c r="Q3461">
        <v>3724.9384369999998</v>
      </c>
      <c r="S3461">
        <v>603550</v>
      </c>
      <c r="T3461">
        <v>48.379432999999999</v>
      </c>
      <c r="U3461">
        <v>31.165579999999999</v>
      </c>
    </row>
    <row r="3462" spans="1:21">
      <c r="A3462" t="s">
        <v>188</v>
      </c>
      <c r="B3462">
        <v>2000</v>
      </c>
      <c r="C3462">
        <v>163580.66</v>
      </c>
      <c r="D3462">
        <v>84730</v>
      </c>
      <c r="E3462">
        <v>37.54</v>
      </c>
      <c r="F3462">
        <v>0</v>
      </c>
      <c r="G3462">
        <v>0</v>
      </c>
      <c r="H3462">
        <v>0</v>
      </c>
      <c r="I3462">
        <v>0</v>
      </c>
      <c r="J3462">
        <v>0.08</v>
      </c>
      <c r="K3462">
        <v>118</v>
      </c>
      <c r="L3462">
        <v>100</v>
      </c>
      <c r="M3462">
        <v>100</v>
      </c>
      <c r="N3462">
        <v>0</v>
      </c>
      <c r="P3462">
        <v>10.852704210000001</v>
      </c>
      <c r="Q3462">
        <v>33291.366249999999</v>
      </c>
      <c r="R3462">
        <v>4.08</v>
      </c>
      <c r="S3462">
        <v>83600</v>
      </c>
      <c r="T3462">
        <v>23.424075999999999</v>
      </c>
      <c r="U3462">
        <v>53.847817999999997</v>
      </c>
    </row>
    <row r="3463" spans="1:21">
      <c r="A3463" t="s">
        <v>188</v>
      </c>
      <c r="B3463">
        <v>2001</v>
      </c>
      <c r="C3463">
        <v>156784.6</v>
      </c>
      <c r="D3463">
        <v>97200</v>
      </c>
      <c r="E3463">
        <v>40.58</v>
      </c>
      <c r="F3463">
        <v>0</v>
      </c>
      <c r="G3463">
        <v>0</v>
      </c>
      <c r="H3463">
        <v>0</v>
      </c>
      <c r="I3463">
        <v>0</v>
      </c>
      <c r="J3463">
        <v>0.06</v>
      </c>
      <c r="K3463">
        <v>118</v>
      </c>
      <c r="L3463">
        <v>100</v>
      </c>
      <c r="M3463">
        <v>100</v>
      </c>
      <c r="N3463">
        <v>0</v>
      </c>
      <c r="P3463">
        <v>1.39908503</v>
      </c>
      <c r="Q3463">
        <v>31280.755860000001</v>
      </c>
      <c r="R3463">
        <v>5.6</v>
      </c>
      <c r="S3463">
        <v>83600</v>
      </c>
      <c r="T3463">
        <v>23.424075999999999</v>
      </c>
      <c r="U3463">
        <v>53.847817999999997</v>
      </c>
    </row>
    <row r="3464" spans="1:21">
      <c r="A3464" t="s">
        <v>188</v>
      </c>
      <c r="B3464">
        <v>2002</v>
      </c>
      <c r="C3464">
        <v>162836.45000000001</v>
      </c>
      <c r="D3464">
        <v>99150.001529999994</v>
      </c>
      <c r="E3464">
        <v>44.04</v>
      </c>
      <c r="F3464">
        <v>0</v>
      </c>
      <c r="G3464">
        <v>0</v>
      </c>
      <c r="H3464">
        <v>0</v>
      </c>
      <c r="I3464">
        <v>0</v>
      </c>
      <c r="J3464">
        <v>7.0000000000000007E-2</v>
      </c>
      <c r="K3464">
        <v>118</v>
      </c>
      <c r="L3464">
        <v>100</v>
      </c>
      <c r="M3464">
        <v>100</v>
      </c>
      <c r="N3464">
        <v>0</v>
      </c>
      <c r="P3464">
        <v>2.43345681</v>
      </c>
      <c r="Q3464">
        <v>31567.546310000002</v>
      </c>
      <c r="R3464">
        <v>5.4</v>
      </c>
      <c r="S3464">
        <v>83600</v>
      </c>
      <c r="T3464">
        <v>23.424075999999999</v>
      </c>
      <c r="U3464">
        <v>53.847817999999997</v>
      </c>
    </row>
    <row r="3465" spans="1:21">
      <c r="A3465" t="s">
        <v>188</v>
      </c>
      <c r="B3465">
        <v>2003</v>
      </c>
      <c r="C3465">
        <v>165507.6</v>
      </c>
      <c r="D3465">
        <v>103819.9997</v>
      </c>
      <c r="E3465">
        <v>46.48</v>
      </c>
      <c r="F3465">
        <v>0</v>
      </c>
      <c r="G3465">
        <v>0</v>
      </c>
      <c r="H3465">
        <v>0</v>
      </c>
      <c r="I3465">
        <v>0</v>
      </c>
      <c r="J3465">
        <v>7.0000000000000007E-2</v>
      </c>
      <c r="K3465">
        <v>118</v>
      </c>
      <c r="L3465">
        <v>100</v>
      </c>
      <c r="M3465">
        <v>100</v>
      </c>
      <c r="N3465">
        <v>0</v>
      </c>
      <c r="P3465">
        <v>8.8005408149999997</v>
      </c>
      <c r="Q3465">
        <v>33499.102780000001</v>
      </c>
      <c r="R3465">
        <v>4.88</v>
      </c>
      <c r="S3465">
        <v>83600</v>
      </c>
      <c r="T3465">
        <v>23.424075999999999</v>
      </c>
      <c r="U3465">
        <v>53.847817999999997</v>
      </c>
    </row>
    <row r="3466" spans="1:21">
      <c r="A3466" t="s">
        <v>188</v>
      </c>
      <c r="B3466">
        <v>2004</v>
      </c>
      <c r="C3466">
        <v>169047.55</v>
      </c>
      <c r="D3466">
        <v>110010.0021</v>
      </c>
      <c r="E3466">
        <v>49.27</v>
      </c>
      <c r="F3466">
        <v>0</v>
      </c>
      <c r="G3466">
        <v>0</v>
      </c>
      <c r="H3466">
        <v>0</v>
      </c>
      <c r="I3466">
        <v>0</v>
      </c>
      <c r="J3466">
        <v>0.1</v>
      </c>
      <c r="K3466">
        <v>118</v>
      </c>
      <c r="L3466">
        <v>100</v>
      </c>
      <c r="M3466">
        <v>100</v>
      </c>
      <c r="N3466">
        <v>0</v>
      </c>
      <c r="P3466">
        <v>9.5664366370000007</v>
      </c>
      <c r="Q3466">
        <v>36333.187330000001</v>
      </c>
      <c r="R3466">
        <v>4.4000000000000004</v>
      </c>
      <c r="S3466">
        <v>83600</v>
      </c>
      <c r="T3466">
        <v>23.424075999999999</v>
      </c>
      <c r="U3466">
        <v>53.847817999999997</v>
      </c>
    </row>
    <row r="3467" spans="1:21">
      <c r="A3467" t="s">
        <v>188</v>
      </c>
      <c r="B3467">
        <v>2005</v>
      </c>
      <c r="C3467">
        <v>164587.45000000001</v>
      </c>
      <c r="D3467">
        <v>116459.9991</v>
      </c>
      <c r="E3467">
        <v>57.05</v>
      </c>
      <c r="F3467">
        <v>0</v>
      </c>
      <c r="G3467">
        <v>0</v>
      </c>
      <c r="H3467">
        <v>0</v>
      </c>
      <c r="I3467">
        <v>0</v>
      </c>
      <c r="J3467">
        <v>0.11</v>
      </c>
      <c r="K3467">
        <v>118</v>
      </c>
      <c r="L3467">
        <v>100</v>
      </c>
      <c r="M3467">
        <v>100</v>
      </c>
      <c r="N3467">
        <v>0</v>
      </c>
      <c r="P3467">
        <v>4.8551411959999999</v>
      </c>
      <c r="Q3467">
        <v>39365.459640000001</v>
      </c>
      <c r="R3467">
        <v>4.47</v>
      </c>
      <c r="S3467">
        <v>83600</v>
      </c>
      <c r="T3467">
        <v>23.424075999999999</v>
      </c>
      <c r="U3467">
        <v>53.847817999999997</v>
      </c>
    </row>
    <row r="3468" spans="1:21">
      <c r="A3468" t="s">
        <v>188</v>
      </c>
      <c r="B3468">
        <v>2006</v>
      </c>
      <c r="C3468">
        <v>151316.51999999999</v>
      </c>
      <c r="D3468">
        <v>121559.9976</v>
      </c>
      <c r="E3468">
        <v>62.76</v>
      </c>
      <c r="F3468">
        <v>0</v>
      </c>
      <c r="G3468">
        <v>0</v>
      </c>
      <c r="H3468">
        <v>0</v>
      </c>
      <c r="I3468">
        <v>0</v>
      </c>
      <c r="J3468">
        <v>0.12</v>
      </c>
      <c r="K3468">
        <v>118</v>
      </c>
      <c r="L3468">
        <v>100</v>
      </c>
      <c r="M3468">
        <v>100</v>
      </c>
      <c r="N3468">
        <v>0</v>
      </c>
      <c r="P3468">
        <v>9.8373197730000008</v>
      </c>
      <c r="Q3468">
        <v>41907.421470000001</v>
      </c>
      <c r="R3468">
        <v>4.2300000000000004</v>
      </c>
      <c r="S3468">
        <v>83600</v>
      </c>
      <c r="T3468">
        <v>23.424075999999999</v>
      </c>
      <c r="U3468">
        <v>53.847817999999997</v>
      </c>
    </row>
    <row r="3469" spans="1:21">
      <c r="A3469" t="s">
        <v>188</v>
      </c>
      <c r="B3469">
        <v>2007</v>
      </c>
      <c r="C3469">
        <v>139351.47</v>
      </c>
      <c r="D3469">
        <v>131830.0018</v>
      </c>
      <c r="E3469">
        <v>74.03</v>
      </c>
      <c r="F3469">
        <v>0</v>
      </c>
      <c r="G3469">
        <v>0</v>
      </c>
      <c r="H3469">
        <v>0</v>
      </c>
      <c r="I3469">
        <v>0</v>
      </c>
      <c r="J3469">
        <v>0.11</v>
      </c>
      <c r="K3469">
        <v>118</v>
      </c>
      <c r="L3469">
        <v>100</v>
      </c>
      <c r="M3469">
        <v>100</v>
      </c>
      <c r="N3469">
        <v>0</v>
      </c>
      <c r="P3469">
        <v>3.1843901739999998</v>
      </c>
      <c r="Q3469">
        <v>41809.462160000003</v>
      </c>
      <c r="R3469">
        <v>4.45</v>
      </c>
      <c r="S3469">
        <v>83600</v>
      </c>
      <c r="T3469">
        <v>23.424075999999999</v>
      </c>
      <c r="U3469">
        <v>53.847817999999997</v>
      </c>
    </row>
    <row r="3470" spans="1:21">
      <c r="A3470" t="s">
        <v>188</v>
      </c>
      <c r="B3470">
        <v>2008</v>
      </c>
      <c r="C3470">
        <v>134274.22</v>
      </c>
      <c r="D3470">
        <v>156050.0031</v>
      </c>
      <c r="E3470">
        <v>77.06</v>
      </c>
      <c r="F3470">
        <v>0</v>
      </c>
      <c r="G3470">
        <v>0</v>
      </c>
      <c r="H3470">
        <v>0</v>
      </c>
      <c r="I3470">
        <v>0</v>
      </c>
      <c r="J3470">
        <v>0.11</v>
      </c>
      <c r="K3470">
        <v>118</v>
      </c>
      <c r="L3470">
        <v>100</v>
      </c>
      <c r="M3470">
        <v>100</v>
      </c>
      <c r="N3470">
        <v>0</v>
      </c>
      <c r="P3470">
        <v>3.1918362760000001</v>
      </c>
      <c r="Q3470">
        <v>44498.94051</v>
      </c>
      <c r="R3470">
        <v>5.0999999999999996</v>
      </c>
      <c r="S3470">
        <v>83600</v>
      </c>
      <c r="T3470">
        <v>23.424075999999999</v>
      </c>
      <c r="U3470">
        <v>53.847817999999997</v>
      </c>
    </row>
    <row r="3471" spans="1:21">
      <c r="A3471" t="s">
        <v>188</v>
      </c>
      <c r="B3471">
        <v>2009</v>
      </c>
      <c r="C3471">
        <v>115803.19</v>
      </c>
      <c r="D3471">
        <v>157020.0043</v>
      </c>
      <c r="E3471">
        <v>82.9</v>
      </c>
      <c r="F3471">
        <v>0</v>
      </c>
      <c r="G3471">
        <v>0.01</v>
      </c>
      <c r="H3471">
        <v>1.2061271E-2</v>
      </c>
      <c r="I3471">
        <v>1.27</v>
      </c>
      <c r="J3471">
        <v>0.11</v>
      </c>
      <c r="K3471">
        <v>118</v>
      </c>
      <c r="L3471">
        <v>100</v>
      </c>
      <c r="M3471">
        <v>100</v>
      </c>
      <c r="N3471">
        <v>1.917726E-3</v>
      </c>
      <c r="P3471">
        <v>-5.2429219070000004</v>
      </c>
      <c r="Q3471">
        <v>32024.197779999999</v>
      </c>
      <c r="R3471">
        <v>5.76</v>
      </c>
      <c r="S3471">
        <v>83600</v>
      </c>
      <c r="T3471">
        <v>23.424075999999999</v>
      </c>
      <c r="U3471">
        <v>53.847817999999997</v>
      </c>
    </row>
    <row r="3472" spans="1:21">
      <c r="A3472" t="s">
        <v>188</v>
      </c>
      <c r="B3472">
        <v>2010</v>
      </c>
      <c r="C3472">
        <v>114656.625</v>
      </c>
      <c r="D3472">
        <v>162789.9933</v>
      </c>
      <c r="E3472">
        <v>88.31</v>
      </c>
      <c r="F3472">
        <v>0</v>
      </c>
      <c r="G3472">
        <v>0.02</v>
      </c>
      <c r="H3472">
        <v>2.2642362999999999E-2</v>
      </c>
      <c r="I3472">
        <v>1.27</v>
      </c>
      <c r="J3472">
        <v>0.11</v>
      </c>
      <c r="K3472">
        <v>118</v>
      </c>
      <c r="L3472">
        <v>100</v>
      </c>
      <c r="M3472">
        <v>100</v>
      </c>
      <c r="N3472">
        <v>5.2583710000000004E-3</v>
      </c>
      <c r="P3472">
        <v>1.6028500480000001</v>
      </c>
      <c r="Q3472">
        <v>33893.263870000002</v>
      </c>
      <c r="R3472">
        <v>5.48</v>
      </c>
      <c r="S3472">
        <v>83600</v>
      </c>
      <c r="T3472">
        <v>23.424075999999999</v>
      </c>
      <c r="U3472">
        <v>53.847817999999997</v>
      </c>
    </row>
    <row r="3473" spans="1:21">
      <c r="A3473" t="s">
        <v>188</v>
      </c>
      <c r="B3473">
        <v>2011</v>
      </c>
      <c r="C3473">
        <v>119056.13</v>
      </c>
      <c r="D3473">
        <v>165600.0061</v>
      </c>
      <c r="E3473">
        <v>93.19</v>
      </c>
      <c r="F3473">
        <v>0</v>
      </c>
      <c r="G3473">
        <v>0.03</v>
      </c>
      <c r="H3473">
        <v>3.2181934000000002E-2</v>
      </c>
      <c r="I3473">
        <v>1.42</v>
      </c>
      <c r="J3473">
        <v>0.11</v>
      </c>
      <c r="K3473">
        <v>118</v>
      </c>
      <c r="L3473">
        <v>100</v>
      </c>
      <c r="M3473">
        <v>100</v>
      </c>
      <c r="N3473">
        <v>5.5922519999999998E-3</v>
      </c>
      <c r="P3473">
        <v>6.9285085989999997</v>
      </c>
      <c r="Q3473">
        <v>39194.67224</v>
      </c>
      <c r="R3473">
        <v>5.03</v>
      </c>
      <c r="S3473">
        <v>83600</v>
      </c>
      <c r="T3473">
        <v>23.424075999999999</v>
      </c>
      <c r="U3473">
        <v>53.847817999999997</v>
      </c>
    </row>
    <row r="3474" spans="1:21">
      <c r="A3474" t="s">
        <v>188</v>
      </c>
      <c r="B3474">
        <v>2012</v>
      </c>
      <c r="C3474">
        <v>123958.766</v>
      </c>
      <c r="D3474">
        <v>175589.9963</v>
      </c>
      <c r="E3474">
        <v>99.83</v>
      </c>
      <c r="F3474">
        <v>0</v>
      </c>
      <c r="G3474">
        <v>0.02</v>
      </c>
      <c r="H3474">
        <v>2.0030045999999999E-2</v>
      </c>
      <c r="I3474">
        <v>1.45</v>
      </c>
      <c r="J3474">
        <v>0.1</v>
      </c>
      <c r="K3474">
        <v>118</v>
      </c>
      <c r="L3474">
        <v>100</v>
      </c>
      <c r="M3474">
        <v>100</v>
      </c>
      <c r="N3474">
        <v>6.1884380000000001E-3</v>
      </c>
      <c r="P3474">
        <v>4.4837919849999999</v>
      </c>
      <c r="Q3474">
        <v>40976.490749999997</v>
      </c>
      <c r="R3474">
        <v>5.1100000000000003</v>
      </c>
      <c r="S3474">
        <v>83600</v>
      </c>
      <c r="T3474">
        <v>23.424075999999999</v>
      </c>
      <c r="U3474">
        <v>53.847817999999997</v>
      </c>
    </row>
    <row r="3475" spans="1:21">
      <c r="A3475" t="s">
        <v>188</v>
      </c>
      <c r="B3475">
        <v>2013</v>
      </c>
      <c r="C3475">
        <v>129486.234</v>
      </c>
      <c r="D3475">
        <v>184470.0012</v>
      </c>
      <c r="E3475">
        <v>103.33</v>
      </c>
      <c r="F3475">
        <v>0</v>
      </c>
      <c r="G3475">
        <v>0.08</v>
      </c>
      <c r="H3475">
        <v>7.7361955999999996E-2</v>
      </c>
      <c r="I3475">
        <v>13.88</v>
      </c>
      <c r="J3475">
        <v>0.1</v>
      </c>
      <c r="K3475">
        <v>118</v>
      </c>
      <c r="L3475">
        <v>100</v>
      </c>
      <c r="M3475">
        <v>100</v>
      </c>
      <c r="N3475">
        <v>2.0930015E-2</v>
      </c>
      <c r="P3475">
        <v>5.0530778549999997</v>
      </c>
      <c r="Q3475">
        <v>42412.639499999997</v>
      </c>
      <c r="R3475">
        <v>5.13</v>
      </c>
      <c r="S3475">
        <v>83600</v>
      </c>
      <c r="T3475">
        <v>23.424075999999999</v>
      </c>
      <c r="U3475">
        <v>53.847817999999997</v>
      </c>
    </row>
    <row r="3476" spans="1:21">
      <c r="A3476" t="s">
        <v>188</v>
      </c>
      <c r="B3476">
        <v>2014</v>
      </c>
      <c r="C3476">
        <v>127985.82</v>
      </c>
      <c r="D3476">
        <v>184759.9945</v>
      </c>
      <c r="E3476">
        <v>109.26</v>
      </c>
      <c r="F3476">
        <v>0</v>
      </c>
      <c r="G3476">
        <v>0.31</v>
      </c>
      <c r="H3476">
        <v>0.28292414999999999</v>
      </c>
      <c r="I3476">
        <v>14.75</v>
      </c>
      <c r="J3476">
        <v>0.14000000000000001</v>
      </c>
      <c r="K3476">
        <v>118</v>
      </c>
      <c r="L3476">
        <v>100</v>
      </c>
      <c r="M3476">
        <v>100</v>
      </c>
      <c r="N3476">
        <v>7.6917040000000006E-2</v>
      </c>
      <c r="P3476">
        <v>4.4100852599999998</v>
      </c>
      <c r="Q3476">
        <v>43751.805650000002</v>
      </c>
      <c r="R3476">
        <v>5.4</v>
      </c>
      <c r="S3476">
        <v>83600</v>
      </c>
      <c r="T3476">
        <v>23.424075999999999</v>
      </c>
      <c r="U3476">
        <v>53.847817999999997</v>
      </c>
    </row>
    <row r="3477" spans="1:21">
      <c r="A3477" t="s">
        <v>188</v>
      </c>
      <c r="B3477">
        <v>2015</v>
      </c>
      <c r="C3477">
        <v>137896.34</v>
      </c>
      <c r="D3477">
        <v>195240.0055</v>
      </c>
      <c r="E3477">
        <v>119.45</v>
      </c>
      <c r="F3477">
        <v>0</v>
      </c>
      <c r="G3477">
        <v>0.31</v>
      </c>
      <c r="H3477">
        <v>0.25885101999999999</v>
      </c>
      <c r="I3477">
        <v>14.71</v>
      </c>
      <c r="J3477">
        <v>0.13</v>
      </c>
      <c r="K3477">
        <v>118</v>
      </c>
      <c r="L3477">
        <v>100</v>
      </c>
      <c r="M3477">
        <v>100</v>
      </c>
      <c r="N3477">
        <v>6.952883E-2</v>
      </c>
      <c r="P3477">
        <v>5.0603348639999997</v>
      </c>
      <c r="Q3477">
        <v>38663.400500000003</v>
      </c>
      <c r="R3477">
        <v>5.56</v>
      </c>
      <c r="S3477">
        <v>83600</v>
      </c>
      <c r="T3477">
        <v>23.424075999999999</v>
      </c>
      <c r="U3477">
        <v>53.847817999999997</v>
      </c>
    </row>
    <row r="3478" spans="1:21">
      <c r="A3478" t="s">
        <v>188</v>
      </c>
      <c r="B3478">
        <v>2016</v>
      </c>
      <c r="C3478">
        <v>142115.26999999999</v>
      </c>
      <c r="D3478">
        <v>201080.0018</v>
      </c>
      <c r="E3478">
        <v>121.53</v>
      </c>
      <c r="F3478">
        <v>0</v>
      </c>
      <c r="G3478">
        <v>0.32</v>
      </c>
      <c r="H3478">
        <v>0.26261797999999997</v>
      </c>
      <c r="I3478">
        <v>15.12</v>
      </c>
      <c r="J3478">
        <v>0.12</v>
      </c>
      <c r="K3478">
        <v>118</v>
      </c>
      <c r="L3478">
        <v>100</v>
      </c>
      <c r="M3478">
        <v>100</v>
      </c>
      <c r="N3478">
        <v>6.7022319999999996E-2</v>
      </c>
      <c r="P3478">
        <v>2.984216091</v>
      </c>
      <c r="Q3478">
        <v>38141.867129999999</v>
      </c>
      <c r="R3478">
        <v>5.96</v>
      </c>
      <c r="S3478">
        <v>83600</v>
      </c>
      <c r="T3478">
        <v>23.424075999999999</v>
      </c>
      <c r="U3478">
        <v>53.847817999999997</v>
      </c>
    </row>
    <row r="3479" spans="1:21">
      <c r="A3479" t="s">
        <v>188</v>
      </c>
      <c r="B3479">
        <v>2017</v>
      </c>
      <c r="C3479">
        <v>135601.26999999999</v>
      </c>
      <c r="D3479">
        <v>197039.9933</v>
      </c>
      <c r="E3479">
        <v>125.79</v>
      </c>
      <c r="F3479">
        <v>0</v>
      </c>
      <c r="G3479">
        <v>0.75</v>
      </c>
      <c r="H3479">
        <v>0.59269799999999995</v>
      </c>
      <c r="I3479">
        <v>37.54</v>
      </c>
      <c r="J3479">
        <v>0.19</v>
      </c>
      <c r="K3479">
        <v>118</v>
      </c>
      <c r="L3479">
        <v>100</v>
      </c>
      <c r="M3479">
        <v>100</v>
      </c>
      <c r="N3479">
        <v>0.15412748000000001</v>
      </c>
      <c r="P3479">
        <v>2.3735510569999998</v>
      </c>
      <c r="Q3479">
        <v>40644.791190000004</v>
      </c>
      <c r="R3479">
        <v>4.54</v>
      </c>
      <c r="S3479">
        <v>83600</v>
      </c>
      <c r="T3479">
        <v>23.424075999999999</v>
      </c>
      <c r="U3479">
        <v>53.847817999999997</v>
      </c>
    </row>
    <row r="3480" spans="1:21">
      <c r="A3480" t="s">
        <v>188</v>
      </c>
      <c r="B3480">
        <v>2018</v>
      </c>
      <c r="C3480">
        <v>132789.17000000001</v>
      </c>
      <c r="D3480">
        <v>177119.9951</v>
      </c>
      <c r="E3480">
        <v>126.61</v>
      </c>
      <c r="F3480">
        <v>0</v>
      </c>
      <c r="G3480">
        <v>1.32</v>
      </c>
      <c r="H3480">
        <v>1.0318141999999999</v>
      </c>
      <c r="I3480">
        <v>62.24</v>
      </c>
      <c r="J3480">
        <v>0.32</v>
      </c>
      <c r="K3480">
        <v>118</v>
      </c>
      <c r="L3480">
        <v>100</v>
      </c>
      <c r="M3480">
        <v>100</v>
      </c>
      <c r="N3480">
        <v>0.2737676</v>
      </c>
      <c r="P3480">
        <v>1.1898556419999999</v>
      </c>
      <c r="Q3480">
        <v>43839.324489999999</v>
      </c>
      <c r="R3480">
        <v>4.1100000000000003</v>
      </c>
      <c r="S3480">
        <v>83600</v>
      </c>
      <c r="T3480">
        <v>23.424075999999999</v>
      </c>
      <c r="U3480">
        <v>53.847817999999997</v>
      </c>
    </row>
    <row r="3481" spans="1:21">
      <c r="A3481" t="s">
        <v>188</v>
      </c>
      <c r="B3481">
        <v>2019</v>
      </c>
      <c r="C3481">
        <v>134878.39000000001</v>
      </c>
      <c r="D3481">
        <v>188860.0006</v>
      </c>
      <c r="E3481">
        <v>125.85</v>
      </c>
      <c r="F3481">
        <v>0</v>
      </c>
      <c r="G3481">
        <v>3.8</v>
      </c>
      <c r="H3481">
        <v>2.930968</v>
      </c>
      <c r="I3481">
        <v>196.4</v>
      </c>
      <c r="J3481">
        <v>0.67</v>
      </c>
      <c r="K3481">
        <v>118</v>
      </c>
      <c r="L3481">
        <v>100</v>
      </c>
      <c r="M3481">
        <v>100</v>
      </c>
      <c r="N3481">
        <v>0.79182534999999998</v>
      </c>
      <c r="P3481">
        <v>3.4115386860000001</v>
      </c>
      <c r="Q3481">
        <v>42701.443050000002</v>
      </c>
      <c r="R3481">
        <v>3.36</v>
      </c>
      <c r="S3481">
        <v>83600</v>
      </c>
      <c r="T3481">
        <v>23.424075999999999</v>
      </c>
      <c r="U3481">
        <v>53.847817999999997</v>
      </c>
    </row>
    <row r="3482" spans="1:21">
      <c r="A3482" t="s">
        <v>188</v>
      </c>
      <c r="B3482">
        <v>2020</v>
      </c>
      <c r="C3482">
        <v>126073.66</v>
      </c>
      <c r="E3482">
        <v>119.49</v>
      </c>
      <c r="F3482">
        <v>1.56</v>
      </c>
      <c r="G3482">
        <v>5.5</v>
      </c>
      <c r="H3482">
        <v>5.5788225999999996</v>
      </c>
      <c r="I3482">
        <v>256.83999999999997</v>
      </c>
      <c r="K3482">
        <v>118</v>
      </c>
      <c r="L3482">
        <v>100</v>
      </c>
      <c r="M3482">
        <v>100</v>
      </c>
      <c r="N3482">
        <v>1.0150353999999999</v>
      </c>
      <c r="P3482">
        <v>-6.1345008029999999</v>
      </c>
      <c r="Q3482">
        <v>36284.555240000002</v>
      </c>
      <c r="S3482">
        <v>83600</v>
      </c>
      <c r="T3482">
        <v>23.424075999999999</v>
      </c>
      <c r="U3482">
        <v>53.847817999999997</v>
      </c>
    </row>
    <row r="3483" spans="1:21">
      <c r="A3483" t="s">
        <v>189</v>
      </c>
      <c r="B3483">
        <v>2000</v>
      </c>
      <c r="C3483">
        <v>45275.644999999997</v>
      </c>
      <c r="D3483">
        <v>530890</v>
      </c>
      <c r="E3483">
        <v>279.33999999999997</v>
      </c>
      <c r="F3483">
        <v>85.06</v>
      </c>
      <c r="G3483">
        <v>9.98</v>
      </c>
      <c r="H3483">
        <v>25.385971000000001</v>
      </c>
      <c r="J3483">
        <v>0.96</v>
      </c>
      <c r="K3483">
        <v>281</v>
      </c>
      <c r="L3483">
        <v>100</v>
      </c>
      <c r="M3483">
        <v>100</v>
      </c>
      <c r="N3483">
        <v>1.1345575000000001</v>
      </c>
      <c r="P3483">
        <v>3.672369105</v>
      </c>
      <c r="Q3483">
        <v>28223.067569999999</v>
      </c>
      <c r="R3483">
        <v>4.1399999999999997</v>
      </c>
      <c r="S3483">
        <v>243610</v>
      </c>
      <c r="T3483">
        <v>55.378050999999999</v>
      </c>
      <c r="U3483">
        <v>-3.4359730000000002</v>
      </c>
    </row>
    <row r="3484" spans="1:21">
      <c r="A3484" t="s">
        <v>189</v>
      </c>
      <c r="B3484">
        <v>2001</v>
      </c>
      <c r="C3484">
        <v>45559.023000000001</v>
      </c>
      <c r="D3484">
        <v>545260</v>
      </c>
      <c r="E3484">
        <v>282.72000000000003</v>
      </c>
      <c r="F3484">
        <v>90.09</v>
      </c>
      <c r="G3484">
        <v>9.56</v>
      </c>
      <c r="H3484">
        <v>26.061146000000001</v>
      </c>
      <c r="J3484">
        <v>0.85</v>
      </c>
      <c r="K3484">
        <v>281</v>
      </c>
      <c r="L3484">
        <v>100</v>
      </c>
      <c r="M3484">
        <v>100</v>
      </c>
      <c r="N3484">
        <v>1.0856745000000001</v>
      </c>
      <c r="P3484">
        <v>2.0726562789999998</v>
      </c>
      <c r="Q3484">
        <v>27806.448820000001</v>
      </c>
      <c r="R3484">
        <v>4.05</v>
      </c>
      <c r="S3484">
        <v>243610</v>
      </c>
      <c r="T3484">
        <v>55.378050999999999</v>
      </c>
      <c r="U3484">
        <v>-3.4359730000000002</v>
      </c>
    </row>
    <row r="3485" spans="1:21">
      <c r="A3485" t="s">
        <v>189</v>
      </c>
      <c r="B3485">
        <v>2002</v>
      </c>
      <c r="C3485">
        <v>44332.9</v>
      </c>
      <c r="D3485">
        <v>530789.978</v>
      </c>
      <c r="E3485">
        <v>285.62</v>
      </c>
      <c r="F3485">
        <v>87.85</v>
      </c>
      <c r="G3485">
        <v>11.13</v>
      </c>
      <c r="H3485">
        <v>25.735828000000001</v>
      </c>
      <c r="J3485">
        <v>0.97</v>
      </c>
      <c r="K3485">
        <v>281</v>
      </c>
      <c r="L3485">
        <v>100</v>
      </c>
      <c r="M3485">
        <v>100</v>
      </c>
      <c r="N3485">
        <v>1.2876194999999999</v>
      </c>
      <c r="P3485">
        <v>2.1232227730000002</v>
      </c>
      <c r="Q3485">
        <v>30049.89632</v>
      </c>
      <c r="R3485">
        <v>3.9</v>
      </c>
      <c r="S3485">
        <v>243610</v>
      </c>
      <c r="T3485">
        <v>55.378050999999999</v>
      </c>
      <c r="U3485">
        <v>-3.4359730000000002</v>
      </c>
    </row>
    <row r="3486" spans="1:21">
      <c r="A3486" t="s">
        <v>189</v>
      </c>
      <c r="B3486">
        <v>2003</v>
      </c>
      <c r="C3486">
        <v>44750.703000000001</v>
      </c>
      <c r="D3486">
        <v>543039.978</v>
      </c>
      <c r="E3486">
        <v>296.14999999999998</v>
      </c>
      <c r="F3486">
        <v>88.69</v>
      </c>
      <c r="G3486">
        <v>10.62</v>
      </c>
      <c r="H3486">
        <v>25.112528000000001</v>
      </c>
      <c r="J3486">
        <v>0.93</v>
      </c>
      <c r="K3486">
        <v>281</v>
      </c>
      <c r="L3486">
        <v>100</v>
      </c>
      <c r="M3486">
        <v>100</v>
      </c>
      <c r="N3486">
        <v>1.2342336</v>
      </c>
      <c r="P3486">
        <v>3.0298899270000001</v>
      </c>
      <c r="Q3486">
        <v>34487.467570000001</v>
      </c>
      <c r="R3486">
        <v>3.84</v>
      </c>
      <c r="S3486">
        <v>243610</v>
      </c>
      <c r="T3486">
        <v>55.378050999999999</v>
      </c>
      <c r="U3486">
        <v>-3.4359730000000002</v>
      </c>
    </row>
    <row r="3487" spans="1:21">
      <c r="A3487" t="s">
        <v>189</v>
      </c>
      <c r="B3487">
        <v>2004</v>
      </c>
      <c r="C3487">
        <v>44856.6</v>
      </c>
      <c r="D3487">
        <v>543080.01710000006</v>
      </c>
      <c r="E3487">
        <v>297.14999999999998</v>
      </c>
      <c r="F3487">
        <v>80</v>
      </c>
      <c r="G3487">
        <v>14.14</v>
      </c>
      <c r="H3487">
        <v>24.058882000000001</v>
      </c>
      <c r="J3487">
        <v>1.1399999999999999</v>
      </c>
      <c r="K3487">
        <v>281</v>
      </c>
      <c r="L3487">
        <v>100</v>
      </c>
      <c r="M3487">
        <v>100</v>
      </c>
      <c r="N3487">
        <v>1.6083946</v>
      </c>
      <c r="P3487">
        <v>2.355629762</v>
      </c>
      <c r="Q3487">
        <v>40371.710830000004</v>
      </c>
      <c r="R3487">
        <v>3.71</v>
      </c>
      <c r="S3487">
        <v>243610</v>
      </c>
      <c r="T3487">
        <v>55.378050999999999</v>
      </c>
      <c r="U3487">
        <v>-3.4359730000000002</v>
      </c>
    </row>
    <row r="3488" spans="1:21">
      <c r="A3488" t="s">
        <v>189</v>
      </c>
      <c r="B3488">
        <v>2005</v>
      </c>
      <c r="C3488">
        <v>44937.305</v>
      </c>
      <c r="D3488">
        <v>540919.98289999994</v>
      </c>
      <c r="E3488">
        <v>296.87</v>
      </c>
      <c r="F3488">
        <v>81.62</v>
      </c>
      <c r="G3488">
        <v>16.93</v>
      </c>
      <c r="H3488">
        <v>24.922867</v>
      </c>
      <c r="J3488">
        <v>1.35</v>
      </c>
      <c r="K3488">
        <v>281</v>
      </c>
      <c r="L3488">
        <v>100</v>
      </c>
      <c r="M3488">
        <v>100</v>
      </c>
      <c r="N3488">
        <v>1.924693</v>
      </c>
      <c r="P3488">
        <v>2.59328001</v>
      </c>
      <c r="Q3488">
        <v>42132.09072</v>
      </c>
      <c r="R3488">
        <v>3.62</v>
      </c>
      <c r="S3488">
        <v>243610</v>
      </c>
      <c r="T3488">
        <v>55.378050999999999</v>
      </c>
      <c r="U3488">
        <v>-3.4359730000000002</v>
      </c>
    </row>
    <row r="3489" spans="1:21">
      <c r="A3489" t="s">
        <v>189</v>
      </c>
      <c r="B3489">
        <v>2006</v>
      </c>
      <c r="C3489">
        <v>44057.82</v>
      </c>
      <c r="D3489">
        <v>542059.9976</v>
      </c>
      <c r="E3489">
        <v>299.88</v>
      </c>
      <c r="F3489">
        <v>75.45</v>
      </c>
      <c r="G3489">
        <v>18.11</v>
      </c>
      <c r="H3489">
        <v>23.779990999999999</v>
      </c>
      <c r="J3489">
        <v>1.55</v>
      </c>
      <c r="K3489">
        <v>281</v>
      </c>
      <c r="L3489">
        <v>100</v>
      </c>
      <c r="M3489">
        <v>100</v>
      </c>
      <c r="N3489">
        <v>2.1163091999999999</v>
      </c>
      <c r="P3489">
        <v>2.584104677</v>
      </c>
      <c r="Q3489">
        <v>44654.096920000004</v>
      </c>
      <c r="R3489">
        <v>3.47</v>
      </c>
      <c r="S3489">
        <v>243610</v>
      </c>
      <c r="T3489">
        <v>55.378050999999999</v>
      </c>
      <c r="U3489">
        <v>-3.4359730000000002</v>
      </c>
    </row>
    <row r="3490" spans="1:21">
      <c r="A3490" t="s">
        <v>189</v>
      </c>
      <c r="B3490">
        <v>2007</v>
      </c>
      <c r="C3490">
        <v>42517.13</v>
      </c>
      <c r="D3490">
        <v>530500</v>
      </c>
      <c r="E3490">
        <v>310.26</v>
      </c>
      <c r="F3490">
        <v>63.03</v>
      </c>
      <c r="G3490">
        <v>19.690000000000001</v>
      </c>
      <c r="H3490">
        <v>21.049416999999998</v>
      </c>
      <c r="J3490">
        <v>1.84</v>
      </c>
      <c r="K3490">
        <v>281</v>
      </c>
      <c r="L3490">
        <v>100</v>
      </c>
      <c r="M3490">
        <v>100</v>
      </c>
      <c r="N3490">
        <v>2.42211</v>
      </c>
      <c r="P3490">
        <v>2.2694868750000001</v>
      </c>
      <c r="Q3490">
        <v>50653.256909999996</v>
      </c>
      <c r="R3490">
        <v>3.27</v>
      </c>
      <c r="S3490">
        <v>243610</v>
      </c>
      <c r="T3490">
        <v>55.378050999999999</v>
      </c>
      <c r="U3490">
        <v>-3.4359730000000002</v>
      </c>
    </row>
    <row r="3491" spans="1:21">
      <c r="A3491" t="s">
        <v>189</v>
      </c>
      <c r="B3491">
        <v>2008</v>
      </c>
      <c r="C3491">
        <v>41451.902000000002</v>
      </c>
      <c r="D3491">
        <v>515340.0269</v>
      </c>
      <c r="E3491">
        <v>310.5</v>
      </c>
      <c r="F3491">
        <v>52.49</v>
      </c>
      <c r="G3491">
        <v>21.85</v>
      </c>
      <c r="H3491">
        <v>19.317118000000001</v>
      </c>
      <c r="J3491">
        <v>2.79</v>
      </c>
      <c r="K3491">
        <v>281</v>
      </c>
      <c r="L3491">
        <v>100</v>
      </c>
      <c r="M3491">
        <v>100</v>
      </c>
      <c r="N3491">
        <v>2.912039</v>
      </c>
      <c r="P3491">
        <v>-0.239638085</v>
      </c>
      <c r="Q3491">
        <v>47549.34863</v>
      </c>
      <c r="R3491">
        <v>3.24</v>
      </c>
      <c r="S3491">
        <v>243610</v>
      </c>
      <c r="T3491">
        <v>55.378050999999999</v>
      </c>
      <c r="U3491">
        <v>-3.4359730000000002</v>
      </c>
    </row>
    <row r="3492" spans="1:21">
      <c r="A3492" t="s">
        <v>189</v>
      </c>
      <c r="B3492">
        <v>2009</v>
      </c>
      <c r="C3492">
        <v>39040.559999999998</v>
      </c>
      <c r="D3492">
        <v>466489.9902</v>
      </c>
      <c r="E3492">
        <v>278.73</v>
      </c>
      <c r="F3492">
        <v>69.099999999999994</v>
      </c>
      <c r="G3492">
        <v>25.25</v>
      </c>
      <c r="H3492">
        <v>25.289482</v>
      </c>
      <c r="J3492">
        <v>3.38</v>
      </c>
      <c r="K3492">
        <v>281</v>
      </c>
      <c r="L3492">
        <v>100</v>
      </c>
      <c r="M3492">
        <v>100</v>
      </c>
      <c r="N3492">
        <v>3.5454050000000001</v>
      </c>
      <c r="P3492">
        <v>-4.2473562659999997</v>
      </c>
      <c r="Q3492">
        <v>38952.211029999999</v>
      </c>
      <c r="R3492">
        <v>3.18</v>
      </c>
      <c r="S3492">
        <v>243610</v>
      </c>
      <c r="T3492">
        <v>55.378050999999999</v>
      </c>
      <c r="U3492">
        <v>-3.4359730000000002</v>
      </c>
    </row>
    <row r="3493" spans="1:21">
      <c r="A3493" t="s">
        <v>189</v>
      </c>
      <c r="B3493">
        <v>2010</v>
      </c>
      <c r="C3493">
        <v>39540.008000000002</v>
      </c>
      <c r="D3493">
        <v>482440.0024</v>
      </c>
      <c r="E3493">
        <v>290.58999999999997</v>
      </c>
      <c r="F3493">
        <v>62.14</v>
      </c>
      <c r="G3493">
        <v>26.18</v>
      </c>
      <c r="H3493">
        <v>23.308966000000002</v>
      </c>
      <c r="J3493">
        <v>3.67</v>
      </c>
      <c r="K3493">
        <v>281</v>
      </c>
      <c r="L3493">
        <v>100</v>
      </c>
      <c r="M3493">
        <v>100</v>
      </c>
      <c r="N3493">
        <v>3.6591298999999999</v>
      </c>
      <c r="P3493">
        <v>2.1314381980000001</v>
      </c>
      <c r="Q3493">
        <v>39688.614970000002</v>
      </c>
      <c r="R3493">
        <v>3.23</v>
      </c>
      <c r="S3493">
        <v>243610</v>
      </c>
      <c r="T3493">
        <v>55.378050999999999</v>
      </c>
      <c r="U3493">
        <v>-3.4359730000000002</v>
      </c>
    </row>
    <row r="3494" spans="1:21">
      <c r="A3494" t="s">
        <v>189</v>
      </c>
      <c r="B3494">
        <v>2011</v>
      </c>
      <c r="C3494">
        <v>37007.074000000001</v>
      </c>
      <c r="D3494">
        <v>445589.9963</v>
      </c>
      <c r="E3494">
        <v>260.88</v>
      </c>
      <c r="F3494">
        <v>68.98</v>
      </c>
      <c r="G3494">
        <v>35.200000000000003</v>
      </c>
      <c r="H3494">
        <v>28.537775</v>
      </c>
      <c r="J3494">
        <v>4.4400000000000004</v>
      </c>
      <c r="K3494">
        <v>281</v>
      </c>
      <c r="L3494">
        <v>100</v>
      </c>
      <c r="M3494">
        <v>100</v>
      </c>
      <c r="N3494">
        <v>4.891127</v>
      </c>
      <c r="P3494">
        <v>1.4575633910000001</v>
      </c>
      <c r="Q3494">
        <v>42284.884489999997</v>
      </c>
      <c r="R3494">
        <v>2.96</v>
      </c>
      <c r="S3494">
        <v>243610</v>
      </c>
      <c r="T3494">
        <v>55.378050999999999</v>
      </c>
      <c r="U3494">
        <v>-3.4359730000000002</v>
      </c>
    </row>
    <row r="3495" spans="1:21">
      <c r="A3495" t="s">
        <v>189</v>
      </c>
      <c r="B3495">
        <v>2012</v>
      </c>
      <c r="C3495">
        <v>37292.910000000003</v>
      </c>
      <c r="D3495">
        <v>467779.9988</v>
      </c>
      <c r="E3495">
        <v>249.25</v>
      </c>
      <c r="F3495">
        <v>70.400000000000006</v>
      </c>
      <c r="G3495">
        <v>41.24</v>
      </c>
      <c r="H3495">
        <v>30.934633000000002</v>
      </c>
      <c r="J3495">
        <v>4.7699999999999996</v>
      </c>
      <c r="K3495">
        <v>281</v>
      </c>
      <c r="L3495">
        <v>100</v>
      </c>
      <c r="M3495">
        <v>100</v>
      </c>
      <c r="N3495">
        <v>5.4538070000000003</v>
      </c>
      <c r="P3495">
        <v>1.469887521</v>
      </c>
      <c r="Q3495">
        <v>42686.800049999998</v>
      </c>
      <c r="R3495">
        <v>2.99</v>
      </c>
      <c r="S3495">
        <v>243610</v>
      </c>
      <c r="T3495">
        <v>55.378050999999999</v>
      </c>
      <c r="U3495">
        <v>-3.4359730000000002</v>
      </c>
    </row>
    <row r="3496" spans="1:21">
      <c r="A3496" t="s">
        <v>189</v>
      </c>
      <c r="B3496">
        <v>2013</v>
      </c>
      <c r="C3496">
        <v>36881.976999999999</v>
      </c>
      <c r="D3496">
        <v>453760.0098</v>
      </c>
      <c r="E3496">
        <v>231.56</v>
      </c>
      <c r="F3496">
        <v>70.61</v>
      </c>
      <c r="G3496">
        <v>53.21</v>
      </c>
      <c r="H3496">
        <v>34.84158</v>
      </c>
      <c r="J3496">
        <v>6.02</v>
      </c>
      <c r="K3496">
        <v>281</v>
      </c>
      <c r="L3496">
        <v>100</v>
      </c>
      <c r="M3496">
        <v>100</v>
      </c>
      <c r="N3496">
        <v>6.9547257</v>
      </c>
      <c r="P3496">
        <v>1.8900183420000001</v>
      </c>
      <c r="Q3496">
        <v>43713.814120000003</v>
      </c>
      <c r="R3496">
        <v>2.88</v>
      </c>
      <c r="S3496">
        <v>243610</v>
      </c>
      <c r="T3496">
        <v>55.378050999999999</v>
      </c>
      <c r="U3496">
        <v>-3.4359730000000002</v>
      </c>
    </row>
    <row r="3497" spans="1:21">
      <c r="A3497" t="s">
        <v>189</v>
      </c>
      <c r="B3497">
        <v>2014</v>
      </c>
      <c r="C3497">
        <v>34583.769999999997</v>
      </c>
      <c r="D3497">
        <v>415600.0061</v>
      </c>
      <c r="E3497">
        <v>206.94</v>
      </c>
      <c r="F3497">
        <v>63.75</v>
      </c>
      <c r="G3497">
        <v>64.52</v>
      </c>
      <c r="H3497">
        <v>38.265563999999998</v>
      </c>
      <c r="J3497">
        <v>7.36</v>
      </c>
      <c r="K3497">
        <v>281</v>
      </c>
      <c r="L3497">
        <v>100</v>
      </c>
      <c r="M3497">
        <v>100</v>
      </c>
      <c r="N3497">
        <v>8.8771889999999996</v>
      </c>
      <c r="P3497">
        <v>2.9911648139999998</v>
      </c>
      <c r="Q3497">
        <v>47787.241300000002</v>
      </c>
      <c r="R3497">
        <v>2.64</v>
      </c>
      <c r="S3497">
        <v>243610</v>
      </c>
      <c r="T3497">
        <v>55.378050999999999</v>
      </c>
      <c r="U3497">
        <v>-3.4359730000000002</v>
      </c>
    </row>
    <row r="3498" spans="1:21">
      <c r="A3498" t="s">
        <v>189</v>
      </c>
      <c r="B3498">
        <v>2015</v>
      </c>
      <c r="C3498">
        <v>34890.32</v>
      </c>
      <c r="D3498">
        <v>401079.9866</v>
      </c>
      <c r="E3498">
        <v>182.43</v>
      </c>
      <c r="F3498">
        <v>70.34</v>
      </c>
      <c r="G3498">
        <v>82.57</v>
      </c>
      <c r="H3498">
        <v>45.598500000000001</v>
      </c>
      <c r="J3498">
        <v>8.61</v>
      </c>
      <c r="K3498">
        <v>281</v>
      </c>
      <c r="L3498">
        <v>100</v>
      </c>
      <c r="M3498">
        <v>100</v>
      </c>
      <c r="N3498">
        <v>10.976621</v>
      </c>
      <c r="P3498">
        <v>2.6225966789999999</v>
      </c>
      <c r="Q3498">
        <v>45404.567770000001</v>
      </c>
      <c r="R3498">
        <v>2.61</v>
      </c>
      <c r="S3498">
        <v>243610</v>
      </c>
      <c r="T3498">
        <v>55.378050999999999</v>
      </c>
      <c r="U3498">
        <v>-3.4359730000000002</v>
      </c>
    </row>
    <row r="3499" spans="1:21">
      <c r="A3499" t="s">
        <v>189</v>
      </c>
      <c r="B3499">
        <v>2016</v>
      </c>
      <c r="C3499">
        <v>34296.684000000001</v>
      </c>
      <c r="D3499">
        <v>380809.9976</v>
      </c>
      <c r="E3499">
        <v>181.56</v>
      </c>
      <c r="F3499">
        <v>71.73</v>
      </c>
      <c r="G3499">
        <v>82.99</v>
      </c>
      <c r="H3499">
        <v>46.009276999999997</v>
      </c>
      <c r="J3499">
        <v>8.6</v>
      </c>
      <c r="K3499">
        <v>281</v>
      </c>
      <c r="L3499">
        <v>100</v>
      </c>
      <c r="M3499">
        <v>100</v>
      </c>
      <c r="N3499">
        <v>11.037630999999999</v>
      </c>
      <c r="P3499">
        <v>2.2634635379999999</v>
      </c>
      <c r="Q3499">
        <v>41499.555699999997</v>
      </c>
      <c r="R3499">
        <v>2.5299999999999998</v>
      </c>
      <c r="S3499">
        <v>243610</v>
      </c>
      <c r="T3499">
        <v>55.378050999999999</v>
      </c>
      <c r="U3499">
        <v>-3.4359730000000002</v>
      </c>
    </row>
    <row r="3500" spans="1:21">
      <c r="A3500" t="s">
        <v>189</v>
      </c>
      <c r="B3500">
        <v>2017</v>
      </c>
      <c r="C3500">
        <v>34098.811999999998</v>
      </c>
      <c r="D3500">
        <v>367000</v>
      </c>
      <c r="E3500">
        <v>165.91</v>
      </c>
      <c r="F3500">
        <v>70.34</v>
      </c>
      <c r="G3500">
        <v>98.85</v>
      </c>
      <c r="H3500">
        <v>50.489407</v>
      </c>
      <c r="J3500">
        <v>9.6999999999999993</v>
      </c>
      <c r="K3500">
        <v>281</v>
      </c>
      <c r="L3500">
        <v>100</v>
      </c>
      <c r="M3500">
        <v>100</v>
      </c>
      <c r="N3500">
        <v>12.948245999999999</v>
      </c>
      <c r="P3500">
        <v>2.1344530929999999</v>
      </c>
      <c r="Q3500">
        <v>40857.755579999997</v>
      </c>
      <c r="R3500">
        <v>2.4500000000000002</v>
      </c>
      <c r="S3500">
        <v>243610</v>
      </c>
      <c r="T3500">
        <v>55.378050999999999</v>
      </c>
      <c r="U3500">
        <v>-3.4359730000000002</v>
      </c>
    </row>
    <row r="3501" spans="1:21">
      <c r="A3501" t="s">
        <v>189</v>
      </c>
      <c r="B3501">
        <v>2018</v>
      </c>
      <c r="C3501">
        <v>33771.495999999999</v>
      </c>
      <c r="D3501">
        <v>360730.011</v>
      </c>
      <c r="E3501">
        <v>155.41</v>
      </c>
      <c r="F3501">
        <v>65.06</v>
      </c>
      <c r="G3501">
        <v>110.03</v>
      </c>
      <c r="H3501">
        <v>52.977305999999999</v>
      </c>
      <c r="J3501">
        <v>10.99</v>
      </c>
      <c r="K3501">
        <v>281</v>
      </c>
      <c r="L3501">
        <v>100</v>
      </c>
      <c r="M3501">
        <v>100</v>
      </c>
      <c r="N3501">
        <v>14.526467999999999</v>
      </c>
      <c r="P3501">
        <v>1.6509254959999999</v>
      </c>
      <c r="Q3501">
        <v>43646.951970000002</v>
      </c>
      <c r="R3501">
        <v>2.41</v>
      </c>
      <c r="S3501">
        <v>243610</v>
      </c>
      <c r="T3501">
        <v>55.378050999999999</v>
      </c>
      <c r="U3501">
        <v>-3.4359730000000002</v>
      </c>
    </row>
    <row r="3502" spans="1:21">
      <c r="A3502" t="s">
        <v>189</v>
      </c>
      <c r="B3502">
        <v>2019</v>
      </c>
      <c r="C3502">
        <v>32893.760000000002</v>
      </c>
      <c r="D3502">
        <v>348920.0134</v>
      </c>
      <c r="E3502">
        <v>144.99</v>
      </c>
      <c r="F3502">
        <v>56.18</v>
      </c>
      <c r="G3502">
        <v>120.48</v>
      </c>
      <c r="H3502">
        <v>54.923054</v>
      </c>
      <c r="J3502">
        <v>12.24</v>
      </c>
      <c r="K3502">
        <v>281</v>
      </c>
      <c r="L3502">
        <v>100</v>
      </c>
      <c r="M3502">
        <v>100</v>
      </c>
      <c r="N3502">
        <v>16.241540000000001</v>
      </c>
      <c r="P3502">
        <v>1.671944197</v>
      </c>
      <c r="Q3502">
        <v>43070.498359999998</v>
      </c>
      <c r="R3502">
        <v>2.2999999999999998</v>
      </c>
      <c r="S3502">
        <v>243610</v>
      </c>
      <c r="T3502">
        <v>55.378050999999999</v>
      </c>
      <c r="U3502">
        <v>-3.4359730000000002</v>
      </c>
    </row>
    <row r="3503" spans="1:21">
      <c r="A3503" t="s">
        <v>189</v>
      </c>
      <c r="B3503">
        <v>2020</v>
      </c>
      <c r="C3503">
        <v>29425.54</v>
      </c>
      <c r="E3503">
        <v>124.78</v>
      </c>
      <c r="F3503">
        <v>50.85</v>
      </c>
      <c r="G3503">
        <v>131.74</v>
      </c>
      <c r="H3503">
        <v>59.403976</v>
      </c>
      <c r="K3503">
        <v>281</v>
      </c>
      <c r="L3503">
        <v>100</v>
      </c>
      <c r="M3503">
        <v>100</v>
      </c>
      <c r="N3503">
        <v>20.078987000000001</v>
      </c>
      <c r="P3503">
        <v>-9.3961600060000006</v>
      </c>
      <c r="Q3503">
        <v>41059.168810000003</v>
      </c>
      <c r="S3503">
        <v>243610</v>
      </c>
      <c r="T3503">
        <v>55.378050999999999</v>
      </c>
      <c r="U3503">
        <v>-3.4359730000000002</v>
      </c>
    </row>
    <row r="3504" spans="1:21">
      <c r="A3504" t="s">
        <v>190</v>
      </c>
      <c r="B3504">
        <v>2000</v>
      </c>
      <c r="C3504">
        <v>93999.86</v>
      </c>
      <c r="D3504">
        <v>5775810</v>
      </c>
      <c r="E3504">
        <v>2697.28</v>
      </c>
      <c r="F3504">
        <v>753.89</v>
      </c>
      <c r="G3504">
        <v>350.93</v>
      </c>
      <c r="H3504">
        <v>29.058150000000001</v>
      </c>
      <c r="J3504">
        <v>5.43</v>
      </c>
      <c r="K3504">
        <v>36</v>
      </c>
      <c r="L3504">
        <v>100</v>
      </c>
      <c r="M3504">
        <v>100</v>
      </c>
      <c r="N3504">
        <v>4.0273570000000003</v>
      </c>
      <c r="P3504">
        <v>4.1274840169999996</v>
      </c>
      <c r="Q3504">
        <v>36334.908779999998</v>
      </c>
      <c r="R3504">
        <v>6.73</v>
      </c>
      <c r="S3504">
        <v>9833517</v>
      </c>
      <c r="T3504">
        <v>37.090240000000001</v>
      </c>
      <c r="U3504">
        <v>-95.712890999999999</v>
      </c>
    </row>
    <row r="3505" spans="1:21">
      <c r="A3505" t="s">
        <v>190</v>
      </c>
      <c r="B3505">
        <v>2001</v>
      </c>
      <c r="C3505">
        <v>90772.18</v>
      </c>
      <c r="D3505">
        <v>5748260</v>
      </c>
      <c r="E3505">
        <v>2678.68</v>
      </c>
      <c r="F3505">
        <v>768.83</v>
      </c>
      <c r="G3505">
        <v>280.06</v>
      </c>
      <c r="H3505">
        <v>28.138705999999999</v>
      </c>
      <c r="J3505">
        <v>4.68</v>
      </c>
      <c r="K3505">
        <v>36</v>
      </c>
      <c r="L3505">
        <v>100</v>
      </c>
      <c r="M3505">
        <v>100</v>
      </c>
      <c r="N3505">
        <v>3.4213710000000002</v>
      </c>
      <c r="P3505">
        <v>0.99834079200000003</v>
      </c>
      <c r="Q3505">
        <v>37133.242810000003</v>
      </c>
      <c r="R3505">
        <v>6.54</v>
      </c>
      <c r="S3505">
        <v>9833517</v>
      </c>
      <c r="T3505">
        <v>37.090240000000001</v>
      </c>
      <c r="U3505">
        <v>-95.712890999999999</v>
      </c>
    </row>
    <row r="3506" spans="1:21">
      <c r="A3506" t="s">
        <v>190</v>
      </c>
      <c r="B3506">
        <v>2002</v>
      </c>
      <c r="C3506">
        <v>91201.06</v>
      </c>
      <c r="D3506">
        <v>5593029.7850000001</v>
      </c>
      <c r="E3506">
        <v>2727.83</v>
      </c>
      <c r="F3506">
        <v>780.06</v>
      </c>
      <c r="G3506">
        <v>336.34</v>
      </c>
      <c r="H3506">
        <v>29.040925999999999</v>
      </c>
      <c r="J3506">
        <v>4.84</v>
      </c>
      <c r="K3506">
        <v>36</v>
      </c>
      <c r="L3506">
        <v>100</v>
      </c>
      <c r="M3506">
        <v>100</v>
      </c>
      <c r="N3506">
        <v>4.0155067000000004</v>
      </c>
      <c r="P3506">
        <v>1.7416952510000001</v>
      </c>
      <c r="Q3506">
        <v>38023.161110000001</v>
      </c>
      <c r="R3506">
        <v>6.5</v>
      </c>
      <c r="S3506">
        <v>9833517</v>
      </c>
      <c r="T3506">
        <v>37.090240000000001</v>
      </c>
      <c r="U3506">
        <v>-95.712890999999999</v>
      </c>
    </row>
    <row r="3507" spans="1:21">
      <c r="A3507" t="s">
        <v>190</v>
      </c>
      <c r="B3507">
        <v>2003</v>
      </c>
      <c r="C3507">
        <v>90619.11</v>
      </c>
      <c r="D3507">
        <v>5658990.2340000002</v>
      </c>
      <c r="E3507">
        <v>2756.03</v>
      </c>
      <c r="F3507">
        <v>763.73</v>
      </c>
      <c r="G3507">
        <v>349.18</v>
      </c>
      <c r="H3507">
        <v>28.765243999999999</v>
      </c>
      <c r="J3507">
        <v>5.33</v>
      </c>
      <c r="K3507">
        <v>36</v>
      </c>
      <c r="L3507">
        <v>100</v>
      </c>
      <c r="M3507">
        <v>100</v>
      </c>
      <c r="N3507">
        <v>4.1800404000000002</v>
      </c>
      <c r="P3507">
        <v>2.8612107679999998</v>
      </c>
      <c r="Q3507">
        <v>39496.48588</v>
      </c>
      <c r="R3507">
        <v>6.33</v>
      </c>
      <c r="S3507">
        <v>9833517</v>
      </c>
      <c r="T3507">
        <v>37.090240000000001</v>
      </c>
      <c r="U3507">
        <v>-95.712890999999999</v>
      </c>
    </row>
    <row r="3508" spans="1:21">
      <c r="A3508" t="s">
        <v>190</v>
      </c>
      <c r="B3508">
        <v>2004</v>
      </c>
      <c r="C3508">
        <v>91504.483999999997</v>
      </c>
      <c r="D3508">
        <v>5738290.0389999999</v>
      </c>
      <c r="E3508">
        <v>2818.28</v>
      </c>
      <c r="F3508">
        <v>788.53</v>
      </c>
      <c r="G3508">
        <v>345.14</v>
      </c>
      <c r="H3508">
        <v>28.686347999999999</v>
      </c>
      <c r="J3508">
        <v>5.48</v>
      </c>
      <c r="K3508">
        <v>36</v>
      </c>
      <c r="L3508">
        <v>100</v>
      </c>
      <c r="M3508">
        <v>100</v>
      </c>
      <c r="N3508">
        <v>4.1015115</v>
      </c>
      <c r="P3508">
        <v>3.7988911249999999</v>
      </c>
      <c r="Q3508">
        <v>41712.801070000001</v>
      </c>
      <c r="R3508">
        <v>6.22</v>
      </c>
      <c r="S3508">
        <v>9833517</v>
      </c>
      <c r="T3508">
        <v>37.090240000000001</v>
      </c>
      <c r="U3508">
        <v>-95.712890999999999</v>
      </c>
    </row>
    <row r="3509" spans="1:21">
      <c r="A3509" t="s">
        <v>190</v>
      </c>
      <c r="B3509">
        <v>2005</v>
      </c>
      <c r="C3509">
        <v>90654.53</v>
      </c>
      <c r="D3509">
        <v>5753490.2340000002</v>
      </c>
      <c r="E3509">
        <v>2899.96</v>
      </c>
      <c r="F3509">
        <v>781.99</v>
      </c>
      <c r="G3509">
        <v>353.04</v>
      </c>
      <c r="H3509">
        <v>28.129686</v>
      </c>
      <c r="J3509">
        <v>5.84</v>
      </c>
      <c r="K3509">
        <v>36</v>
      </c>
      <c r="L3509">
        <v>100</v>
      </c>
      <c r="M3509">
        <v>100</v>
      </c>
      <c r="N3509">
        <v>4.2192309999999997</v>
      </c>
      <c r="P3509">
        <v>3.5132137989999999</v>
      </c>
      <c r="Q3509">
        <v>44114.747779999998</v>
      </c>
      <c r="R3509">
        <v>6.04</v>
      </c>
      <c r="S3509">
        <v>9833517</v>
      </c>
      <c r="T3509">
        <v>37.090240000000001</v>
      </c>
      <c r="U3509">
        <v>-95.712890999999999</v>
      </c>
    </row>
    <row r="3510" spans="1:21">
      <c r="A3510" t="s">
        <v>190</v>
      </c>
      <c r="B3510">
        <v>2006</v>
      </c>
      <c r="C3510">
        <v>89067.04</v>
      </c>
      <c r="D3510">
        <v>5653080.0779999997</v>
      </c>
      <c r="E3510">
        <v>2878.56</v>
      </c>
      <c r="F3510">
        <v>787.22</v>
      </c>
      <c r="G3510">
        <v>381.16</v>
      </c>
      <c r="H3510">
        <v>28.870702999999999</v>
      </c>
      <c r="J3510">
        <v>6.4</v>
      </c>
      <c r="K3510">
        <v>36</v>
      </c>
      <c r="L3510">
        <v>100</v>
      </c>
      <c r="M3510">
        <v>100</v>
      </c>
      <c r="N3510">
        <v>4.6788607000000004</v>
      </c>
      <c r="P3510">
        <v>2.854972294</v>
      </c>
      <c r="Q3510">
        <v>46298.731440000003</v>
      </c>
      <c r="R3510">
        <v>5.82</v>
      </c>
      <c r="S3510">
        <v>9833517</v>
      </c>
      <c r="T3510">
        <v>37.090240000000001</v>
      </c>
      <c r="U3510">
        <v>-95.712890999999999</v>
      </c>
    </row>
    <row r="3511" spans="1:21">
      <c r="A3511" t="s">
        <v>190</v>
      </c>
      <c r="B3511">
        <v>2007</v>
      </c>
      <c r="C3511">
        <v>89395.14</v>
      </c>
      <c r="D3511">
        <v>5736319.824</v>
      </c>
      <c r="E3511">
        <v>2988.24</v>
      </c>
      <c r="F3511">
        <v>806.42</v>
      </c>
      <c r="G3511">
        <v>347.91</v>
      </c>
      <c r="H3511">
        <v>27.865068000000001</v>
      </c>
      <c r="J3511">
        <v>6.3</v>
      </c>
      <c r="K3511">
        <v>36</v>
      </c>
      <c r="L3511">
        <v>100</v>
      </c>
      <c r="M3511">
        <v>100</v>
      </c>
      <c r="N3511">
        <v>4.3730086999999997</v>
      </c>
      <c r="P3511">
        <v>1.8761714540000001</v>
      </c>
      <c r="Q3511">
        <v>47975.967700000001</v>
      </c>
      <c r="R3511">
        <v>5.81</v>
      </c>
      <c r="S3511">
        <v>9833517</v>
      </c>
      <c r="T3511">
        <v>37.090240000000001</v>
      </c>
      <c r="U3511">
        <v>-95.712890999999999</v>
      </c>
    </row>
    <row r="3512" spans="1:21">
      <c r="A3512" t="s">
        <v>190</v>
      </c>
      <c r="B3512">
        <v>2008</v>
      </c>
      <c r="C3512">
        <v>86378.65</v>
      </c>
      <c r="D3512">
        <v>5558379.8830000004</v>
      </c>
      <c r="E3512">
        <v>2924.21</v>
      </c>
      <c r="F3512">
        <v>806.21</v>
      </c>
      <c r="G3512">
        <v>377.11</v>
      </c>
      <c r="H3512">
        <v>28.808554000000001</v>
      </c>
      <c r="J3512">
        <v>6.85</v>
      </c>
      <c r="K3512">
        <v>36</v>
      </c>
      <c r="L3512">
        <v>100</v>
      </c>
      <c r="M3512">
        <v>100</v>
      </c>
      <c r="N3512">
        <v>5.0045504999999997</v>
      </c>
      <c r="P3512">
        <v>-0.136579803</v>
      </c>
      <c r="Q3512">
        <v>48382.558449999997</v>
      </c>
      <c r="R3512">
        <v>5.67</v>
      </c>
      <c r="S3512">
        <v>9833517</v>
      </c>
      <c r="T3512">
        <v>37.090240000000001</v>
      </c>
      <c r="U3512">
        <v>-95.712890999999999</v>
      </c>
    </row>
    <row r="3513" spans="1:21">
      <c r="A3513" t="s">
        <v>190</v>
      </c>
      <c r="B3513">
        <v>2009</v>
      </c>
      <c r="C3513">
        <v>81376.179999999993</v>
      </c>
      <c r="D3513">
        <v>5156430.176</v>
      </c>
      <c r="E3513">
        <v>2725.41</v>
      </c>
      <c r="F3513">
        <v>798.85</v>
      </c>
      <c r="G3513">
        <v>415.56</v>
      </c>
      <c r="H3513">
        <v>30.823996000000001</v>
      </c>
      <c r="J3513">
        <v>7.35</v>
      </c>
      <c r="K3513">
        <v>36</v>
      </c>
      <c r="L3513">
        <v>100</v>
      </c>
      <c r="M3513">
        <v>100</v>
      </c>
      <c r="N3513">
        <v>5.8000064</v>
      </c>
      <c r="P3513">
        <v>-2.5367570669999999</v>
      </c>
      <c r="Q3513">
        <v>47099.980470000002</v>
      </c>
      <c r="R3513">
        <v>5.53</v>
      </c>
      <c r="S3513">
        <v>9833517</v>
      </c>
      <c r="T3513">
        <v>37.090240000000001</v>
      </c>
      <c r="U3513">
        <v>-95.712890999999999</v>
      </c>
    </row>
    <row r="3514" spans="1:21">
      <c r="A3514" t="s">
        <v>190</v>
      </c>
      <c r="B3514">
        <v>2010</v>
      </c>
      <c r="C3514">
        <v>83397.48</v>
      </c>
      <c r="D3514">
        <v>5392109.8629999999</v>
      </c>
      <c r="E3514">
        <v>2882.49</v>
      </c>
      <c r="F3514">
        <v>806.97</v>
      </c>
      <c r="G3514">
        <v>424.48</v>
      </c>
      <c r="H3514">
        <v>29.933589999999999</v>
      </c>
      <c r="J3514">
        <v>7.44</v>
      </c>
      <c r="K3514">
        <v>36</v>
      </c>
      <c r="L3514">
        <v>100</v>
      </c>
      <c r="M3514">
        <v>100</v>
      </c>
      <c r="N3514">
        <v>5.8405547000000002</v>
      </c>
      <c r="P3514">
        <v>2.5637665599999999</v>
      </c>
      <c r="Q3514">
        <v>48466.657599999999</v>
      </c>
      <c r="R3514">
        <v>5.52</v>
      </c>
      <c r="S3514">
        <v>9833517</v>
      </c>
      <c r="T3514">
        <v>37.090240000000001</v>
      </c>
      <c r="U3514">
        <v>-95.712890999999999</v>
      </c>
    </row>
    <row r="3515" spans="1:21">
      <c r="A3515" t="s">
        <v>190</v>
      </c>
      <c r="B3515">
        <v>2011</v>
      </c>
      <c r="C3515">
        <v>81962.36</v>
      </c>
      <c r="D3515">
        <v>5173600.0980000002</v>
      </c>
      <c r="E3515">
        <v>2788.93</v>
      </c>
      <c r="F3515">
        <v>790.2</v>
      </c>
      <c r="G3515">
        <v>509.74</v>
      </c>
      <c r="H3515">
        <v>31.792154</v>
      </c>
      <c r="J3515">
        <v>8.36</v>
      </c>
      <c r="K3515">
        <v>36</v>
      </c>
      <c r="L3515">
        <v>100</v>
      </c>
      <c r="M3515">
        <v>100</v>
      </c>
      <c r="N3515">
        <v>6.8973193000000004</v>
      </c>
      <c r="P3515">
        <v>1.550835505</v>
      </c>
      <c r="Q3515">
        <v>49882.558129999998</v>
      </c>
      <c r="R3515">
        <v>5.36</v>
      </c>
      <c r="S3515">
        <v>9833517</v>
      </c>
      <c r="T3515">
        <v>37.090240000000001</v>
      </c>
      <c r="U3515">
        <v>-95.712890999999999</v>
      </c>
    </row>
    <row r="3516" spans="1:21">
      <c r="A3516" t="s">
        <v>190</v>
      </c>
      <c r="B3516">
        <v>2012</v>
      </c>
      <c r="C3516">
        <v>79102.34</v>
      </c>
      <c r="D3516">
        <v>4956060.0590000004</v>
      </c>
      <c r="E3516">
        <v>2779.02</v>
      </c>
      <c r="F3516">
        <v>769.33</v>
      </c>
      <c r="G3516">
        <v>492.32</v>
      </c>
      <c r="H3516">
        <v>31.223783000000001</v>
      </c>
      <c r="J3516">
        <v>8.73</v>
      </c>
      <c r="K3516">
        <v>36</v>
      </c>
      <c r="L3516">
        <v>100</v>
      </c>
      <c r="M3516">
        <v>100</v>
      </c>
      <c r="N3516">
        <v>6.8863339999999997</v>
      </c>
      <c r="P3516">
        <v>2.2495458519999998</v>
      </c>
      <c r="Q3516">
        <v>51602.931049999999</v>
      </c>
      <c r="R3516">
        <v>5.15</v>
      </c>
      <c r="S3516">
        <v>9833517</v>
      </c>
      <c r="T3516">
        <v>37.090240000000001</v>
      </c>
      <c r="U3516">
        <v>-95.712890999999999</v>
      </c>
    </row>
    <row r="3517" spans="1:21">
      <c r="A3517" t="s">
        <v>190</v>
      </c>
      <c r="B3517">
        <v>2013</v>
      </c>
      <c r="C3517">
        <v>80556.516000000003</v>
      </c>
      <c r="D3517">
        <v>5092100.0980000002</v>
      </c>
      <c r="E3517">
        <v>2746.21</v>
      </c>
      <c r="F3517">
        <v>789.02</v>
      </c>
      <c r="G3517">
        <v>520.38</v>
      </c>
      <c r="H3517">
        <v>32.286140000000003</v>
      </c>
      <c r="J3517">
        <v>9.08</v>
      </c>
      <c r="K3517">
        <v>36</v>
      </c>
      <c r="L3517">
        <v>100</v>
      </c>
      <c r="M3517">
        <v>100</v>
      </c>
      <c r="N3517">
        <v>7.1346163999999996</v>
      </c>
      <c r="P3517">
        <v>1.842081071</v>
      </c>
      <c r="Q3517">
        <v>53106.536769999999</v>
      </c>
      <c r="R3517">
        <v>5.15</v>
      </c>
      <c r="S3517">
        <v>9833517</v>
      </c>
      <c r="T3517">
        <v>37.090240000000001</v>
      </c>
      <c r="U3517">
        <v>-95.712890999999999</v>
      </c>
    </row>
    <row r="3518" spans="1:21">
      <c r="A3518" t="s">
        <v>190</v>
      </c>
      <c r="B3518">
        <v>2014</v>
      </c>
      <c r="C3518">
        <v>80725.085999999996</v>
      </c>
      <c r="D3518">
        <v>5107209.9610000001</v>
      </c>
      <c r="E3518">
        <v>2752.01</v>
      </c>
      <c r="F3518">
        <v>797.17</v>
      </c>
      <c r="G3518">
        <v>546.83000000000004</v>
      </c>
      <c r="H3518">
        <v>32.812420000000003</v>
      </c>
      <c r="J3518">
        <v>9.2200000000000006</v>
      </c>
      <c r="K3518">
        <v>36</v>
      </c>
      <c r="L3518">
        <v>100</v>
      </c>
      <c r="M3518">
        <v>100</v>
      </c>
      <c r="N3518">
        <v>7.2628909999999998</v>
      </c>
      <c r="P3518">
        <v>2.5259734460000001</v>
      </c>
      <c r="Q3518">
        <v>55049.98833</v>
      </c>
      <c r="R3518">
        <v>5.08</v>
      </c>
      <c r="S3518">
        <v>9833517</v>
      </c>
      <c r="T3518">
        <v>37.090240000000001</v>
      </c>
      <c r="U3518">
        <v>-95.712890999999999</v>
      </c>
    </row>
    <row r="3519" spans="1:21">
      <c r="A3519" t="s">
        <v>190</v>
      </c>
      <c r="B3519">
        <v>2015</v>
      </c>
      <c r="C3519">
        <v>79317.37</v>
      </c>
      <c r="D3519">
        <v>4990709.9610000001</v>
      </c>
      <c r="E3519">
        <v>2730.32</v>
      </c>
      <c r="F3519">
        <v>797.18</v>
      </c>
      <c r="G3519">
        <v>556.49</v>
      </c>
      <c r="H3519">
        <v>33.145769999999999</v>
      </c>
      <c r="J3519">
        <v>9.0299999999999994</v>
      </c>
      <c r="K3519">
        <v>36</v>
      </c>
      <c r="L3519">
        <v>100</v>
      </c>
      <c r="M3519">
        <v>100</v>
      </c>
      <c r="N3519">
        <v>7.4687429999999999</v>
      </c>
      <c r="P3519">
        <v>3.0755146500000001</v>
      </c>
      <c r="Q3519">
        <v>56863.371500000001</v>
      </c>
      <c r="R3519">
        <v>4.88</v>
      </c>
      <c r="S3519">
        <v>9833517</v>
      </c>
      <c r="T3519">
        <v>37.090240000000001</v>
      </c>
      <c r="U3519">
        <v>-95.712890999999999</v>
      </c>
    </row>
    <row r="3520" spans="1:21">
      <c r="A3520" t="s">
        <v>190</v>
      </c>
      <c r="B3520">
        <v>2016</v>
      </c>
      <c r="C3520">
        <v>78613.539999999994</v>
      </c>
      <c r="D3520">
        <v>4894500</v>
      </c>
      <c r="E3520">
        <v>2656.96</v>
      </c>
      <c r="F3520">
        <v>805.69</v>
      </c>
      <c r="G3520">
        <v>624.91</v>
      </c>
      <c r="H3520">
        <v>34.998874999999998</v>
      </c>
      <c r="J3520">
        <v>9.4600000000000009</v>
      </c>
      <c r="K3520">
        <v>36</v>
      </c>
      <c r="L3520">
        <v>100</v>
      </c>
      <c r="M3520">
        <v>100</v>
      </c>
      <c r="N3520">
        <v>8.2850859999999997</v>
      </c>
      <c r="P3520">
        <v>1.711426774</v>
      </c>
      <c r="Q3520">
        <v>58021.400500000003</v>
      </c>
      <c r="R3520">
        <v>4.74</v>
      </c>
      <c r="S3520">
        <v>9833517</v>
      </c>
      <c r="T3520">
        <v>37.090240000000001</v>
      </c>
      <c r="U3520">
        <v>-95.712890999999999</v>
      </c>
    </row>
    <row r="3521" spans="1:21">
      <c r="A3521" t="s">
        <v>190</v>
      </c>
      <c r="B3521">
        <v>2017</v>
      </c>
      <c r="C3521">
        <v>78289.009999999995</v>
      </c>
      <c r="D3521">
        <v>4819370.1169999996</v>
      </c>
      <c r="E3521">
        <v>2540.17</v>
      </c>
      <c r="F3521">
        <v>804.95</v>
      </c>
      <c r="G3521">
        <v>707.19</v>
      </c>
      <c r="H3521">
        <v>37.315505999999999</v>
      </c>
      <c r="J3521">
        <v>9.92</v>
      </c>
      <c r="K3521">
        <v>36</v>
      </c>
      <c r="L3521">
        <v>100</v>
      </c>
      <c r="M3521">
        <v>100</v>
      </c>
      <c r="N3521">
        <v>9.0820489999999996</v>
      </c>
      <c r="P3521">
        <v>2.332679395</v>
      </c>
      <c r="Q3521">
        <v>60109.655729999999</v>
      </c>
      <c r="R3521">
        <v>4.62</v>
      </c>
      <c r="S3521">
        <v>9833517</v>
      </c>
      <c r="T3521">
        <v>37.090240000000001</v>
      </c>
      <c r="U3521">
        <v>-95.712890999999999</v>
      </c>
    </row>
    <row r="3522" spans="1:21">
      <c r="A3522" t="s">
        <v>190</v>
      </c>
      <c r="B3522">
        <v>2018</v>
      </c>
      <c r="C3522">
        <v>80583.34</v>
      </c>
      <c r="D3522">
        <v>4975310.0590000004</v>
      </c>
      <c r="E3522">
        <v>2661.3</v>
      </c>
      <c r="F3522">
        <v>807.08</v>
      </c>
      <c r="G3522">
        <v>733.17</v>
      </c>
      <c r="H3522">
        <v>36.659092000000001</v>
      </c>
      <c r="J3522">
        <v>10.119999999999999</v>
      </c>
      <c r="K3522">
        <v>36</v>
      </c>
      <c r="L3522">
        <v>100</v>
      </c>
      <c r="M3522">
        <v>100</v>
      </c>
      <c r="N3522">
        <v>8.9649389999999993</v>
      </c>
      <c r="P3522">
        <v>2.9964643519999998</v>
      </c>
      <c r="Q3522">
        <v>63064.418409999998</v>
      </c>
      <c r="R3522">
        <v>4.6100000000000003</v>
      </c>
      <c r="S3522">
        <v>9833517</v>
      </c>
      <c r="T3522">
        <v>37.090240000000001</v>
      </c>
      <c r="U3522">
        <v>-95.712890999999999</v>
      </c>
    </row>
    <row r="3523" spans="1:21">
      <c r="A3523" t="s">
        <v>190</v>
      </c>
      <c r="B3523">
        <v>2019</v>
      </c>
      <c r="C3523">
        <v>79489.016000000003</v>
      </c>
      <c r="D3523">
        <v>4817720.2149999999</v>
      </c>
      <c r="E3523">
        <v>2588.21</v>
      </c>
      <c r="F3523">
        <v>809.41</v>
      </c>
      <c r="G3523">
        <v>760.76</v>
      </c>
      <c r="H3523">
        <v>37.759180000000001</v>
      </c>
      <c r="J3523">
        <v>10.42</v>
      </c>
      <c r="K3523">
        <v>36</v>
      </c>
      <c r="L3523">
        <v>100</v>
      </c>
      <c r="M3523">
        <v>100</v>
      </c>
      <c r="N3523">
        <v>9.3152629999999998</v>
      </c>
      <c r="P3523">
        <v>2.1611765150000002</v>
      </c>
      <c r="Q3523">
        <v>65279.529029999998</v>
      </c>
      <c r="R3523">
        <v>4.51</v>
      </c>
      <c r="S3523">
        <v>9833517</v>
      </c>
      <c r="T3523">
        <v>37.090240000000001</v>
      </c>
      <c r="U3523">
        <v>-95.712890999999999</v>
      </c>
    </row>
    <row r="3524" spans="1:21">
      <c r="A3524" t="s">
        <v>190</v>
      </c>
      <c r="B3524">
        <v>2020</v>
      </c>
      <c r="C3524">
        <v>73236.14</v>
      </c>
      <c r="E3524">
        <v>2431.9</v>
      </c>
      <c r="F3524">
        <v>789.88</v>
      </c>
      <c r="G3524">
        <v>821.4</v>
      </c>
      <c r="H3524">
        <v>39.851799999999997</v>
      </c>
      <c r="K3524">
        <v>36</v>
      </c>
      <c r="L3524">
        <v>100</v>
      </c>
      <c r="M3524">
        <v>100</v>
      </c>
      <c r="N3524">
        <v>10.532232</v>
      </c>
      <c r="P3524">
        <v>-3.4045915729999998</v>
      </c>
      <c r="Q3524">
        <v>63593.443619999998</v>
      </c>
      <c r="S3524">
        <v>9833517</v>
      </c>
      <c r="T3524">
        <v>37.090240000000001</v>
      </c>
      <c r="U3524">
        <v>-95.712890999999999</v>
      </c>
    </row>
    <row r="3525" spans="1:21">
      <c r="A3525" t="s">
        <v>191</v>
      </c>
      <c r="B3525">
        <v>2000</v>
      </c>
      <c r="C3525">
        <v>14601.468999999999</v>
      </c>
      <c r="D3525">
        <v>5460</v>
      </c>
      <c r="E3525">
        <v>0.49</v>
      </c>
      <c r="F3525">
        <v>0</v>
      </c>
      <c r="G3525">
        <v>7</v>
      </c>
      <c r="H3525">
        <v>93.457949999999997</v>
      </c>
      <c r="I3525">
        <v>466.8</v>
      </c>
      <c r="J3525">
        <v>38.729999999999997</v>
      </c>
      <c r="K3525">
        <v>20</v>
      </c>
      <c r="L3525">
        <v>97.676865000000006</v>
      </c>
      <c r="M3525">
        <v>100</v>
      </c>
      <c r="P3525">
        <v>-1.9299306380000001</v>
      </c>
      <c r="Q3525">
        <v>6875.0254690000002</v>
      </c>
      <c r="R3525">
        <v>2.7</v>
      </c>
      <c r="S3525">
        <v>176215</v>
      </c>
      <c r="T3525">
        <v>-32.522779</v>
      </c>
      <c r="U3525">
        <v>-55.765835000000003</v>
      </c>
    </row>
    <row r="3526" spans="1:21">
      <c r="A3526" t="s">
        <v>191</v>
      </c>
      <c r="B3526">
        <v>2001</v>
      </c>
      <c r="C3526">
        <v>15946.608</v>
      </c>
      <c r="D3526">
        <v>4950</v>
      </c>
      <c r="E3526">
        <v>0.06</v>
      </c>
      <c r="F3526">
        <v>0</v>
      </c>
      <c r="G3526">
        <v>9.1</v>
      </c>
      <c r="H3526">
        <v>99.344986000000006</v>
      </c>
      <c r="I3526">
        <v>465.99</v>
      </c>
      <c r="J3526">
        <v>41.63</v>
      </c>
      <c r="K3526">
        <v>20</v>
      </c>
      <c r="L3526">
        <v>97.785390000000007</v>
      </c>
      <c r="M3526">
        <v>100</v>
      </c>
      <c r="O3526">
        <v>1310000</v>
      </c>
      <c r="P3526">
        <v>-3.844129949</v>
      </c>
      <c r="Q3526">
        <v>6284.4596799999999</v>
      </c>
      <c r="R3526">
        <v>2.4700000000000002</v>
      </c>
      <c r="S3526">
        <v>176215</v>
      </c>
      <c r="T3526">
        <v>-32.522779</v>
      </c>
      <c r="U3526">
        <v>-55.765835000000003</v>
      </c>
    </row>
    <row r="3527" spans="1:21">
      <c r="A3527" t="s">
        <v>191</v>
      </c>
      <c r="B3527">
        <v>2002</v>
      </c>
      <c r="C3527">
        <v>14137.804</v>
      </c>
      <c r="D3527">
        <v>4530.0002100000002</v>
      </c>
      <c r="E3527">
        <v>7.0000000000000007E-2</v>
      </c>
      <c r="F3527">
        <v>0</v>
      </c>
      <c r="G3527">
        <v>9.44</v>
      </c>
      <c r="H3527">
        <v>99.263919999999999</v>
      </c>
      <c r="I3527">
        <v>465.91</v>
      </c>
      <c r="J3527">
        <v>43.25</v>
      </c>
      <c r="K3527">
        <v>20</v>
      </c>
      <c r="L3527">
        <v>97.886330000000001</v>
      </c>
      <c r="M3527">
        <v>100</v>
      </c>
      <c r="P3527">
        <v>-7.7320072059999996</v>
      </c>
      <c r="Q3527">
        <v>4090.8918880000001</v>
      </c>
      <c r="R3527">
        <v>2.48</v>
      </c>
      <c r="S3527">
        <v>176215</v>
      </c>
      <c r="T3527">
        <v>-32.522779</v>
      </c>
      <c r="U3527">
        <v>-55.765835000000003</v>
      </c>
    </row>
    <row r="3528" spans="1:21">
      <c r="A3528" t="s">
        <v>191</v>
      </c>
      <c r="B3528">
        <v>2003</v>
      </c>
      <c r="C3528">
        <v>14181.147000000001</v>
      </c>
      <c r="D3528">
        <v>4489.9997709999998</v>
      </c>
      <c r="E3528">
        <v>0.08</v>
      </c>
      <c r="F3528">
        <v>0</v>
      </c>
      <c r="G3528">
        <v>8.4499999999999993</v>
      </c>
      <c r="H3528">
        <v>99.062129999999996</v>
      </c>
      <c r="I3528">
        <v>466.25</v>
      </c>
      <c r="J3528">
        <v>43.83</v>
      </c>
      <c r="K3528">
        <v>20</v>
      </c>
      <c r="L3528">
        <v>97.982039999999998</v>
      </c>
      <c r="M3528">
        <v>100</v>
      </c>
      <c r="O3528">
        <v>23520000</v>
      </c>
      <c r="P3528">
        <v>0.80528391499999996</v>
      </c>
      <c r="Q3528">
        <v>3624.2056849999999</v>
      </c>
      <c r="R3528">
        <v>2.48</v>
      </c>
      <c r="S3528">
        <v>176215</v>
      </c>
      <c r="T3528">
        <v>-32.522779</v>
      </c>
      <c r="U3528">
        <v>-55.765835000000003</v>
      </c>
    </row>
    <row r="3529" spans="1:21">
      <c r="A3529" t="s">
        <v>191</v>
      </c>
      <c r="B3529">
        <v>2004</v>
      </c>
      <c r="C3529">
        <v>13627.525</v>
      </c>
      <c r="D3529">
        <v>5460.0000380000001</v>
      </c>
      <c r="E3529">
        <v>1.01</v>
      </c>
      <c r="F3529">
        <v>0</v>
      </c>
      <c r="G3529">
        <v>4.7699999999999996</v>
      </c>
      <c r="H3529">
        <v>82.525949999999995</v>
      </c>
      <c r="I3529">
        <v>466.55</v>
      </c>
      <c r="J3529">
        <v>39.31</v>
      </c>
      <c r="K3529">
        <v>20</v>
      </c>
      <c r="L3529">
        <v>98.074860000000001</v>
      </c>
      <c r="M3529">
        <v>100</v>
      </c>
      <c r="P3529">
        <v>5.0041603339999998</v>
      </c>
      <c r="Q3529">
        <v>4120.5442050000001</v>
      </c>
      <c r="R3529">
        <v>2.69</v>
      </c>
      <c r="S3529">
        <v>176215</v>
      </c>
      <c r="T3529">
        <v>-32.522779</v>
      </c>
      <c r="U3529">
        <v>-55.765835000000003</v>
      </c>
    </row>
    <row r="3530" spans="1:21">
      <c r="A3530" t="s">
        <v>191</v>
      </c>
      <c r="B3530">
        <v>2005</v>
      </c>
      <c r="C3530">
        <v>14696.39</v>
      </c>
      <c r="D3530">
        <v>5420.0000760000003</v>
      </c>
      <c r="E3530">
        <v>0.9</v>
      </c>
      <c r="F3530">
        <v>0</v>
      </c>
      <c r="G3530">
        <v>6.66</v>
      </c>
      <c r="H3530">
        <v>88.095240000000004</v>
      </c>
      <c r="I3530">
        <v>466.81</v>
      </c>
      <c r="J3530">
        <v>41.32</v>
      </c>
      <c r="K3530">
        <v>20</v>
      </c>
      <c r="L3530">
        <v>98.167145000000005</v>
      </c>
      <c r="M3530">
        <v>100</v>
      </c>
      <c r="O3530">
        <v>0</v>
      </c>
      <c r="P3530">
        <v>7.4601321379999996</v>
      </c>
      <c r="Q3530">
        <v>5226.9440999999997</v>
      </c>
      <c r="R3530">
        <v>2.6</v>
      </c>
      <c r="S3530">
        <v>176215</v>
      </c>
      <c r="T3530">
        <v>-32.522779</v>
      </c>
      <c r="U3530">
        <v>-55.765835000000003</v>
      </c>
    </row>
    <row r="3531" spans="1:21">
      <c r="A3531" t="s">
        <v>191</v>
      </c>
      <c r="B3531">
        <v>2006</v>
      </c>
      <c r="C3531">
        <v>13377.3125</v>
      </c>
      <c r="D3531">
        <v>6329.9999239999997</v>
      </c>
      <c r="E3531">
        <v>1.87</v>
      </c>
      <c r="F3531">
        <v>0</v>
      </c>
      <c r="G3531">
        <v>3.6</v>
      </c>
      <c r="H3531">
        <v>65.81353</v>
      </c>
      <c r="I3531">
        <v>466.3</v>
      </c>
      <c r="J3531">
        <v>37.6</v>
      </c>
      <c r="K3531">
        <v>20</v>
      </c>
      <c r="L3531">
        <v>98.505424000000005</v>
      </c>
      <c r="M3531">
        <v>100</v>
      </c>
      <c r="O3531">
        <v>0</v>
      </c>
      <c r="P3531">
        <v>4.0985773639999996</v>
      </c>
      <c r="Q3531">
        <v>5887.8451619999996</v>
      </c>
      <c r="R3531">
        <v>2.7</v>
      </c>
      <c r="S3531">
        <v>176215</v>
      </c>
      <c r="T3531">
        <v>-32.522779</v>
      </c>
      <c r="U3531">
        <v>-55.765835000000003</v>
      </c>
    </row>
    <row r="3532" spans="1:21">
      <c r="A3532" t="s">
        <v>191</v>
      </c>
      <c r="B3532">
        <v>2007</v>
      </c>
      <c r="C3532">
        <v>15803.453</v>
      </c>
      <c r="D3532">
        <v>5849.9999049999997</v>
      </c>
      <c r="E3532">
        <v>0.97</v>
      </c>
      <c r="F3532">
        <v>0</v>
      </c>
      <c r="G3532">
        <v>8.31</v>
      </c>
      <c r="H3532">
        <v>89.547424000000007</v>
      </c>
      <c r="I3532">
        <v>517.34</v>
      </c>
      <c r="J3532">
        <v>43.2</v>
      </c>
      <c r="K3532">
        <v>20</v>
      </c>
      <c r="L3532">
        <v>98.692634999999996</v>
      </c>
      <c r="M3532">
        <v>100</v>
      </c>
      <c r="O3532">
        <v>880000</v>
      </c>
      <c r="P3532">
        <v>6.5415108420000001</v>
      </c>
      <c r="Q3532">
        <v>7026.5030550000001</v>
      </c>
      <c r="R3532">
        <v>2.5299999999999998</v>
      </c>
      <c r="S3532">
        <v>176215</v>
      </c>
      <c r="T3532">
        <v>-32.522779</v>
      </c>
      <c r="U3532">
        <v>-55.765835000000003</v>
      </c>
    </row>
    <row r="3533" spans="1:21">
      <c r="A3533" t="s">
        <v>191</v>
      </c>
      <c r="B3533">
        <v>2008</v>
      </c>
      <c r="C3533">
        <v>16750.07</v>
      </c>
      <c r="D3533">
        <v>7750</v>
      </c>
      <c r="E3533">
        <v>3.01</v>
      </c>
      <c r="F3533">
        <v>0</v>
      </c>
      <c r="G3533">
        <v>5.5</v>
      </c>
      <c r="H3533">
        <v>64.629845000000003</v>
      </c>
      <c r="I3533">
        <v>523.37</v>
      </c>
      <c r="J3533">
        <v>44.09</v>
      </c>
      <c r="K3533">
        <v>20</v>
      </c>
      <c r="L3533">
        <v>98.784355000000005</v>
      </c>
      <c r="M3533">
        <v>100</v>
      </c>
      <c r="P3533">
        <v>7.1761446680000001</v>
      </c>
      <c r="Q3533">
        <v>9091.0790390000002</v>
      </c>
      <c r="R3533">
        <v>3.05</v>
      </c>
      <c r="S3533">
        <v>176215</v>
      </c>
      <c r="T3533">
        <v>-32.522779</v>
      </c>
      <c r="U3533">
        <v>-55.765835000000003</v>
      </c>
    </row>
    <row r="3534" spans="1:21">
      <c r="A3534" t="s">
        <v>191</v>
      </c>
      <c r="B3534">
        <v>2009</v>
      </c>
      <c r="C3534">
        <v>17655.945</v>
      </c>
      <c r="D3534">
        <v>7670.0000760000003</v>
      </c>
      <c r="E3534">
        <v>2.72</v>
      </c>
      <c r="F3534">
        <v>0</v>
      </c>
      <c r="G3534">
        <v>6.08</v>
      </c>
      <c r="H3534">
        <v>69.090903999999995</v>
      </c>
      <c r="I3534">
        <v>529.66999999999996</v>
      </c>
      <c r="J3534">
        <v>44.64</v>
      </c>
      <c r="K3534">
        <v>20</v>
      </c>
      <c r="L3534">
        <v>99.1</v>
      </c>
      <c r="M3534">
        <v>100</v>
      </c>
      <c r="O3534">
        <v>6770000</v>
      </c>
      <c r="P3534">
        <v>4.2434941750000004</v>
      </c>
      <c r="Q3534">
        <v>9451.9324489999999</v>
      </c>
      <c r="R3534">
        <v>2.89</v>
      </c>
      <c r="S3534">
        <v>176215</v>
      </c>
      <c r="T3534">
        <v>-32.522779</v>
      </c>
      <c r="U3534">
        <v>-55.765835000000003</v>
      </c>
    </row>
    <row r="3535" spans="1:21">
      <c r="A3535" t="s">
        <v>191</v>
      </c>
      <c r="B3535">
        <v>2010</v>
      </c>
      <c r="C3535">
        <v>18292.451000000001</v>
      </c>
      <c r="D3535">
        <v>6280.0002100000002</v>
      </c>
      <c r="E3535">
        <v>1.72</v>
      </c>
      <c r="F3535">
        <v>0</v>
      </c>
      <c r="G3535">
        <v>9.31</v>
      </c>
      <c r="H3535">
        <v>84.406170000000003</v>
      </c>
      <c r="I3535">
        <v>540.15</v>
      </c>
      <c r="J3535">
        <v>53.29</v>
      </c>
      <c r="K3535">
        <v>20</v>
      </c>
      <c r="L3535">
        <v>99.3</v>
      </c>
      <c r="M3535">
        <v>100</v>
      </c>
      <c r="O3535">
        <v>1120000</v>
      </c>
      <c r="P3535">
        <v>7.8034096660000003</v>
      </c>
      <c r="Q3535">
        <v>11992.02377</v>
      </c>
      <c r="R3535">
        <v>2.63</v>
      </c>
      <c r="S3535">
        <v>176215</v>
      </c>
      <c r="T3535">
        <v>-32.522779</v>
      </c>
      <c r="U3535">
        <v>-55.765835000000003</v>
      </c>
    </row>
    <row r="3536" spans="1:21">
      <c r="A3536" t="s">
        <v>191</v>
      </c>
      <c r="B3536">
        <v>2011</v>
      </c>
      <c r="C3536">
        <v>17861.395</v>
      </c>
      <c r="D3536">
        <v>7610.0001339999999</v>
      </c>
      <c r="E3536">
        <v>2.76</v>
      </c>
      <c r="F3536">
        <v>0</v>
      </c>
      <c r="G3536">
        <v>7.61</v>
      </c>
      <c r="H3536">
        <v>73.384765999999999</v>
      </c>
      <c r="I3536">
        <v>541.79</v>
      </c>
      <c r="J3536">
        <v>49.67</v>
      </c>
      <c r="K3536">
        <v>20</v>
      </c>
      <c r="L3536">
        <v>99.17</v>
      </c>
      <c r="M3536">
        <v>100</v>
      </c>
      <c r="O3536">
        <v>7770000</v>
      </c>
      <c r="P3536">
        <v>5.1621330289999996</v>
      </c>
      <c r="Q3536">
        <v>14236.715</v>
      </c>
      <c r="R3536">
        <v>2.71</v>
      </c>
      <c r="S3536">
        <v>176215</v>
      </c>
      <c r="T3536">
        <v>-32.522779</v>
      </c>
      <c r="U3536">
        <v>-55.765835000000003</v>
      </c>
    </row>
    <row r="3537" spans="1:21">
      <c r="A3537" t="s">
        <v>191</v>
      </c>
      <c r="B3537">
        <v>2012</v>
      </c>
      <c r="C3537">
        <v>17839.785</v>
      </c>
      <c r="D3537">
        <v>8520.0004580000004</v>
      </c>
      <c r="E3537">
        <v>3.85</v>
      </c>
      <c r="F3537">
        <v>0</v>
      </c>
      <c r="G3537">
        <v>6.76</v>
      </c>
      <c r="H3537">
        <v>63.713478000000002</v>
      </c>
      <c r="I3537">
        <v>542.91</v>
      </c>
      <c r="J3537">
        <v>47.85</v>
      </c>
      <c r="K3537">
        <v>20</v>
      </c>
      <c r="L3537">
        <v>99.6</v>
      </c>
      <c r="M3537">
        <v>100</v>
      </c>
      <c r="O3537">
        <v>290700000</v>
      </c>
      <c r="P3537">
        <v>3.5381787070000001</v>
      </c>
      <c r="Q3537">
        <v>15171.580169999999</v>
      </c>
      <c r="R3537">
        <v>2.79</v>
      </c>
      <c r="S3537">
        <v>176215</v>
      </c>
      <c r="T3537">
        <v>-32.522779</v>
      </c>
      <c r="U3537">
        <v>-55.765835000000003</v>
      </c>
    </row>
    <row r="3538" spans="1:21">
      <c r="A3538" t="s">
        <v>191</v>
      </c>
      <c r="B3538">
        <v>2013</v>
      </c>
      <c r="C3538">
        <v>18592.736000000001</v>
      </c>
      <c r="D3538">
        <v>7360.0001339999999</v>
      </c>
      <c r="E3538">
        <v>2.04</v>
      </c>
      <c r="F3538">
        <v>0</v>
      </c>
      <c r="G3538">
        <v>9.41</v>
      </c>
      <c r="H3538">
        <v>82.183409999999995</v>
      </c>
      <c r="I3538">
        <v>593.54</v>
      </c>
      <c r="J3538">
        <v>51.87</v>
      </c>
      <c r="K3538">
        <v>20</v>
      </c>
      <c r="L3538">
        <v>99.611810000000006</v>
      </c>
      <c r="M3538">
        <v>100</v>
      </c>
      <c r="O3538">
        <v>211660000</v>
      </c>
      <c r="P3538">
        <v>4.6375386409999999</v>
      </c>
      <c r="Q3538">
        <v>16973.68924</v>
      </c>
      <c r="R3538">
        <v>2.62</v>
      </c>
      <c r="S3538">
        <v>176215</v>
      </c>
      <c r="T3538">
        <v>-32.522779</v>
      </c>
      <c r="U3538">
        <v>-55.765835000000003</v>
      </c>
    </row>
    <row r="3539" spans="1:21">
      <c r="A3539" t="s">
        <v>191</v>
      </c>
      <c r="B3539">
        <v>2014</v>
      </c>
      <c r="C3539">
        <v>19071.291000000001</v>
      </c>
      <c r="D3539">
        <v>6500</v>
      </c>
      <c r="E3539">
        <v>1.64</v>
      </c>
      <c r="F3539">
        <v>0</v>
      </c>
      <c r="G3539">
        <v>11.21</v>
      </c>
      <c r="H3539">
        <v>87.237350000000006</v>
      </c>
      <c r="I3539">
        <v>716.48</v>
      </c>
      <c r="J3539">
        <v>56.7</v>
      </c>
      <c r="K3539">
        <v>20</v>
      </c>
      <c r="L3539">
        <v>99.657079999999993</v>
      </c>
      <c r="M3539">
        <v>100</v>
      </c>
      <c r="O3539">
        <v>275600000</v>
      </c>
      <c r="P3539">
        <v>3.2387912170000002</v>
      </c>
      <c r="Q3539">
        <v>16831.948189999999</v>
      </c>
      <c r="R3539">
        <v>2.58</v>
      </c>
      <c r="S3539">
        <v>176215</v>
      </c>
      <c r="T3539">
        <v>-32.522779</v>
      </c>
      <c r="U3539">
        <v>-55.765835000000003</v>
      </c>
    </row>
    <row r="3540" spans="1:21">
      <c r="A3540" t="s">
        <v>191</v>
      </c>
      <c r="B3540">
        <v>2015</v>
      </c>
      <c r="C3540">
        <v>19596.401999999998</v>
      </c>
      <c r="D3540">
        <v>6639.9998660000001</v>
      </c>
      <c r="E3540">
        <v>1.91</v>
      </c>
      <c r="F3540">
        <v>0</v>
      </c>
      <c r="G3540">
        <v>11.7</v>
      </c>
      <c r="H3540">
        <v>85.966200000000001</v>
      </c>
      <c r="I3540">
        <v>827.76</v>
      </c>
      <c r="J3540">
        <v>59.4</v>
      </c>
      <c r="K3540">
        <v>20</v>
      </c>
      <c r="L3540">
        <v>99.709479999999999</v>
      </c>
      <c r="M3540">
        <v>100</v>
      </c>
      <c r="O3540">
        <v>518270000</v>
      </c>
      <c r="P3540">
        <v>0.37074126499999999</v>
      </c>
      <c r="Q3540">
        <v>15613.74597</v>
      </c>
      <c r="R3540">
        <v>2.75</v>
      </c>
      <c r="S3540">
        <v>176215</v>
      </c>
      <c r="T3540">
        <v>-32.522779</v>
      </c>
      <c r="U3540">
        <v>-55.765835000000003</v>
      </c>
    </row>
    <row r="3541" spans="1:21">
      <c r="A3541" t="s">
        <v>191</v>
      </c>
      <c r="B3541">
        <v>2016</v>
      </c>
      <c r="C3541">
        <v>19814.259999999998</v>
      </c>
      <c r="D3541">
        <v>6519.9999809999999</v>
      </c>
      <c r="E3541">
        <v>1.34</v>
      </c>
      <c r="F3541">
        <v>0</v>
      </c>
      <c r="G3541">
        <v>12.41</v>
      </c>
      <c r="H3541">
        <v>90.254549999999995</v>
      </c>
      <c r="I3541">
        <v>929.73</v>
      </c>
      <c r="J3541">
        <v>60.32</v>
      </c>
      <c r="K3541">
        <v>20</v>
      </c>
      <c r="L3541">
        <v>99.7</v>
      </c>
      <c r="M3541">
        <v>100</v>
      </c>
      <c r="O3541">
        <v>69860000</v>
      </c>
      <c r="P3541">
        <v>1.6897981639999999</v>
      </c>
      <c r="Q3541">
        <v>16715.633470000001</v>
      </c>
      <c r="R3541">
        <v>2.82</v>
      </c>
      <c r="S3541">
        <v>176215</v>
      </c>
      <c r="T3541">
        <v>-32.522779</v>
      </c>
      <c r="U3541">
        <v>-55.765835000000003</v>
      </c>
    </row>
    <row r="3542" spans="1:21">
      <c r="A3542" t="s">
        <v>191</v>
      </c>
      <c r="B3542">
        <v>2017</v>
      </c>
      <c r="C3542">
        <v>19084.248</v>
      </c>
      <c r="D3542">
        <v>6099.9999049999997</v>
      </c>
      <c r="E3542">
        <v>1.32</v>
      </c>
      <c r="F3542">
        <v>0</v>
      </c>
      <c r="G3542">
        <v>12.93</v>
      </c>
      <c r="H3542">
        <v>90.736840000000001</v>
      </c>
      <c r="I3542">
        <v>1080.97</v>
      </c>
      <c r="J3542">
        <v>60.82</v>
      </c>
      <c r="K3542">
        <v>20</v>
      </c>
      <c r="L3542">
        <v>99.8</v>
      </c>
      <c r="M3542">
        <v>100</v>
      </c>
      <c r="O3542">
        <v>18290000</v>
      </c>
      <c r="P3542">
        <v>1.6277539729999999</v>
      </c>
      <c r="Q3542">
        <v>18690.893840000001</v>
      </c>
      <c r="R3542">
        <v>2.71</v>
      </c>
      <c r="S3542">
        <v>176215</v>
      </c>
      <c r="T3542">
        <v>-32.522779</v>
      </c>
      <c r="U3542">
        <v>-55.765835000000003</v>
      </c>
    </row>
    <row r="3543" spans="1:21">
      <c r="A3543" t="s">
        <v>191</v>
      </c>
      <c r="B3543">
        <v>2018</v>
      </c>
      <c r="C3543">
        <v>19538.71</v>
      </c>
      <c r="D3543">
        <v>6539.9999619999999</v>
      </c>
      <c r="E3543">
        <v>1.36</v>
      </c>
      <c r="F3543">
        <v>0</v>
      </c>
      <c r="G3543">
        <v>13.14</v>
      </c>
      <c r="H3543">
        <v>90.620689999999996</v>
      </c>
      <c r="I3543">
        <v>1078.68</v>
      </c>
      <c r="J3543">
        <v>60.86</v>
      </c>
      <c r="K3543">
        <v>20</v>
      </c>
      <c r="L3543">
        <v>99.8</v>
      </c>
      <c r="M3543">
        <v>100</v>
      </c>
      <c r="P3543">
        <v>0.47790718399999998</v>
      </c>
      <c r="Q3543">
        <v>18703.860290000001</v>
      </c>
      <c r="R3543">
        <v>2.79</v>
      </c>
      <c r="S3543">
        <v>176215</v>
      </c>
      <c r="T3543">
        <v>-32.522779</v>
      </c>
      <c r="U3543">
        <v>-55.765835000000003</v>
      </c>
    </row>
    <row r="3544" spans="1:21">
      <c r="A3544" t="s">
        <v>191</v>
      </c>
      <c r="B3544">
        <v>2019</v>
      </c>
      <c r="C3544">
        <v>19985.009999999998</v>
      </c>
      <c r="D3544">
        <v>6489.9997709999998</v>
      </c>
      <c r="E3544">
        <v>1.89</v>
      </c>
      <c r="F3544">
        <v>0</v>
      </c>
      <c r="G3544">
        <v>14.16</v>
      </c>
      <c r="H3544">
        <v>88.224304000000004</v>
      </c>
      <c r="I3544">
        <v>1077.57</v>
      </c>
      <c r="J3544">
        <v>60.76</v>
      </c>
      <c r="K3544">
        <v>20</v>
      </c>
      <c r="L3544">
        <v>99.9</v>
      </c>
      <c r="M3544">
        <v>100</v>
      </c>
      <c r="P3544">
        <v>0.35044715300000001</v>
      </c>
      <c r="Q3544">
        <v>17688.015009999999</v>
      </c>
      <c r="R3544">
        <v>2.77</v>
      </c>
      <c r="S3544">
        <v>176215</v>
      </c>
      <c r="T3544">
        <v>-32.522779</v>
      </c>
      <c r="U3544">
        <v>-55.765835000000003</v>
      </c>
    </row>
    <row r="3545" spans="1:21">
      <c r="A3545" t="s">
        <v>191</v>
      </c>
      <c r="B3545">
        <v>2020</v>
      </c>
      <c r="C3545">
        <v>17631.439999999999</v>
      </c>
      <c r="E3545">
        <v>2.4</v>
      </c>
      <c r="F3545">
        <v>0</v>
      </c>
      <c r="G3545">
        <v>11.14</v>
      </c>
      <c r="H3545">
        <v>82.274739999999994</v>
      </c>
      <c r="I3545">
        <v>1075.17</v>
      </c>
      <c r="K3545">
        <v>20</v>
      </c>
      <c r="L3545">
        <v>100</v>
      </c>
      <c r="M3545">
        <v>100</v>
      </c>
      <c r="P3545">
        <v>-5.8587212429999997</v>
      </c>
      <c r="Q3545">
        <v>15438.41167</v>
      </c>
      <c r="S3545">
        <v>176215</v>
      </c>
      <c r="T3545">
        <v>-32.522779</v>
      </c>
      <c r="U3545">
        <v>-55.765835000000003</v>
      </c>
    </row>
    <row r="3546" spans="1:21">
      <c r="A3546" t="s">
        <v>192</v>
      </c>
      <c r="B3546">
        <v>2000</v>
      </c>
      <c r="C3546">
        <v>24053.546999999999</v>
      </c>
      <c r="D3546">
        <v>123810</v>
      </c>
      <c r="E3546">
        <v>38.51</v>
      </c>
      <c r="F3546">
        <v>0</v>
      </c>
      <c r="G3546">
        <v>5.82</v>
      </c>
      <c r="H3546">
        <v>13.128806000000001</v>
      </c>
      <c r="I3546">
        <v>64.430000000000007</v>
      </c>
      <c r="J3546">
        <v>0.72</v>
      </c>
      <c r="K3546">
        <v>79</v>
      </c>
      <c r="L3546">
        <v>99.593270000000004</v>
      </c>
      <c r="M3546">
        <v>83.6</v>
      </c>
      <c r="N3546">
        <v>2.8995407000000002</v>
      </c>
      <c r="P3546">
        <v>3.8349999989999999</v>
      </c>
      <c r="Q3546">
        <v>558.2268024</v>
      </c>
      <c r="R3546">
        <v>28.2</v>
      </c>
      <c r="S3546">
        <v>447400</v>
      </c>
      <c r="T3546">
        <v>41.377490999999999</v>
      </c>
      <c r="U3546">
        <v>64.585262</v>
      </c>
    </row>
    <row r="3547" spans="1:21">
      <c r="A3547" t="s">
        <v>192</v>
      </c>
      <c r="B3547">
        <v>2001</v>
      </c>
      <c r="C3547">
        <v>23824.65</v>
      </c>
      <c r="D3547">
        <v>125700</v>
      </c>
      <c r="E3547">
        <v>39.049999999999997</v>
      </c>
      <c r="F3547">
        <v>0</v>
      </c>
      <c r="G3547">
        <v>5.9</v>
      </c>
      <c r="H3547">
        <v>13.125695</v>
      </c>
      <c r="I3547">
        <v>63.56</v>
      </c>
      <c r="J3547">
        <v>0.78</v>
      </c>
      <c r="K3547">
        <v>79</v>
      </c>
      <c r="L3547">
        <v>99.630104000000003</v>
      </c>
      <c r="M3547">
        <v>83.9</v>
      </c>
      <c r="N3547">
        <v>2.9385922</v>
      </c>
      <c r="P3547">
        <v>4.1638382500000004</v>
      </c>
      <c r="Q3547">
        <v>456.70628950000003</v>
      </c>
      <c r="R3547">
        <v>27.36</v>
      </c>
      <c r="S3547">
        <v>447400</v>
      </c>
      <c r="T3547">
        <v>41.377490999999999</v>
      </c>
      <c r="U3547">
        <v>64.585262</v>
      </c>
    </row>
    <row r="3548" spans="1:21">
      <c r="A3548" t="s">
        <v>192</v>
      </c>
      <c r="B3548">
        <v>2002</v>
      </c>
      <c r="C3548">
        <v>24111.440999999999</v>
      </c>
      <c r="D3548">
        <v>129889.9994</v>
      </c>
      <c r="E3548">
        <v>40.549999999999997</v>
      </c>
      <c r="F3548">
        <v>0</v>
      </c>
      <c r="G3548">
        <v>6.12</v>
      </c>
      <c r="H3548">
        <v>13.113350000000001</v>
      </c>
      <c r="I3548">
        <v>62.76</v>
      </c>
      <c r="J3548">
        <v>1.02</v>
      </c>
      <c r="K3548">
        <v>79</v>
      </c>
      <c r="L3548">
        <v>99.7</v>
      </c>
      <c r="M3548">
        <v>84.2</v>
      </c>
      <c r="N3548">
        <v>2.9276024999999999</v>
      </c>
      <c r="P3548">
        <v>3.973488192</v>
      </c>
      <c r="Q3548">
        <v>383.34306800000002</v>
      </c>
      <c r="R3548">
        <v>27.27</v>
      </c>
      <c r="S3548">
        <v>447400</v>
      </c>
      <c r="T3548">
        <v>41.377490999999999</v>
      </c>
      <c r="U3548">
        <v>64.585262</v>
      </c>
    </row>
    <row r="3549" spans="1:21">
      <c r="A3549" t="s">
        <v>192</v>
      </c>
      <c r="B3549">
        <v>2003</v>
      </c>
      <c r="C3549">
        <v>21826.991999999998</v>
      </c>
      <c r="D3549">
        <v>121910.0037</v>
      </c>
      <c r="E3549">
        <v>39.270000000000003</v>
      </c>
      <c r="F3549">
        <v>0</v>
      </c>
      <c r="G3549">
        <v>7.54</v>
      </c>
      <c r="H3549">
        <v>16.107668</v>
      </c>
      <c r="I3549">
        <v>62.1</v>
      </c>
      <c r="J3549">
        <v>1.42</v>
      </c>
      <c r="K3549">
        <v>79</v>
      </c>
      <c r="L3549">
        <v>99.683364999999995</v>
      </c>
      <c r="M3549">
        <v>84.5</v>
      </c>
      <c r="N3549">
        <v>3.6696591000000001</v>
      </c>
      <c r="P3549">
        <v>4.2326273820000004</v>
      </c>
      <c r="Q3549">
        <v>396.37797899999998</v>
      </c>
      <c r="R3549">
        <v>25.32</v>
      </c>
      <c r="S3549">
        <v>447400</v>
      </c>
      <c r="T3549">
        <v>41.377490999999999</v>
      </c>
      <c r="U3549">
        <v>64.585262</v>
      </c>
    </row>
    <row r="3550" spans="1:21">
      <c r="A3550" t="s">
        <v>192</v>
      </c>
      <c r="B3550">
        <v>2004</v>
      </c>
      <c r="C3550">
        <v>21485.61</v>
      </c>
      <c r="D3550">
        <v>124839.9963</v>
      </c>
      <c r="E3550">
        <v>38.479999999999997</v>
      </c>
      <c r="F3550">
        <v>0</v>
      </c>
      <c r="G3550">
        <v>8.92</v>
      </c>
      <c r="H3550">
        <v>18.818565</v>
      </c>
      <c r="I3550">
        <v>67.150000000000006</v>
      </c>
      <c r="J3550">
        <v>1.05</v>
      </c>
      <c r="K3550">
        <v>79</v>
      </c>
      <c r="L3550">
        <v>99.704499999999996</v>
      </c>
      <c r="M3550">
        <v>84.6</v>
      </c>
      <c r="N3550">
        <v>3.3196119999999998</v>
      </c>
      <c r="O3550">
        <v>220000</v>
      </c>
      <c r="P3550">
        <v>7.4490006050000002</v>
      </c>
      <c r="Q3550">
        <v>465.11988689999998</v>
      </c>
      <c r="R3550">
        <v>23.29</v>
      </c>
      <c r="S3550">
        <v>447400</v>
      </c>
      <c r="T3550">
        <v>41.377490999999999</v>
      </c>
      <c r="U3550">
        <v>64.585262</v>
      </c>
    </row>
    <row r="3551" spans="1:21">
      <c r="A3551" t="s">
        <v>192</v>
      </c>
      <c r="B3551">
        <v>2005</v>
      </c>
      <c r="C3551">
        <v>21171.098000000002</v>
      </c>
      <c r="D3551">
        <v>119190.0024</v>
      </c>
      <c r="E3551">
        <v>38.130000000000003</v>
      </c>
      <c r="F3551">
        <v>0</v>
      </c>
      <c r="G3551">
        <v>8.84</v>
      </c>
      <c r="H3551">
        <v>18.820522</v>
      </c>
      <c r="I3551">
        <v>64.67</v>
      </c>
      <c r="J3551">
        <v>1.62</v>
      </c>
      <c r="K3551">
        <v>79</v>
      </c>
      <c r="L3551">
        <v>99.725080000000005</v>
      </c>
      <c r="M3551">
        <v>85</v>
      </c>
      <c r="N3551">
        <v>3.4994836</v>
      </c>
      <c r="P3551">
        <v>6.9500071969999997</v>
      </c>
      <c r="Q3551">
        <v>546.77685020000001</v>
      </c>
      <c r="R3551">
        <v>20.58</v>
      </c>
      <c r="S3551">
        <v>447400</v>
      </c>
      <c r="T3551">
        <v>41.377490999999999</v>
      </c>
      <c r="U3551">
        <v>64.585262</v>
      </c>
    </row>
    <row r="3552" spans="1:21">
      <c r="A3552" t="s">
        <v>192</v>
      </c>
      <c r="B3552">
        <v>2006</v>
      </c>
      <c r="C3552">
        <v>19566.175999999999</v>
      </c>
      <c r="D3552">
        <v>127360.0006</v>
      </c>
      <c r="E3552">
        <v>39.25</v>
      </c>
      <c r="F3552">
        <v>0</v>
      </c>
      <c r="G3552">
        <v>4.6500000000000004</v>
      </c>
      <c r="H3552">
        <v>10.592255</v>
      </c>
      <c r="I3552">
        <v>63.8</v>
      </c>
      <c r="J3552">
        <v>0.85</v>
      </c>
      <c r="K3552">
        <v>79</v>
      </c>
      <c r="L3552">
        <v>99.490099999999998</v>
      </c>
      <c r="M3552">
        <v>85.3</v>
      </c>
      <c r="N3552">
        <v>3.1592807999999999</v>
      </c>
      <c r="P3552">
        <v>7.4514184759999997</v>
      </c>
      <c r="Q3552">
        <v>654.28383729999996</v>
      </c>
      <c r="R3552">
        <v>19.78</v>
      </c>
      <c r="S3552">
        <v>447400</v>
      </c>
      <c r="T3552">
        <v>41.377490999999999</v>
      </c>
      <c r="U3552">
        <v>64.585262</v>
      </c>
    </row>
    <row r="3553" spans="1:21">
      <c r="A3553" t="s">
        <v>192</v>
      </c>
      <c r="B3553">
        <v>2007</v>
      </c>
      <c r="C3553">
        <v>20663.171999999999</v>
      </c>
      <c r="D3553">
        <v>122580.0018</v>
      </c>
      <c r="E3553">
        <v>40</v>
      </c>
      <c r="F3553">
        <v>0</v>
      </c>
      <c r="G3553">
        <v>4.6100000000000003</v>
      </c>
      <c r="H3553">
        <v>10.334004999999999</v>
      </c>
      <c r="I3553">
        <v>62.86</v>
      </c>
      <c r="J3553">
        <v>0.9</v>
      </c>
      <c r="K3553">
        <v>79</v>
      </c>
      <c r="L3553">
        <v>99.774535999999998</v>
      </c>
      <c r="M3553">
        <v>85.3</v>
      </c>
      <c r="N3553">
        <v>3.2355347000000001</v>
      </c>
      <c r="O3553">
        <v>25500000</v>
      </c>
      <c r="P3553">
        <v>9.4730053049999992</v>
      </c>
      <c r="Q3553">
        <v>830.40769420000004</v>
      </c>
      <c r="R3553">
        <v>17.64</v>
      </c>
      <c r="S3553">
        <v>447400</v>
      </c>
      <c r="T3553">
        <v>41.377490999999999</v>
      </c>
      <c r="U3553">
        <v>64.585262</v>
      </c>
    </row>
    <row r="3554" spans="1:21">
      <c r="A3554" t="s">
        <v>192</v>
      </c>
      <c r="B3554">
        <v>2008</v>
      </c>
      <c r="C3554">
        <v>19085.638999999999</v>
      </c>
      <c r="D3554">
        <v>128880.0049</v>
      </c>
      <c r="E3554">
        <v>35.76</v>
      </c>
      <c r="F3554">
        <v>0</v>
      </c>
      <c r="G3554">
        <v>4.4400000000000004</v>
      </c>
      <c r="H3554">
        <v>11.044776000000001</v>
      </c>
      <c r="I3554">
        <v>63.09</v>
      </c>
      <c r="J3554">
        <v>0.8</v>
      </c>
      <c r="K3554">
        <v>79</v>
      </c>
      <c r="L3554">
        <v>99.808750000000003</v>
      </c>
      <c r="M3554">
        <v>85.7</v>
      </c>
      <c r="N3554">
        <v>2.3289878000000002</v>
      </c>
      <c r="P3554">
        <v>9.0291610169999998</v>
      </c>
      <c r="Q3554">
        <v>1082.2860250000001</v>
      </c>
      <c r="R3554">
        <v>16.649999999999999</v>
      </c>
      <c r="S3554">
        <v>447400</v>
      </c>
      <c r="T3554">
        <v>41.377490999999999</v>
      </c>
      <c r="U3554">
        <v>64.585262</v>
      </c>
    </row>
    <row r="3555" spans="1:21">
      <c r="A3555" t="s">
        <v>192</v>
      </c>
      <c r="B3555">
        <v>2009</v>
      </c>
      <c r="C3555">
        <v>18643.187999999998</v>
      </c>
      <c r="D3555">
        <v>116529.9988</v>
      </c>
      <c r="E3555">
        <v>38.18</v>
      </c>
      <c r="F3555">
        <v>0</v>
      </c>
      <c r="G3555">
        <v>6.42</v>
      </c>
      <c r="H3555">
        <v>14.394619</v>
      </c>
      <c r="I3555">
        <v>62.1</v>
      </c>
      <c r="J3555">
        <v>1.25</v>
      </c>
      <c r="K3555">
        <v>79</v>
      </c>
      <c r="L3555">
        <v>99.852905000000007</v>
      </c>
      <c r="M3555">
        <v>85.6</v>
      </c>
      <c r="N3555">
        <v>3.4478520000000001</v>
      </c>
      <c r="P3555">
        <v>8.0509333279999993</v>
      </c>
      <c r="Q3555">
        <v>1213.265328</v>
      </c>
      <c r="R3555">
        <v>14.07</v>
      </c>
      <c r="S3555">
        <v>447400</v>
      </c>
      <c r="T3555">
        <v>41.377490999999999</v>
      </c>
      <c r="U3555">
        <v>64.585262</v>
      </c>
    </row>
    <row r="3556" spans="1:21">
      <c r="A3556" t="s">
        <v>192</v>
      </c>
      <c r="B3556">
        <v>2010</v>
      </c>
      <c r="C3556">
        <v>18563.715</v>
      </c>
      <c r="D3556">
        <v>126239.9979</v>
      </c>
      <c r="E3556">
        <v>41.16</v>
      </c>
      <c r="F3556">
        <v>0</v>
      </c>
      <c r="G3556">
        <v>8.11</v>
      </c>
      <c r="H3556">
        <v>16.460319999999999</v>
      </c>
      <c r="I3556">
        <v>62.87</v>
      </c>
      <c r="J3556">
        <v>1.35</v>
      </c>
      <c r="K3556">
        <v>79</v>
      </c>
      <c r="L3556">
        <v>99.912890000000004</v>
      </c>
      <c r="M3556">
        <v>85.8</v>
      </c>
      <c r="N3556">
        <v>4.2804823000000001</v>
      </c>
      <c r="P3556">
        <v>7.5971679610000002</v>
      </c>
      <c r="Q3556">
        <v>1742.349256</v>
      </c>
      <c r="R3556">
        <v>14.22</v>
      </c>
      <c r="S3556">
        <v>447400</v>
      </c>
      <c r="T3556">
        <v>41.377490999999999</v>
      </c>
      <c r="U3556">
        <v>64.585262</v>
      </c>
    </row>
    <row r="3557" spans="1:21">
      <c r="A3557" t="s">
        <v>192</v>
      </c>
      <c r="B3557">
        <v>2011</v>
      </c>
      <c r="C3557">
        <v>19236.136999999999</v>
      </c>
      <c r="D3557">
        <v>128630.0049</v>
      </c>
      <c r="E3557">
        <v>44.28</v>
      </c>
      <c r="F3557">
        <v>0</v>
      </c>
      <c r="G3557">
        <v>5.65</v>
      </c>
      <c r="H3557">
        <v>11.315842</v>
      </c>
      <c r="I3557">
        <v>61.7</v>
      </c>
      <c r="J3557">
        <v>0.95</v>
      </c>
      <c r="K3557">
        <v>79</v>
      </c>
      <c r="L3557">
        <v>99.961439999999996</v>
      </c>
      <c r="M3557">
        <v>85.6</v>
      </c>
      <c r="N3557">
        <v>2.8236309999999998</v>
      </c>
      <c r="P3557">
        <v>7.5251398939999996</v>
      </c>
      <c r="Q3557">
        <v>2051.1295150000001</v>
      </c>
      <c r="R3557">
        <v>13.59</v>
      </c>
      <c r="S3557">
        <v>447400</v>
      </c>
      <c r="T3557">
        <v>41.377490999999999</v>
      </c>
      <c r="U3557">
        <v>64.585262</v>
      </c>
    </row>
    <row r="3558" spans="1:21">
      <c r="A3558" t="s">
        <v>192</v>
      </c>
      <c r="B3558">
        <v>2012</v>
      </c>
      <c r="C3558">
        <v>18406.984</v>
      </c>
      <c r="D3558">
        <v>113139.9994</v>
      </c>
      <c r="E3558">
        <v>43.56</v>
      </c>
      <c r="F3558">
        <v>0</v>
      </c>
      <c r="G3558">
        <v>6.59</v>
      </c>
      <c r="H3558">
        <v>13.140578</v>
      </c>
      <c r="I3558">
        <v>61.88</v>
      </c>
      <c r="J3558">
        <v>1.34</v>
      </c>
      <c r="K3558">
        <v>79</v>
      </c>
      <c r="L3558">
        <v>99.989819999999995</v>
      </c>
      <c r="M3558">
        <v>85.8</v>
      </c>
      <c r="N3558">
        <v>3.2085802999999999</v>
      </c>
      <c r="O3558">
        <v>94470000</v>
      </c>
      <c r="P3558">
        <v>7.1024448869999999</v>
      </c>
      <c r="Q3558">
        <v>2267.6232749999999</v>
      </c>
      <c r="R3558">
        <v>11.04</v>
      </c>
      <c r="S3558">
        <v>447400</v>
      </c>
      <c r="T3558">
        <v>41.377490999999999</v>
      </c>
      <c r="U3558">
        <v>64.585262</v>
      </c>
    </row>
    <row r="3559" spans="1:21">
      <c r="A3559" t="s">
        <v>192</v>
      </c>
      <c r="B3559">
        <v>2013</v>
      </c>
      <c r="C3559">
        <v>18200.294999999998</v>
      </c>
      <c r="D3559">
        <v>111860.0006</v>
      </c>
      <c r="E3559">
        <v>45.97</v>
      </c>
      <c r="F3559">
        <v>0</v>
      </c>
      <c r="G3559">
        <v>5.65</v>
      </c>
      <c r="H3559">
        <v>10.945371</v>
      </c>
      <c r="I3559">
        <v>60.9</v>
      </c>
      <c r="J3559">
        <v>1.19</v>
      </c>
      <c r="K3559">
        <v>79</v>
      </c>
      <c r="L3559">
        <v>99.998869999999997</v>
      </c>
      <c r="M3559">
        <v>85.5</v>
      </c>
      <c r="N3559">
        <v>3.1334650000000002</v>
      </c>
      <c r="O3559">
        <v>196820000</v>
      </c>
      <c r="P3559">
        <v>7.2965503700000003</v>
      </c>
      <c r="Q3559">
        <v>2419.718703</v>
      </c>
      <c r="R3559">
        <v>10.15</v>
      </c>
      <c r="S3559">
        <v>447400</v>
      </c>
      <c r="T3559">
        <v>41.377490999999999</v>
      </c>
      <c r="U3559">
        <v>64.585262</v>
      </c>
    </row>
    <row r="3560" spans="1:21">
      <c r="A3560" t="s">
        <v>192</v>
      </c>
      <c r="B3560">
        <v>2014</v>
      </c>
      <c r="C3560">
        <v>18518.157999999999</v>
      </c>
      <c r="D3560">
        <v>104870.0027</v>
      </c>
      <c r="E3560">
        <v>46.7</v>
      </c>
      <c r="F3560">
        <v>0</v>
      </c>
      <c r="G3560">
        <v>6.01</v>
      </c>
      <c r="H3560">
        <v>11.402011</v>
      </c>
      <c r="I3560">
        <v>61.53</v>
      </c>
      <c r="J3560">
        <v>1.4</v>
      </c>
      <c r="K3560">
        <v>79</v>
      </c>
      <c r="L3560">
        <v>100</v>
      </c>
      <c r="M3560">
        <v>85.5</v>
      </c>
      <c r="N3560">
        <v>2.9718068</v>
      </c>
      <c r="P3560">
        <v>6.8738384410000002</v>
      </c>
      <c r="Q3560">
        <v>2628.460008</v>
      </c>
      <c r="R3560">
        <v>8.83</v>
      </c>
      <c r="S3560">
        <v>447400</v>
      </c>
      <c r="T3560">
        <v>41.377490999999999</v>
      </c>
      <c r="U3560">
        <v>64.585262</v>
      </c>
    </row>
    <row r="3561" spans="1:21">
      <c r="A3561" t="s">
        <v>192</v>
      </c>
      <c r="B3561">
        <v>2015</v>
      </c>
      <c r="C3561">
        <v>17386.195</v>
      </c>
      <c r="D3561">
        <v>99169.998170000006</v>
      </c>
      <c r="E3561">
        <v>47.55</v>
      </c>
      <c r="F3561">
        <v>0</v>
      </c>
      <c r="G3561">
        <v>7</v>
      </c>
      <c r="H3561">
        <v>12.832264</v>
      </c>
      <c r="I3561">
        <v>60.83</v>
      </c>
      <c r="J3561">
        <v>1.71</v>
      </c>
      <c r="K3561">
        <v>79</v>
      </c>
      <c r="L3561">
        <v>100</v>
      </c>
      <c r="M3561">
        <v>85.35</v>
      </c>
      <c r="N3561">
        <v>3.0129926</v>
      </c>
      <c r="O3561">
        <v>270000</v>
      </c>
      <c r="P3561">
        <v>7.2187735079999999</v>
      </c>
      <c r="Q3561">
        <v>2753.9710719999998</v>
      </c>
      <c r="R3561">
        <v>7.86</v>
      </c>
      <c r="S3561">
        <v>447400</v>
      </c>
      <c r="T3561">
        <v>41.377490999999999</v>
      </c>
      <c r="U3561">
        <v>64.585262</v>
      </c>
    </row>
    <row r="3562" spans="1:21">
      <c r="A3562" t="s">
        <v>192</v>
      </c>
      <c r="B3562">
        <v>2016</v>
      </c>
      <c r="C3562">
        <v>16374.342000000001</v>
      </c>
      <c r="D3562">
        <v>105230.0034</v>
      </c>
      <c r="E3562">
        <v>48.75</v>
      </c>
      <c r="F3562">
        <v>0</v>
      </c>
      <c r="G3562">
        <v>7.25</v>
      </c>
      <c r="H3562">
        <v>12.946427999999999</v>
      </c>
      <c r="I3562">
        <v>59.88</v>
      </c>
      <c r="J3562">
        <v>1.61</v>
      </c>
      <c r="K3562">
        <v>79</v>
      </c>
      <c r="L3562">
        <v>100</v>
      </c>
      <c r="M3562">
        <v>85.2</v>
      </c>
      <c r="N3562">
        <v>3.567936</v>
      </c>
      <c r="O3562">
        <v>690000</v>
      </c>
      <c r="P3562">
        <v>5.9321507999999996</v>
      </c>
      <c r="Q3562">
        <v>2704.6771880000001</v>
      </c>
      <c r="R3562">
        <v>7.82</v>
      </c>
      <c r="S3562">
        <v>447400</v>
      </c>
      <c r="T3562">
        <v>41.377490999999999</v>
      </c>
      <c r="U3562">
        <v>64.585262</v>
      </c>
    </row>
    <row r="3563" spans="1:21">
      <c r="A3563" t="s">
        <v>192</v>
      </c>
      <c r="B3563">
        <v>2017</v>
      </c>
      <c r="C3563">
        <v>16642.675999999999</v>
      </c>
      <c r="D3563">
        <v>109529.9988</v>
      </c>
      <c r="E3563">
        <v>49.71</v>
      </c>
      <c r="F3563">
        <v>0</v>
      </c>
      <c r="G3563">
        <v>8.35</v>
      </c>
      <c r="H3563">
        <v>14.381675</v>
      </c>
      <c r="I3563">
        <v>58.24</v>
      </c>
      <c r="J3563">
        <v>1.75</v>
      </c>
      <c r="K3563">
        <v>79</v>
      </c>
      <c r="L3563">
        <v>100</v>
      </c>
      <c r="M3563">
        <v>84.9</v>
      </c>
      <c r="N3563">
        <v>3.9722854999999999</v>
      </c>
      <c r="O3563">
        <v>60130000</v>
      </c>
      <c r="P3563">
        <v>4.3952746329999997</v>
      </c>
      <c r="Q3563">
        <v>1916.7646420000001</v>
      </c>
      <c r="R3563">
        <v>7.88</v>
      </c>
      <c r="S3563">
        <v>447400</v>
      </c>
      <c r="T3563">
        <v>41.377490999999999</v>
      </c>
      <c r="U3563">
        <v>64.585262</v>
      </c>
    </row>
    <row r="3564" spans="1:21">
      <c r="A3564" t="s">
        <v>192</v>
      </c>
      <c r="B3564">
        <v>2018</v>
      </c>
      <c r="C3564">
        <v>16445.740000000002</v>
      </c>
      <c r="D3564">
        <v>112470.0012</v>
      </c>
      <c r="E3564">
        <v>53.58</v>
      </c>
      <c r="F3564">
        <v>0</v>
      </c>
      <c r="G3564">
        <v>5.85</v>
      </c>
      <c r="H3564">
        <v>9.8435135000000002</v>
      </c>
      <c r="I3564">
        <v>59.09</v>
      </c>
      <c r="J3564">
        <v>1.49</v>
      </c>
      <c r="K3564">
        <v>79</v>
      </c>
      <c r="L3564">
        <v>100</v>
      </c>
      <c r="M3564">
        <v>84.3</v>
      </c>
      <c r="N3564">
        <v>2.9270331999999999</v>
      </c>
      <c r="O3564">
        <v>84130000</v>
      </c>
      <c r="P3564">
        <v>5.3549968879999996</v>
      </c>
      <c r="Q3564">
        <v>1597.0683369999999</v>
      </c>
      <c r="R3564">
        <v>9.0500000000000007</v>
      </c>
      <c r="S3564">
        <v>447400</v>
      </c>
      <c r="T3564">
        <v>41.377490999999999</v>
      </c>
      <c r="U3564">
        <v>64.585262</v>
      </c>
    </row>
    <row r="3565" spans="1:21">
      <c r="A3565" t="s">
        <v>192</v>
      </c>
      <c r="B3565">
        <v>2019</v>
      </c>
      <c r="C3565">
        <v>16212.221</v>
      </c>
      <c r="D3565">
        <v>116709.9991</v>
      </c>
      <c r="E3565">
        <v>53.64</v>
      </c>
      <c r="F3565">
        <v>0</v>
      </c>
      <c r="G3565">
        <v>6.47</v>
      </c>
      <c r="H3565">
        <v>10.7636</v>
      </c>
      <c r="I3565">
        <v>57.96</v>
      </c>
      <c r="J3565">
        <v>1.57</v>
      </c>
      <c r="K3565">
        <v>79</v>
      </c>
      <c r="L3565">
        <v>100</v>
      </c>
      <c r="M3565">
        <v>84.6</v>
      </c>
      <c r="N3565">
        <v>3.1970326999999998</v>
      </c>
      <c r="O3565">
        <v>65940000</v>
      </c>
      <c r="P3565">
        <v>5.7096322219999998</v>
      </c>
      <c r="Q3565">
        <v>1784.009816</v>
      </c>
      <c r="R3565">
        <v>8.3699999999999992</v>
      </c>
      <c r="S3565">
        <v>447400</v>
      </c>
      <c r="T3565">
        <v>41.377490999999999</v>
      </c>
      <c r="U3565">
        <v>64.585262</v>
      </c>
    </row>
    <row r="3566" spans="1:21">
      <c r="A3566" t="s">
        <v>192</v>
      </c>
      <c r="B3566">
        <v>2020</v>
      </c>
      <c r="C3566">
        <v>15860.609</v>
      </c>
      <c r="E3566">
        <v>50.93</v>
      </c>
      <c r="F3566">
        <v>0</v>
      </c>
      <c r="G3566">
        <v>5.01</v>
      </c>
      <c r="H3566">
        <v>8.9560250000000003</v>
      </c>
      <c r="I3566">
        <v>60.02</v>
      </c>
      <c r="K3566">
        <v>79</v>
      </c>
      <c r="L3566">
        <v>100</v>
      </c>
      <c r="M3566">
        <v>84.25</v>
      </c>
      <c r="N3566">
        <v>2.5234209999999999</v>
      </c>
      <c r="P3566">
        <v>1.714770576</v>
      </c>
      <c r="Q3566">
        <v>1750.6971129999999</v>
      </c>
      <c r="S3566">
        <v>447400</v>
      </c>
      <c r="T3566">
        <v>41.377490999999999</v>
      </c>
      <c r="U3566">
        <v>64.585262</v>
      </c>
    </row>
    <row r="3567" spans="1:21">
      <c r="A3567" t="s">
        <v>193</v>
      </c>
      <c r="B3567">
        <v>2000</v>
      </c>
      <c r="C3567">
        <v>1988.2789</v>
      </c>
      <c r="D3567">
        <v>90</v>
      </c>
      <c r="E3567">
        <v>0.04</v>
      </c>
      <c r="F3567">
        <v>0</v>
      </c>
      <c r="G3567">
        <v>0</v>
      </c>
      <c r="H3567">
        <v>0</v>
      </c>
      <c r="I3567">
        <v>3.24</v>
      </c>
      <c r="J3567">
        <v>48.65</v>
      </c>
      <c r="K3567">
        <v>25</v>
      </c>
      <c r="L3567">
        <v>22.143080000000001</v>
      </c>
      <c r="M3567">
        <v>15.9</v>
      </c>
      <c r="P3567">
        <v>5.924809057</v>
      </c>
      <c r="Q3567">
        <v>1470.6358700000001</v>
      </c>
      <c r="R3567">
        <v>3.66</v>
      </c>
      <c r="S3567">
        <v>12189</v>
      </c>
      <c r="T3567">
        <v>-15.376706</v>
      </c>
      <c r="U3567">
        <v>166.959158</v>
      </c>
    </row>
    <row r="3568" spans="1:21">
      <c r="A3568" t="s">
        <v>193</v>
      </c>
      <c r="B3568">
        <v>2001</v>
      </c>
      <c r="C3568">
        <v>2158.8422999999998</v>
      </c>
      <c r="D3568">
        <v>90</v>
      </c>
      <c r="E3568">
        <v>0.04</v>
      </c>
      <c r="F3568">
        <v>0</v>
      </c>
      <c r="G3568">
        <v>0</v>
      </c>
      <c r="H3568">
        <v>0</v>
      </c>
      <c r="I3568">
        <v>3.17</v>
      </c>
      <c r="J3568">
        <v>47.42</v>
      </c>
      <c r="K3568">
        <v>25</v>
      </c>
      <c r="L3568">
        <v>23.94388</v>
      </c>
      <c r="M3568">
        <v>15.7</v>
      </c>
      <c r="P3568">
        <v>-3.3975824889999999</v>
      </c>
      <c r="Q3568">
        <v>1363.185058</v>
      </c>
      <c r="R3568">
        <v>3.88</v>
      </c>
      <c r="S3568">
        <v>12189</v>
      </c>
      <c r="T3568">
        <v>-15.376706</v>
      </c>
      <c r="U3568">
        <v>166.959158</v>
      </c>
    </row>
    <row r="3569" spans="1:21">
      <c r="A3569" t="s">
        <v>193</v>
      </c>
      <c r="B3569">
        <v>2002</v>
      </c>
      <c r="C3569">
        <v>2008.1954000000001</v>
      </c>
      <c r="D3569">
        <v>79.999998210000001</v>
      </c>
      <c r="E3569">
        <v>0.04</v>
      </c>
      <c r="F3569">
        <v>0</v>
      </c>
      <c r="G3569">
        <v>0</v>
      </c>
      <c r="H3569">
        <v>0</v>
      </c>
      <c r="I3569">
        <v>3.09</v>
      </c>
      <c r="J3569">
        <v>51.92</v>
      </c>
      <c r="K3569">
        <v>25</v>
      </c>
      <c r="L3569">
        <v>25.737099000000001</v>
      </c>
      <c r="M3569">
        <v>15.5</v>
      </c>
      <c r="P3569">
        <v>-5.1983187590000002</v>
      </c>
      <c r="Q3569">
        <v>1354.1002430000001</v>
      </c>
      <c r="R3569">
        <v>3.82</v>
      </c>
      <c r="S3569">
        <v>12189</v>
      </c>
      <c r="T3569">
        <v>-15.376706</v>
      </c>
      <c r="U3569">
        <v>166.959158</v>
      </c>
    </row>
    <row r="3570" spans="1:21">
      <c r="A3570" t="s">
        <v>193</v>
      </c>
      <c r="B3570">
        <v>2003</v>
      </c>
      <c r="C3570">
        <v>2298.1453000000001</v>
      </c>
      <c r="D3570">
        <v>90.000003579999998</v>
      </c>
      <c r="E3570">
        <v>0.04</v>
      </c>
      <c r="F3570">
        <v>0</v>
      </c>
      <c r="G3570">
        <v>0</v>
      </c>
      <c r="H3570">
        <v>0</v>
      </c>
      <c r="I3570">
        <v>3.02</v>
      </c>
      <c r="J3570">
        <v>50.45</v>
      </c>
      <c r="K3570">
        <v>25</v>
      </c>
      <c r="L3570">
        <v>27.525079999999999</v>
      </c>
      <c r="M3570">
        <v>15.35</v>
      </c>
      <c r="P3570">
        <v>4.2883351169999999</v>
      </c>
      <c r="Q3570">
        <v>1580.575634</v>
      </c>
      <c r="R3570">
        <v>3.78</v>
      </c>
      <c r="S3570">
        <v>12189</v>
      </c>
      <c r="T3570">
        <v>-15.376706</v>
      </c>
      <c r="U3570">
        <v>166.959158</v>
      </c>
    </row>
    <row r="3571" spans="1:21">
      <c r="A3571" t="s">
        <v>193</v>
      </c>
      <c r="B3571">
        <v>2004</v>
      </c>
      <c r="C3571">
        <v>1804.7319</v>
      </c>
      <c r="D3571">
        <v>70.000000299999996</v>
      </c>
      <c r="E3571">
        <v>0.04</v>
      </c>
      <c r="F3571">
        <v>0</v>
      </c>
      <c r="G3571">
        <v>0</v>
      </c>
      <c r="H3571">
        <v>0</v>
      </c>
      <c r="I3571">
        <v>2.94</v>
      </c>
      <c r="J3571">
        <v>64.06</v>
      </c>
      <c r="K3571">
        <v>25</v>
      </c>
      <c r="L3571">
        <v>29.310175000000001</v>
      </c>
      <c r="M3571">
        <v>15.1</v>
      </c>
      <c r="P3571">
        <v>3.987392802</v>
      </c>
      <c r="Q3571">
        <v>1788.122206</v>
      </c>
      <c r="R3571">
        <v>3.03</v>
      </c>
      <c r="S3571">
        <v>12189</v>
      </c>
      <c r="T3571">
        <v>-15.376706</v>
      </c>
      <c r="U3571">
        <v>166.959158</v>
      </c>
    </row>
    <row r="3572" spans="1:21">
      <c r="A3572" t="s">
        <v>193</v>
      </c>
      <c r="B3572">
        <v>2005</v>
      </c>
      <c r="C3572">
        <v>1761.5436999999999</v>
      </c>
      <c r="D3572">
        <v>70.000000299999996</v>
      </c>
      <c r="E3572">
        <v>0.04</v>
      </c>
      <c r="F3572">
        <v>0</v>
      </c>
      <c r="G3572">
        <v>0</v>
      </c>
      <c r="H3572">
        <v>0</v>
      </c>
      <c r="I3572">
        <v>2.87</v>
      </c>
      <c r="J3572">
        <v>64.260000000000005</v>
      </c>
      <c r="K3572">
        <v>25</v>
      </c>
      <c r="L3572">
        <v>31.094733999999999</v>
      </c>
      <c r="M3572">
        <v>14.7</v>
      </c>
      <c r="P3572">
        <v>5.305326473</v>
      </c>
      <c r="Q3572">
        <v>1887.226576</v>
      </c>
      <c r="R3572">
        <v>2.88</v>
      </c>
      <c r="S3572">
        <v>12189</v>
      </c>
      <c r="T3572">
        <v>-15.376706</v>
      </c>
      <c r="U3572">
        <v>166.959158</v>
      </c>
    </row>
    <row r="3573" spans="1:21">
      <c r="A3573" t="s">
        <v>193</v>
      </c>
      <c r="B3573">
        <v>2006</v>
      </c>
      <c r="C3573">
        <v>1595.11</v>
      </c>
      <c r="D3573">
        <v>70.000000299999996</v>
      </c>
      <c r="E3573">
        <v>0.04</v>
      </c>
      <c r="F3573">
        <v>0</v>
      </c>
      <c r="G3573">
        <v>0</v>
      </c>
      <c r="H3573">
        <v>0</v>
      </c>
      <c r="I3573">
        <v>2.8</v>
      </c>
      <c r="J3573">
        <v>63.75</v>
      </c>
      <c r="K3573">
        <v>25</v>
      </c>
      <c r="L3573">
        <v>26.44</v>
      </c>
      <c r="M3573">
        <v>14.5</v>
      </c>
      <c r="P3573">
        <v>8.4651598650000004</v>
      </c>
      <c r="Q3573">
        <v>2049.5328089999998</v>
      </c>
      <c r="R3573">
        <v>2.48</v>
      </c>
      <c r="S3573">
        <v>12189</v>
      </c>
      <c r="T3573">
        <v>-15.376706</v>
      </c>
      <c r="U3573">
        <v>166.959158</v>
      </c>
    </row>
    <row r="3574" spans="1:21">
      <c r="A3574" t="s">
        <v>193</v>
      </c>
      <c r="B3574">
        <v>2007</v>
      </c>
      <c r="C3574">
        <v>2524.6426000000001</v>
      </c>
      <c r="D3574">
        <v>109.99999939999999</v>
      </c>
      <c r="E3574">
        <v>0.05</v>
      </c>
      <c r="F3574">
        <v>0</v>
      </c>
      <c r="G3574">
        <v>0</v>
      </c>
      <c r="H3574">
        <v>0</v>
      </c>
      <c r="I3574">
        <v>2.73</v>
      </c>
      <c r="J3574">
        <v>42.26</v>
      </c>
      <c r="K3574">
        <v>25</v>
      </c>
      <c r="L3574">
        <v>33.62462</v>
      </c>
      <c r="M3574">
        <v>13.9</v>
      </c>
      <c r="O3574">
        <v>12720000</v>
      </c>
      <c r="P3574">
        <v>2.8716598439999999</v>
      </c>
      <c r="Q3574">
        <v>2352.9732549999999</v>
      </c>
      <c r="R3574">
        <v>3.53</v>
      </c>
      <c r="S3574">
        <v>12189</v>
      </c>
      <c r="T3574">
        <v>-15.376706</v>
      </c>
      <c r="U3574">
        <v>166.959158</v>
      </c>
    </row>
    <row r="3575" spans="1:21">
      <c r="A3575" t="s">
        <v>193</v>
      </c>
      <c r="B3575">
        <v>2008</v>
      </c>
      <c r="C3575">
        <v>2429.7217000000001</v>
      </c>
      <c r="D3575">
        <v>100.0000015</v>
      </c>
      <c r="E3575">
        <v>0.05</v>
      </c>
      <c r="F3575">
        <v>0</v>
      </c>
      <c r="G3575">
        <v>0</v>
      </c>
      <c r="H3575">
        <v>0</v>
      </c>
      <c r="I3575">
        <v>16.309999999999999</v>
      </c>
      <c r="J3575">
        <v>47.63</v>
      </c>
      <c r="K3575">
        <v>25</v>
      </c>
      <c r="L3575">
        <v>36.470303000000001</v>
      </c>
      <c r="M3575">
        <v>13.5</v>
      </c>
      <c r="O3575">
        <v>30000</v>
      </c>
      <c r="P3575">
        <v>5.6029914620000003</v>
      </c>
      <c r="Q3575">
        <v>2629.053124</v>
      </c>
      <c r="R3575">
        <v>3.33</v>
      </c>
      <c r="S3575">
        <v>12189</v>
      </c>
      <c r="T3575">
        <v>-15.376706</v>
      </c>
      <c r="U3575">
        <v>166.959158</v>
      </c>
    </row>
    <row r="3576" spans="1:21">
      <c r="A3576" t="s">
        <v>193</v>
      </c>
      <c r="B3576">
        <v>2009</v>
      </c>
      <c r="C3576">
        <v>2740.9023000000002</v>
      </c>
      <c r="D3576">
        <v>129.9999952</v>
      </c>
      <c r="E3576">
        <v>0.05</v>
      </c>
      <c r="F3576">
        <v>0</v>
      </c>
      <c r="G3576">
        <v>0</v>
      </c>
      <c r="H3576">
        <v>0</v>
      </c>
      <c r="I3576">
        <v>18.7</v>
      </c>
      <c r="J3576">
        <v>38.79</v>
      </c>
      <c r="K3576">
        <v>25</v>
      </c>
      <c r="L3576">
        <v>33.291114999999998</v>
      </c>
      <c r="M3576">
        <v>12.9</v>
      </c>
      <c r="P3576">
        <v>3.0372460280000002</v>
      </c>
      <c r="Q3576">
        <v>2573.8890150000002</v>
      </c>
      <c r="R3576">
        <v>3.71</v>
      </c>
      <c r="S3576">
        <v>12189</v>
      </c>
      <c r="T3576">
        <v>-15.376706</v>
      </c>
      <c r="U3576">
        <v>166.959158</v>
      </c>
    </row>
    <row r="3577" spans="1:21">
      <c r="A3577" t="s">
        <v>193</v>
      </c>
      <c r="B3577">
        <v>2010</v>
      </c>
      <c r="C3577">
        <v>2766.5137</v>
      </c>
      <c r="D3577">
        <v>129.9999952</v>
      </c>
      <c r="E3577">
        <v>0.05</v>
      </c>
      <c r="F3577">
        <v>0</v>
      </c>
      <c r="G3577">
        <v>0</v>
      </c>
      <c r="H3577">
        <v>0</v>
      </c>
      <c r="I3577">
        <v>18.23</v>
      </c>
      <c r="J3577">
        <v>38.4</v>
      </c>
      <c r="K3577">
        <v>25</v>
      </c>
      <c r="L3577">
        <v>44.1</v>
      </c>
      <c r="M3577">
        <v>12.3</v>
      </c>
      <c r="O3577">
        <v>890000</v>
      </c>
      <c r="P3577">
        <v>1.2606817969999999</v>
      </c>
      <c r="Q3577">
        <v>2839.40634</v>
      </c>
      <c r="R3577">
        <v>3.7</v>
      </c>
      <c r="S3577">
        <v>12189</v>
      </c>
      <c r="T3577">
        <v>-15.376706</v>
      </c>
      <c r="U3577">
        <v>166.959158</v>
      </c>
    </row>
    <row r="3578" spans="1:21">
      <c r="A3578" t="s">
        <v>193</v>
      </c>
      <c r="B3578">
        <v>2011</v>
      </c>
      <c r="C3578">
        <v>3125.8760000000002</v>
      </c>
      <c r="D3578">
        <v>129.9999952</v>
      </c>
      <c r="E3578">
        <v>0.05</v>
      </c>
      <c r="F3578">
        <v>0</v>
      </c>
      <c r="G3578">
        <v>0.01</v>
      </c>
      <c r="H3578">
        <v>16.666668000000001</v>
      </c>
      <c r="I3578">
        <v>29.23</v>
      </c>
      <c r="J3578">
        <v>35.99</v>
      </c>
      <c r="K3578">
        <v>25</v>
      </c>
      <c r="L3578">
        <v>41.93533</v>
      </c>
      <c r="M3578">
        <v>11.5</v>
      </c>
      <c r="P3578">
        <v>3.1378740860000001</v>
      </c>
      <c r="Q3578">
        <v>3173.8220219999998</v>
      </c>
      <c r="R3578">
        <v>3.71</v>
      </c>
      <c r="S3578">
        <v>12189</v>
      </c>
      <c r="T3578">
        <v>-15.376706</v>
      </c>
      <c r="U3578">
        <v>166.959158</v>
      </c>
    </row>
    <row r="3579" spans="1:21">
      <c r="A3579" t="s">
        <v>193</v>
      </c>
      <c r="B3579">
        <v>2012</v>
      </c>
      <c r="C3579">
        <v>2561.1619999999998</v>
      </c>
      <c r="D3579">
        <v>119.9999973</v>
      </c>
      <c r="E3579">
        <v>0.05</v>
      </c>
      <c r="F3579">
        <v>0</v>
      </c>
      <c r="G3579">
        <v>0.01</v>
      </c>
      <c r="H3579">
        <v>16.666668000000001</v>
      </c>
      <c r="I3579">
        <v>28.58</v>
      </c>
      <c r="J3579">
        <v>39.28</v>
      </c>
      <c r="K3579">
        <v>25</v>
      </c>
      <c r="L3579">
        <v>43.789527999999997</v>
      </c>
      <c r="M3579">
        <v>11</v>
      </c>
      <c r="O3579">
        <v>3050000</v>
      </c>
      <c r="P3579">
        <v>1.010029914</v>
      </c>
      <c r="Q3579">
        <v>2997.2934319999999</v>
      </c>
      <c r="R3579">
        <v>3.45</v>
      </c>
      <c r="S3579">
        <v>12189</v>
      </c>
      <c r="T3579">
        <v>-15.376706</v>
      </c>
      <c r="U3579">
        <v>166.959158</v>
      </c>
    </row>
    <row r="3580" spans="1:21">
      <c r="A3580" t="s">
        <v>193</v>
      </c>
      <c r="B3580">
        <v>2013</v>
      </c>
      <c r="C3580">
        <v>2422.6257000000001</v>
      </c>
      <c r="D3580">
        <v>109.99999939999999</v>
      </c>
      <c r="E3580">
        <v>0.05</v>
      </c>
      <c r="F3580">
        <v>0</v>
      </c>
      <c r="G3580">
        <v>0.02</v>
      </c>
      <c r="H3580">
        <v>28.571428000000001</v>
      </c>
      <c r="I3580">
        <v>27.85</v>
      </c>
      <c r="J3580">
        <v>41.26</v>
      </c>
      <c r="K3580">
        <v>25</v>
      </c>
      <c r="L3580">
        <v>31.7</v>
      </c>
      <c r="M3580">
        <v>10.6</v>
      </c>
      <c r="O3580">
        <v>4750000</v>
      </c>
      <c r="P3580">
        <v>0.46860845899999998</v>
      </c>
      <c r="Q3580">
        <v>2954.7745110000001</v>
      </c>
      <c r="R3580">
        <v>3.36</v>
      </c>
      <c r="S3580">
        <v>12189</v>
      </c>
      <c r="T3580">
        <v>-15.376706</v>
      </c>
      <c r="U3580">
        <v>166.959158</v>
      </c>
    </row>
    <row r="3581" spans="1:21">
      <c r="A3581" t="s">
        <v>193</v>
      </c>
      <c r="B3581">
        <v>2014</v>
      </c>
      <c r="C3581">
        <v>2701.0387999999998</v>
      </c>
      <c r="D3581">
        <v>159.99999639999999</v>
      </c>
      <c r="E3581">
        <v>0.05</v>
      </c>
      <c r="F3581">
        <v>0</v>
      </c>
      <c r="G3581">
        <v>0.02</v>
      </c>
      <c r="H3581">
        <v>28.571428000000001</v>
      </c>
      <c r="I3581">
        <v>29.8</v>
      </c>
      <c r="J3581">
        <v>31.74</v>
      </c>
      <c r="K3581">
        <v>25</v>
      </c>
      <c r="L3581">
        <v>49.057445999999999</v>
      </c>
      <c r="M3581">
        <v>10</v>
      </c>
      <c r="O3581">
        <v>8540000</v>
      </c>
      <c r="P3581">
        <v>3.1262462499999999</v>
      </c>
      <c r="Q3581">
        <v>2926.6799599999999</v>
      </c>
      <c r="R3581">
        <v>4.03</v>
      </c>
      <c r="S3581">
        <v>12189</v>
      </c>
      <c r="T3581">
        <v>-15.376706</v>
      </c>
      <c r="U3581">
        <v>166.959158</v>
      </c>
    </row>
    <row r="3582" spans="1:21">
      <c r="A3582" t="s">
        <v>193</v>
      </c>
      <c r="B3582">
        <v>2015</v>
      </c>
      <c r="C3582">
        <v>2484.069</v>
      </c>
      <c r="D3582">
        <v>140.00000059999999</v>
      </c>
      <c r="E3582">
        <v>0.05</v>
      </c>
      <c r="F3582">
        <v>0</v>
      </c>
      <c r="G3582">
        <v>0.02</v>
      </c>
      <c r="H3582">
        <v>28.571428000000001</v>
      </c>
      <c r="I3582">
        <v>29.45</v>
      </c>
      <c r="J3582">
        <v>35.909999999999997</v>
      </c>
      <c r="K3582">
        <v>25</v>
      </c>
      <c r="L3582">
        <v>52.205100000000002</v>
      </c>
      <c r="M3582">
        <v>9.5</v>
      </c>
      <c r="O3582">
        <v>7260000</v>
      </c>
      <c r="P3582">
        <v>0.371578452</v>
      </c>
      <c r="Q3582">
        <v>2695.6661859999999</v>
      </c>
      <c r="R3582">
        <v>3.61</v>
      </c>
      <c r="S3582">
        <v>12189</v>
      </c>
      <c r="T3582">
        <v>-15.376706</v>
      </c>
      <c r="U3582">
        <v>166.959158</v>
      </c>
    </row>
    <row r="3583" spans="1:21">
      <c r="A3583" t="s">
        <v>193</v>
      </c>
      <c r="B3583">
        <v>2016</v>
      </c>
      <c r="C3583">
        <v>2445.8683999999998</v>
      </c>
      <c r="D3583">
        <v>180.0000072</v>
      </c>
      <c r="E3583">
        <v>0.05</v>
      </c>
      <c r="F3583">
        <v>0</v>
      </c>
      <c r="G3583">
        <v>0.02</v>
      </c>
      <c r="H3583">
        <v>28.571428000000001</v>
      </c>
      <c r="I3583">
        <v>33.43</v>
      </c>
      <c r="J3583">
        <v>33.4</v>
      </c>
      <c r="K3583">
        <v>25</v>
      </c>
      <c r="L3583">
        <v>57.82</v>
      </c>
      <c r="M3583">
        <v>8.8000000000000007</v>
      </c>
      <c r="P3583">
        <v>4.6886778229999999</v>
      </c>
      <c r="Q3583">
        <v>2805.6653200000001</v>
      </c>
      <c r="R3583">
        <v>3.71</v>
      </c>
      <c r="S3583">
        <v>12189</v>
      </c>
      <c r="T3583">
        <v>-15.376706</v>
      </c>
      <c r="U3583">
        <v>166.959158</v>
      </c>
    </row>
    <row r="3584" spans="1:21">
      <c r="A3584" t="s">
        <v>193</v>
      </c>
      <c r="B3584">
        <v>2017</v>
      </c>
      <c r="C3584">
        <v>2661.3218000000002</v>
      </c>
      <c r="D3584">
        <v>170.00000180000001</v>
      </c>
      <c r="E3584">
        <v>0.05</v>
      </c>
      <c r="F3584">
        <v>0</v>
      </c>
      <c r="G3584">
        <v>0.01</v>
      </c>
      <c r="H3584">
        <v>16.666668000000001</v>
      </c>
      <c r="I3584">
        <v>34.78</v>
      </c>
      <c r="J3584">
        <v>36.130000000000003</v>
      </c>
      <c r="K3584">
        <v>25</v>
      </c>
      <c r="L3584">
        <v>62.8</v>
      </c>
      <c r="M3584">
        <v>8.4</v>
      </c>
      <c r="O3584">
        <v>17770000</v>
      </c>
      <c r="P3584">
        <v>6.315604199</v>
      </c>
      <c r="Q3584">
        <v>3082.4750829999998</v>
      </c>
      <c r="R3584">
        <v>3.33</v>
      </c>
      <c r="S3584">
        <v>12189</v>
      </c>
      <c r="T3584">
        <v>-15.376706</v>
      </c>
      <c r="U3584">
        <v>166.959158</v>
      </c>
    </row>
    <row r="3585" spans="1:21">
      <c r="A3585" t="s">
        <v>193</v>
      </c>
      <c r="B3585">
        <v>2018</v>
      </c>
      <c r="C3585">
        <v>3346.0902999999998</v>
      </c>
      <c r="D3585">
        <v>209.99999339999999</v>
      </c>
      <c r="E3585">
        <v>0.05</v>
      </c>
      <c r="F3585">
        <v>0</v>
      </c>
      <c r="G3585">
        <v>0.02</v>
      </c>
      <c r="H3585">
        <v>28.571428000000001</v>
      </c>
      <c r="I3585">
        <v>39.14</v>
      </c>
      <c r="J3585">
        <v>29.96</v>
      </c>
      <c r="K3585">
        <v>25</v>
      </c>
      <c r="L3585">
        <v>61.754513000000003</v>
      </c>
      <c r="M3585">
        <v>8.3000000000000007</v>
      </c>
      <c r="O3585">
        <v>1780000</v>
      </c>
      <c r="P3585">
        <v>2.900230273</v>
      </c>
      <c r="Q3585">
        <v>3125.4049989999999</v>
      </c>
      <c r="R3585">
        <v>3.8</v>
      </c>
      <c r="S3585">
        <v>12189</v>
      </c>
      <c r="T3585">
        <v>-15.376706</v>
      </c>
      <c r="U3585">
        <v>166.959158</v>
      </c>
    </row>
    <row r="3586" spans="1:21">
      <c r="A3586" t="s">
        <v>193</v>
      </c>
      <c r="B3586">
        <v>2019</v>
      </c>
      <c r="C3586">
        <v>3154.4717000000001</v>
      </c>
      <c r="D3586">
        <v>209.99999339999999</v>
      </c>
      <c r="E3586">
        <v>0.05</v>
      </c>
      <c r="F3586">
        <v>0</v>
      </c>
      <c r="G3586">
        <v>0.02</v>
      </c>
      <c r="H3586">
        <v>28.571428000000001</v>
      </c>
      <c r="I3586">
        <v>38.93</v>
      </c>
      <c r="J3586">
        <v>31.86</v>
      </c>
      <c r="K3586">
        <v>25</v>
      </c>
      <c r="L3586">
        <v>64.590190000000007</v>
      </c>
      <c r="M3586">
        <v>8</v>
      </c>
      <c r="O3586">
        <v>150000</v>
      </c>
      <c r="P3586">
        <v>3.9125347370000001</v>
      </c>
      <c r="Q3586">
        <v>3116.297759</v>
      </c>
      <c r="R3586">
        <v>3.53</v>
      </c>
      <c r="S3586">
        <v>12189</v>
      </c>
      <c r="T3586">
        <v>-15.376706</v>
      </c>
      <c r="U3586">
        <v>166.959158</v>
      </c>
    </row>
    <row r="3587" spans="1:21">
      <c r="A3587" t="s">
        <v>193</v>
      </c>
      <c r="B3587">
        <v>2020</v>
      </c>
      <c r="C3587">
        <v>2923.538</v>
      </c>
      <c r="E3587">
        <v>0.05</v>
      </c>
      <c r="F3587">
        <v>0</v>
      </c>
      <c r="G3587">
        <v>0.02</v>
      </c>
      <c r="H3587">
        <v>28.571428000000001</v>
      </c>
      <c r="I3587">
        <v>37.840000000000003</v>
      </c>
      <c r="K3587">
        <v>25</v>
      </c>
      <c r="L3587">
        <v>67.333269999999999</v>
      </c>
      <c r="M3587">
        <v>7.6</v>
      </c>
      <c r="P3587">
        <v>-6.813991132</v>
      </c>
      <c r="Q3587">
        <v>2870.0893000000001</v>
      </c>
      <c r="S3587">
        <v>12189</v>
      </c>
      <c r="T3587">
        <v>-15.376706</v>
      </c>
      <c r="U3587">
        <v>166.959158</v>
      </c>
    </row>
    <row r="3588" spans="1:21">
      <c r="A3588" t="s">
        <v>194</v>
      </c>
      <c r="B3588">
        <v>2000</v>
      </c>
      <c r="C3588">
        <v>3228.2103999999999</v>
      </c>
      <c r="E3588">
        <v>3.21</v>
      </c>
      <c r="F3588">
        <v>0</v>
      </c>
      <c r="G3588">
        <v>0</v>
      </c>
      <c r="H3588">
        <v>0</v>
      </c>
      <c r="I3588">
        <v>0</v>
      </c>
      <c r="J3588">
        <v>0.95</v>
      </c>
      <c r="K3588">
        <v>56</v>
      </c>
      <c r="L3588">
        <v>49.187255999999998</v>
      </c>
      <c r="M3588">
        <v>55.7</v>
      </c>
      <c r="O3588">
        <v>1480000</v>
      </c>
      <c r="R3588">
        <v>2.8231316</v>
      </c>
      <c r="S3588">
        <v>527968</v>
      </c>
      <c r="T3588">
        <v>15.552727000000001</v>
      </c>
      <c r="U3588">
        <v>48.516387999999999</v>
      </c>
    </row>
    <row r="3589" spans="1:21">
      <c r="A3589" t="s">
        <v>194</v>
      </c>
      <c r="B3589">
        <v>2001</v>
      </c>
      <c r="C3589">
        <v>3380.4052999999999</v>
      </c>
      <c r="E3589">
        <v>3.42</v>
      </c>
      <c r="F3589">
        <v>0</v>
      </c>
      <c r="G3589">
        <v>0</v>
      </c>
      <c r="H3589">
        <v>0</v>
      </c>
      <c r="I3589">
        <v>0</v>
      </c>
      <c r="J3589">
        <v>0.89</v>
      </c>
      <c r="K3589">
        <v>56</v>
      </c>
      <c r="L3589">
        <v>50.341239999999999</v>
      </c>
      <c r="M3589">
        <v>56.1</v>
      </c>
      <c r="O3589">
        <v>30000</v>
      </c>
      <c r="R3589">
        <v>3.0164773</v>
      </c>
      <c r="S3589">
        <v>527968</v>
      </c>
      <c r="T3589">
        <v>15.552727000000001</v>
      </c>
      <c r="U3589">
        <v>48.516387999999999</v>
      </c>
    </row>
    <row r="3590" spans="1:21">
      <c r="A3590" t="s">
        <v>194</v>
      </c>
      <c r="B3590">
        <v>2002</v>
      </c>
      <c r="C3590">
        <v>3320.3242</v>
      </c>
      <c r="E3590">
        <v>3.54</v>
      </c>
      <c r="F3590">
        <v>0</v>
      </c>
      <c r="G3590">
        <v>0</v>
      </c>
      <c r="H3590">
        <v>0</v>
      </c>
      <c r="I3590">
        <v>0</v>
      </c>
      <c r="J3590">
        <v>0.9</v>
      </c>
      <c r="K3590">
        <v>56</v>
      </c>
      <c r="L3590">
        <v>51.487636999999999</v>
      </c>
      <c r="M3590">
        <v>56.7</v>
      </c>
      <c r="O3590">
        <v>0</v>
      </c>
      <c r="R3590">
        <v>2.8114007000000001</v>
      </c>
      <c r="S3590">
        <v>527968</v>
      </c>
      <c r="T3590">
        <v>15.552727000000001</v>
      </c>
      <c r="U3590">
        <v>48.516387999999999</v>
      </c>
    </row>
    <row r="3591" spans="1:21">
      <c r="A3591" t="s">
        <v>194</v>
      </c>
      <c r="B3591">
        <v>2003</v>
      </c>
      <c r="C3591">
        <v>3707.2222000000002</v>
      </c>
      <c r="E3591">
        <v>3.85</v>
      </c>
      <c r="F3591">
        <v>0</v>
      </c>
      <c r="G3591">
        <v>0</v>
      </c>
      <c r="H3591">
        <v>0</v>
      </c>
      <c r="I3591">
        <v>0</v>
      </c>
      <c r="J3591">
        <v>0.78</v>
      </c>
      <c r="K3591">
        <v>56</v>
      </c>
      <c r="L3591">
        <v>52.628802999999998</v>
      </c>
      <c r="M3591">
        <v>57.15</v>
      </c>
      <c r="R3591">
        <v>3.0108323000000001</v>
      </c>
      <c r="S3591">
        <v>527968</v>
      </c>
      <c r="T3591">
        <v>15.552727000000001</v>
      </c>
      <c r="U3591">
        <v>48.516387999999999</v>
      </c>
    </row>
    <row r="3592" spans="1:21">
      <c r="A3592" t="s">
        <v>194</v>
      </c>
      <c r="B3592">
        <v>2004</v>
      </c>
      <c r="C3592">
        <v>3811.3971999999999</v>
      </c>
      <c r="E3592">
        <v>4.0999999999999996</v>
      </c>
      <c r="F3592">
        <v>0</v>
      </c>
      <c r="G3592">
        <v>0</v>
      </c>
      <c r="H3592">
        <v>0</v>
      </c>
      <c r="I3592">
        <v>0</v>
      </c>
      <c r="J3592">
        <v>0.75</v>
      </c>
      <c r="K3592">
        <v>56</v>
      </c>
      <c r="L3592">
        <v>49.59</v>
      </c>
      <c r="M3592">
        <v>57.4</v>
      </c>
      <c r="O3592">
        <v>110000</v>
      </c>
      <c r="R3592">
        <v>3.1607273</v>
      </c>
      <c r="S3592">
        <v>527968</v>
      </c>
      <c r="T3592">
        <v>15.552727000000001</v>
      </c>
      <c r="U3592">
        <v>48.516387999999999</v>
      </c>
    </row>
    <row r="3593" spans="1:21">
      <c r="A3593" t="s">
        <v>194</v>
      </c>
      <c r="B3593">
        <v>2005</v>
      </c>
      <c r="C3593">
        <v>3906.3083000000001</v>
      </c>
      <c r="E3593">
        <v>4.4800000000000004</v>
      </c>
      <c r="F3593">
        <v>0</v>
      </c>
      <c r="G3593">
        <v>0</v>
      </c>
      <c r="H3593">
        <v>0</v>
      </c>
      <c r="I3593">
        <v>0</v>
      </c>
      <c r="J3593">
        <v>0.74</v>
      </c>
      <c r="K3593">
        <v>56</v>
      </c>
      <c r="L3593">
        <v>54.904820000000001</v>
      </c>
      <c r="M3593">
        <v>57.9</v>
      </c>
      <c r="O3593">
        <v>140000</v>
      </c>
      <c r="R3593">
        <v>3.1883042000000001</v>
      </c>
      <c r="S3593">
        <v>527968</v>
      </c>
      <c r="T3593">
        <v>15.552727000000001</v>
      </c>
      <c r="U3593">
        <v>48.516387999999999</v>
      </c>
    </row>
    <row r="3594" spans="1:21">
      <c r="A3594" t="s">
        <v>194</v>
      </c>
      <c r="B3594">
        <v>2006</v>
      </c>
      <c r="C3594">
        <v>3788.2456000000002</v>
      </c>
      <c r="E3594">
        <v>5.0599999999999996</v>
      </c>
      <c r="F3594">
        <v>0</v>
      </c>
      <c r="G3594">
        <v>0</v>
      </c>
      <c r="H3594">
        <v>0</v>
      </c>
      <c r="I3594">
        <v>0</v>
      </c>
      <c r="J3594">
        <v>0.76</v>
      </c>
      <c r="K3594">
        <v>56</v>
      </c>
      <c r="L3594">
        <v>55.800334999999997</v>
      </c>
      <c r="M3594">
        <v>58.2</v>
      </c>
      <c r="O3594">
        <v>130000</v>
      </c>
      <c r="R3594">
        <v>3.3084739999999999</v>
      </c>
      <c r="S3594">
        <v>527968</v>
      </c>
      <c r="T3594">
        <v>15.552727000000001</v>
      </c>
      <c r="U3594">
        <v>48.516387999999999</v>
      </c>
    </row>
    <row r="3595" spans="1:21">
      <c r="A3595" t="s">
        <v>194</v>
      </c>
      <c r="B3595">
        <v>2007</v>
      </c>
      <c r="C3595">
        <v>3902.2860999999998</v>
      </c>
      <c r="E3595">
        <v>5.67</v>
      </c>
      <c r="F3595">
        <v>0</v>
      </c>
      <c r="G3595">
        <v>0</v>
      </c>
      <c r="H3595">
        <v>0</v>
      </c>
      <c r="I3595">
        <v>0</v>
      </c>
      <c r="J3595">
        <v>0.76</v>
      </c>
      <c r="K3595">
        <v>56</v>
      </c>
      <c r="L3595">
        <v>57.188569999999999</v>
      </c>
      <c r="M3595">
        <v>58.7</v>
      </c>
      <c r="O3595">
        <v>110000</v>
      </c>
      <c r="R3595">
        <v>3.1332469999999999</v>
      </c>
      <c r="S3595">
        <v>527968</v>
      </c>
      <c r="T3595">
        <v>15.552727000000001</v>
      </c>
      <c r="U3595">
        <v>48.516387999999999</v>
      </c>
    </row>
    <row r="3596" spans="1:21">
      <c r="A3596" t="s">
        <v>194</v>
      </c>
      <c r="B3596">
        <v>2008</v>
      </c>
      <c r="C3596">
        <v>3976.8901000000001</v>
      </c>
      <c r="E3596">
        <v>6.15</v>
      </c>
      <c r="F3596">
        <v>0</v>
      </c>
      <c r="G3596">
        <v>0</v>
      </c>
      <c r="H3596">
        <v>0</v>
      </c>
      <c r="I3596">
        <v>0.04</v>
      </c>
      <c r="J3596">
        <v>0.74</v>
      </c>
      <c r="K3596">
        <v>56</v>
      </c>
      <c r="L3596">
        <v>58.339930000000003</v>
      </c>
      <c r="M3596">
        <v>59</v>
      </c>
      <c r="O3596">
        <v>150000</v>
      </c>
      <c r="R3596">
        <v>3.1766760000000001</v>
      </c>
      <c r="S3596">
        <v>527968</v>
      </c>
      <c r="T3596">
        <v>15.552727000000001</v>
      </c>
      <c r="U3596">
        <v>48.516387999999999</v>
      </c>
    </row>
    <row r="3597" spans="1:21">
      <c r="A3597" t="s">
        <v>194</v>
      </c>
      <c r="B3597">
        <v>2009</v>
      </c>
      <c r="C3597">
        <v>4277.2236000000003</v>
      </c>
      <c r="E3597">
        <v>6.34</v>
      </c>
      <c r="F3597">
        <v>0</v>
      </c>
      <c r="G3597">
        <v>0</v>
      </c>
      <c r="H3597">
        <v>0</v>
      </c>
      <c r="I3597">
        <v>0.04</v>
      </c>
      <c r="J3597">
        <v>0.7</v>
      </c>
      <c r="K3597">
        <v>56</v>
      </c>
      <c r="L3597">
        <v>59.501240000000003</v>
      </c>
      <c r="M3597">
        <v>59.5</v>
      </c>
      <c r="O3597">
        <v>11170000</v>
      </c>
      <c r="R3597">
        <v>3.3802110000000001</v>
      </c>
      <c r="S3597">
        <v>527968</v>
      </c>
      <c r="T3597">
        <v>15.552727000000001</v>
      </c>
      <c r="U3597">
        <v>48.516387999999999</v>
      </c>
    </row>
    <row r="3598" spans="1:21">
      <c r="A3598" t="s">
        <v>194</v>
      </c>
      <c r="B3598">
        <v>2010</v>
      </c>
      <c r="C3598">
        <v>4030.7584999999999</v>
      </c>
      <c r="E3598">
        <v>7.29</v>
      </c>
      <c r="F3598">
        <v>0</v>
      </c>
      <c r="G3598">
        <v>0</v>
      </c>
      <c r="H3598">
        <v>0</v>
      </c>
      <c r="I3598">
        <v>0.04</v>
      </c>
      <c r="J3598">
        <v>0.78</v>
      </c>
      <c r="K3598">
        <v>56</v>
      </c>
      <c r="L3598">
        <v>60.675193999999998</v>
      </c>
      <c r="M3598">
        <v>59.7</v>
      </c>
      <c r="O3598">
        <v>310000</v>
      </c>
      <c r="R3598">
        <v>3.165451</v>
      </c>
      <c r="S3598">
        <v>527968</v>
      </c>
      <c r="T3598">
        <v>15.552727000000001</v>
      </c>
      <c r="U3598">
        <v>48.516387999999999</v>
      </c>
    </row>
    <row r="3599" spans="1:21">
      <c r="A3599" t="s">
        <v>194</v>
      </c>
      <c r="B3599">
        <v>2011</v>
      </c>
      <c r="C3599">
        <v>3289.4512</v>
      </c>
      <c r="E3599">
        <v>5.83</v>
      </c>
      <c r="F3599">
        <v>0</v>
      </c>
      <c r="G3599">
        <v>0</v>
      </c>
      <c r="H3599">
        <v>0</v>
      </c>
      <c r="I3599">
        <v>0.05</v>
      </c>
      <c r="J3599">
        <v>0.93</v>
      </c>
      <c r="K3599">
        <v>56</v>
      </c>
      <c r="L3599">
        <v>61.864505999999999</v>
      </c>
      <c r="M3599">
        <v>60</v>
      </c>
      <c r="R3599">
        <v>3.1611774000000001</v>
      </c>
      <c r="S3599">
        <v>527968</v>
      </c>
      <c r="T3599">
        <v>15.552727000000001</v>
      </c>
      <c r="U3599">
        <v>48.516387999999999</v>
      </c>
    </row>
    <row r="3600" spans="1:21">
      <c r="A3600" t="s">
        <v>194</v>
      </c>
      <c r="B3600">
        <v>2012</v>
      </c>
      <c r="C3600">
        <v>2769.04</v>
      </c>
      <c r="E3600">
        <v>6.65</v>
      </c>
      <c r="F3600">
        <v>0</v>
      </c>
      <c r="G3600">
        <v>0</v>
      </c>
      <c r="H3600">
        <v>0</v>
      </c>
      <c r="I3600">
        <v>0.06</v>
      </c>
      <c r="J3600">
        <v>1.08</v>
      </c>
      <c r="K3600">
        <v>56</v>
      </c>
      <c r="L3600">
        <v>52.41</v>
      </c>
      <c r="M3600">
        <v>60</v>
      </c>
      <c r="O3600">
        <v>79630000</v>
      </c>
      <c r="R3600">
        <v>2.7903473000000001</v>
      </c>
      <c r="S3600">
        <v>527968</v>
      </c>
      <c r="T3600">
        <v>15.552727000000001</v>
      </c>
      <c r="U3600">
        <v>48.516387999999999</v>
      </c>
    </row>
    <row r="3601" spans="1:21">
      <c r="A3601" t="s">
        <v>194</v>
      </c>
      <c r="B3601">
        <v>2013</v>
      </c>
      <c r="C3601">
        <v>3797.8290000000002</v>
      </c>
      <c r="E3601">
        <v>7.99</v>
      </c>
      <c r="F3601">
        <v>0</v>
      </c>
      <c r="G3601">
        <v>0</v>
      </c>
      <c r="H3601">
        <v>0</v>
      </c>
      <c r="I3601">
        <v>0.09</v>
      </c>
      <c r="J3601">
        <v>0.76</v>
      </c>
      <c r="K3601">
        <v>56</v>
      </c>
      <c r="L3601">
        <v>75.599999999999994</v>
      </c>
      <c r="M3601">
        <v>60.3</v>
      </c>
      <c r="O3601">
        <v>660000</v>
      </c>
      <c r="R3601">
        <v>3.6935565000000001</v>
      </c>
      <c r="S3601">
        <v>527968</v>
      </c>
      <c r="T3601">
        <v>15.552727000000001</v>
      </c>
      <c r="U3601">
        <v>48.516387999999999</v>
      </c>
    </row>
    <row r="3602" spans="1:21">
      <c r="A3602" t="s">
        <v>194</v>
      </c>
      <c r="B3602">
        <v>2014</v>
      </c>
      <c r="C3602">
        <v>3495.3290000000002</v>
      </c>
      <c r="E3602">
        <v>7.19</v>
      </c>
      <c r="F3602">
        <v>0</v>
      </c>
      <c r="G3602">
        <v>0.01</v>
      </c>
      <c r="H3602">
        <v>0.13888890000000001</v>
      </c>
      <c r="I3602">
        <v>0.19</v>
      </c>
      <c r="J3602">
        <v>0.76</v>
      </c>
      <c r="K3602">
        <v>56</v>
      </c>
      <c r="L3602">
        <v>66.099999999999994</v>
      </c>
      <c r="M3602">
        <v>60.8</v>
      </c>
      <c r="O3602">
        <v>18670000</v>
      </c>
      <c r="R3602">
        <v>3.2114053</v>
      </c>
      <c r="S3602">
        <v>527968</v>
      </c>
      <c r="T3602">
        <v>15.552727000000001</v>
      </c>
      <c r="U3602">
        <v>48.516387999999999</v>
      </c>
    </row>
    <row r="3603" spans="1:21">
      <c r="A3603" t="s">
        <v>194</v>
      </c>
      <c r="B3603">
        <v>2015</v>
      </c>
      <c r="C3603">
        <v>1837.1029000000001</v>
      </c>
      <c r="E3603">
        <v>5.81</v>
      </c>
      <c r="F3603">
        <v>0</v>
      </c>
      <c r="G3603">
        <v>0.12</v>
      </c>
      <c r="H3603">
        <v>2.023609</v>
      </c>
      <c r="I3603">
        <v>2.2599999999999998</v>
      </c>
      <c r="J3603">
        <v>1.96</v>
      </c>
      <c r="K3603">
        <v>56</v>
      </c>
      <c r="L3603">
        <v>67.310929999999999</v>
      </c>
      <c r="M3603">
        <v>61.1</v>
      </c>
      <c r="R3603">
        <v>2.0503564000000001</v>
      </c>
      <c r="S3603">
        <v>527968</v>
      </c>
      <c r="T3603">
        <v>15.552727000000001</v>
      </c>
      <c r="U3603">
        <v>48.516387999999999</v>
      </c>
    </row>
    <row r="3604" spans="1:21">
      <c r="A3604" t="s">
        <v>194</v>
      </c>
      <c r="B3604">
        <v>2016</v>
      </c>
      <c r="C3604">
        <v>1432.5522000000001</v>
      </c>
      <c r="E3604">
        <v>4.3600000000000003</v>
      </c>
      <c r="F3604">
        <v>0</v>
      </c>
      <c r="G3604">
        <v>0.16</v>
      </c>
      <c r="H3604">
        <v>3.5398230000000002</v>
      </c>
      <c r="I3604">
        <v>2.94</v>
      </c>
      <c r="J3604">
        <v>2.48</v>
      </c>
      <c r="K3604">
        <v>56</v>
      </c>
      <c r="L3604">
        <v>68.859504999999999</v>
      </c>
      <c r="M3604">
        <v>61.2</v>
      </c>
      <c r="S3604">
        <v>527968</v>
      </c>
      <c r="T3604">
        <v>15.552727000000001</v>
      </c>
      <c r="U3604">
        <v>48.516387999999999</v>
      </c>
    </row>
    <row r="3605" spans="1:21">
      <c r="A3605" t="s">
        <v>194</v>
      </c>
      <c r="B3605">
        <v>2017</v>
      </c>
      <c r="C3605">
        <v>1288.8767</v>
      </c>
      <c r="E3605">
        <v>3.63</v>
      </c>
      <c r="F3605">
        <v>0</v>
      </c>
      <c r="G3605">
        <v>0.19</v>
      </c>
      <c r="H3605">
        <v>4.9738220000000002</v>
      </c>
      <c r="I3605">
        <v>3.59</v>
      </c>
      <c r="J3605">
        <v>2.8</v>
      </c>
      <c r="K3605">
        <v>56</v>
      </c>
      <c r="L3605">
        <v>79.2</v>
      </c>
      <c r="M3605">
        <v>61.35</v>
      </c>
      <c r="O3605">
        <v>10000</v>
      </c>
      <c r="S3605">
        <v>527968</v>
      </c>
      <c r="T3605">
        <v>15.552727000000001</v>
      </c>
      <c r="U3605">
        <v>48.516387999999999</v>
      </c>
    </row>
    <row r="3606" spans="1:21">
      <c r="A3606" t="s">
        <v>194</v>
      </c>
      <c r="B3606">
        <v>2018</v>
      </c>
      <c r="C3606">
        <v>1170.7261000000001</v>
      </c>
      <c r="E3606">
        <v>2.82</v>
      </c>
      <c r="F3606">
        <v>0</v>
      </c>
      <c r="G3606">
        <v>0.48</v>
      </c>
      <c r="H3606">
        <v>14.545455</v>
      </c>
      <c r="I3606">
        <v>8.77</v>
      </c>
      <c r="J3606">
        <v>3.6</v>
      </c>
      <c r="K3606">
        <v>56</v>
      </c>
      <c r="L3606">
        <v>62</v>
      </c>
      <c r="M3606">
        <v>61.5</v>
      </c>
      <c r="O3606">
        <v>55730000</v>
      </c>
      <c r="S3606">
        <v>527968</v>
      </c>
      <c r="T3606">
        <v>15.552727000000001</v>
      </c>
      <c r="U3606">
        <v>48.516387999999999</v>
      </c>
    </row>
    <row r="3607" spans="1:21">
      <c r="A3607" t="s">
        <v>194</v>
      </c>
      <c r="B3607">
        <v>2019</v>
      </c>
      <c r="C3607">
        <v>1475.9852000000001</v>
      </c>
      <c r="E3607">
        <v>2.93</v>
      </c>
      <c r="F3607">
        <v>0</v>
      </c>
      <c r="G3607">
        <v>0.48</v>
      </c>
      <c r="H3607">
        <v>14.076245999999999</v>
      </c>
      <c r="I3607">
        <v>8.57</v>
      </c>
      <c r="J3607">
        <v>3.11</v>
      </c>
      <c r="K3607">
        <v>56</v>
      </c>
      <c r="L3607">
        <v>72.751075999999998</v>
      </c>
      <c r="M3607">
        <v>61.3</v>
      </c>
      <c r="O3607">
        <v>1200000</v>
      </c>
      <c r="S3607">
        <v>527968</v>
      </c>
      <c r="T3607">
        <v>15.552727000000001</v>
      </c>
      <c r="U3607">
        <v>48.516387999999999</v>
      </c>
    </row>
    <row r="3608" spans="1:21">
      <c r="A3608" t="s">
        <v>194</v>
      </c>
      <c r="B3608">
        <v>2020</v>
      </c>
      <c r="C3608">
        <v>1092.0020999999999</v>
      </c>
      <c r="E3608">
        <v>2.74</v>
      </c>
      <c r="F3608">
        <v>0</v>
      </c>
      <c r="G3608">
        <v>0.49</v>
      </c>
      <c r="H3608">
        <v>15.170279000000001</v>
      </c>
      <c r="I3608">
        <v>8.48</v>
      </c>
      <c r="K3608">
        <v>56</v>
      </c>
      <c r="L3608">
        <v>73.757930000000002</v>
      </c>
      <c r="M3608">
        <v>61.5</v>
      </c>
      <c r="S3608">
        <v>527968</v>
      </c>
      <c r="T3608">
        <v>15.552727000000001</v>
      </c>
      <c r="U3608">
        <v>48.516387999999999</v>
      </c>
    </row>
    <row r="3609" spans="1:21">
      <c r="A3609" t="s">
        <v>195</v>
      </c>
      <c r="B3609">
        <v>2000</v>
      </c>
      <c r="C3609">
        <v>2951.3672000000001</v>
      </c>
      <c r="D3609">
        <v>1810</v>
      </c>
      <c r="E3609">
        <v>7.0000000000000007E-2</v>
      </c>
      <c r="F3609">
        <v>0</v>
      </c>
      <c r="G3609">
        <v>7.69</v>
      </c>
      <c r="H3609">
        <v>99.097939999999994</v>
      </c>
      <c r="I3609">
        <v>173.03</v>
      </c>
      <c r="J3609">
        <v>89.98</v>
      </c>
      <c r="K3609">
        <v>25</v>
      </c>
      <c r="L3609">
        <v>16.7</v>
      </c>
      <c r="M3609">
        <v>13.8</v>
      </c>
      <c r="O3609">
        <v>10000</v>
      </c>
      <c r="P3609">
        <v>3.8973229429999998</v>
      </c>
      <c r="Q3609">
        <v>345.68962069999998</v>
      </c>
      <c r="R3609">
        <v>12.77</v>
      </c>
      <c r="S3609">
        <v>752618</v>
      </c>
      <c r="T3609">
        <v>-13.133896999999999</v>
      </c>
      <c r="U3609">
        <v>27.849332</v>
      </c>
    </row>
    <row r="3610" spans="1:21">
      <c r="A3610" t="s">
        <v>195</v>
      </c>
      <c r="B3610">
        <v>2001</v>
      </c>
      <c r="C3610">
        <v>2997.7123999999999</v>
      </c>
      <c r="D3610">
        <v>1840</v>
      </c>
      <c r="E3610">
        <v>7.0000000000000007E-2</v>
      </c>
      <c r="F3610">
        <v>0</v>
      </c>
      <c r="G3610">
        <v>7.83</v>
      </c>
      <c r="H3610">
        <v>99.113919999999993</v>
      </c>
      <c r="I3610">
        <v>168.56</v>
      </c>
      <c r="J3610">
        <v>89.76</v>
      </c>
      <c r="K3610">
        <v>25</v>
      </c>
      <c r="L3610">
        <v>20.172385999999999</v>
      </c>
      <c r="M3610">
        <v>14.2</v>
      </c>
      <c r="P3610">
        <v>5.3168682739999999</v>
      </c>
      <c r="Q3610">
        <v>382.94103519999999</v>
      </c>
      <c r="R3610">
        <v>12.49</v>
      </c>
      <c r="S3610">
        <v>752618</v>
      </c>
      <c r="T3610">
        <v>-13.133896999999999</v>
      </c>
      <c r="U3610">
        <v>27.849332</v>
      </c>
    </row>
    <row r="3611" spans="1:21">
      <c r="A3611" t="s">
        <v>195</v>
      </c>
      <c r="B3611">
        <v>2002</v>
      </c>
      <c r="C3611">
        <v>3006.3240000000001</v>
      </c>
      <c r="D3611">
        <v>1919.999957</v>
      </c>
      <c r="E3611">
        <v>0.08</v>
      </c>
      <c r="F3611">
        <v>0</v>
      </c>
      <c r="G3611">
        <v>8.0299999999999994</v>
      </c>
      <c r="H3611">
        <v>99.013565</v>
      </c>
      <c r="I3611">
        <v>164.26</v>
      </c>
      <c r="J3611">
        <v>89.56</v>
      </c>
      <c r="K3611">
        <v>25</v>
      </c>
      <c r="L3611">
        <v>17.399999999999999</v>
      </c>
      <c r="M3611">
        <v>14.6</v>
      </c>
      <c r="P3611">
        <v>4.5060142799999996</v>
      </c>
      <c r="Q3611">
        <v>382.24196330000001</v>
      </c>
      <c r="R3611">
        <v>12.29</v>
      </c>
      <c r="S3611">
        <v>752618</v>
      </c>
      <c r="T3611">
        <v>-13.133896999999999</v>
      </c>
      <c r="U3611">
        <v>27.849332</v>
      </c>
    </row>
    <row r="3612" spans="1:21">
      <c r="A3612" t="s">
        <v>195</v>
      </c>
      <c r="B3612">
        <v>2003</v>
      </c>
      <c r="C3612">
        <v>3019.9079999999999</v>
      </c>
      <c r="D3612">
        <v>2079.9999240000002</v>
      </c>
      <c r="E3612">
        <v>0.08</v>
      </c>
      <c r="F3612">
        <v>0</v>
      </c>
      <c r="G3612">
        <v>8.18</v>
      </c>
      <c r="H3612">
        <v>99.031469999999999</v>
      </c>
      <c r="I3612">
        <v>154.77000000000001</v>
      </c>
      <c r="J3612">
        <v>89.2</v>
      </c>
      <c r="K3612">
        <v>25</v>
      </c>
      <c r="L3612">
        <v>18.5</v>
      </c>
      <c r="M3612">
        <v>15.1</v>
      </c>
      <c r="P3612">
        <v>6.9449739819999996</v>
      </c>
      <c r="Q3612">
        <v>435.45819940000001</v>
      </c>
      <c r="R3612">
        <v>11.81</v>
      </c>
      <c r="S3612">
        <v>752618</v>
      </c>
      <c r="T3612">
        <v>-13.133896999999999</v>
      </c>
      <c r="U3612">
        <v>27.849332</v>
      </c>
    </row>
    <row r="3613" spans="1:21">
      <c r="A3613" t="s">
        <v>195</v>
      </c>
      <c r="B3613">
        <v>2004</v>
      </c>
      <c r="C3613">
        <v>3012.9994999999999</v>
      </c>
      <c r="D3613">
        <v>2109.9998949999999</v>
      </c>
      <c r="E3613">
        <v>7.0000000000000007E-2</v>
      </c>
      <c r="F3613">
        <v>0</v>
      </c>
      <c r="G3613">
        <v>8.39</v>
      </c>
      <c r="H3613">
        <v>99.172584999999998</v>
      </c>
      <c r="I3613">
        <v>150.84</v>
      </c>
      <c r="J3613">
        <v>89.28</v>
      </c>
      <c r="K3613">
        <v>25</v>
      </c>
      <c r="L3613">
        <v>20.3</v>
      </c>
      <c r="M3613">
        <v>15.3</v>
      </c>
      <c r="O3613">
        <v>2550000</v>
      </c>
      <c r="P3613">
        <v>7.0323951149999999</v>
      </c>
      <c r="Q3613">
        <v>538.59155299999998</v>
      </c>
      <c r="R3613">
        <v>11.29</v>
      </c>
      <c r="S3613">
        <v>752618</v>
      </c>
      <c r="T3613">
        <v>-13.133896999999999</v>
      </c>
      <c r="U3613">
        <v>27.849332</v>
      </c>
    </row>
    <row r="3614" spans="1:21">
      <c r="A3614" t="s">
        <v>195</v>
      </c>
      <c r="B3614">
        <v>2005</v>
      </c>
      <c r="C3614">
        <v>3068.1736000000001</v>
      </c>
      <c r="D3614">
        <v>2289.9999619999999</v>
      </c>
      <c r="E3614">
        <v>0.08</v>
      </c>
      <c r="F3614">
        <v>0</v>
      </c>
      <c r="G3614">
        <v>8.8000000000000007</v>
      </c>
      <c r="H3614">
        <v>99.099100000000007</v>
      </c>
      <c r="I3614">
        <v>146.94999999999999</v>
      </c>
      <c r="J3614">
        <v>88.68</v>
      </c>
      <c r="K3614">
        <v>25</v>
      </c>
      <c r="L3614">
        <v>23.321307999999998</v>
      </c>
      <c r="M3614">
        <v>15.7</v>
      </c>
      <c r="O3614">
        <v>10300000</v>
      </c>
      <c r="P3614">
        <v>7.2355990070000002</v>
      </c>
      <c r="Q3614">
        <v>702.7411184</v>
      </c>
      <c r="R3614">
        <v>10.81</v>
      </c>
      <c r="S3614">
        <v>752618</v>
      </c>
      <c r="T3614">
        <v>-13.133896999999999</v>
      </c>
      <c r="U3614">
        <v>27.849332</v>
      </c>
    </row>
    <row r="3615" spans="1:21">
      <c r="A3615" t="s">
        <v>195</v>
      </c>
      <c r="B3615">
        <v>2006</v>
      </c>
      <c r="C3615">
        <v>3064.4688000000001</v>
      </c>
      <c r="D3615">
        <v>2180.0000669999999</v>
      </c>
      <c r="E3615">
        <v>0.08</v>
      </c>
      <c r="F3615">
        <v>0</v>
      </c>
      <c r="G3615">
        <v>9.58</v>
      </c>
      <c r="H3615">
        <v>99.171843999999993</v>
      </c>
      <c r="I3615">
        <v>143.12</v>
      </c>
      <c r="J3615">
        <v>89.43</v>
      </c>
      <c r="K3615">
        <v>25</v>
      </c>
      <c r="L3615">
        <v>24.107258000000002</v>
      </c>
      <c r="M3615">
        <v>15.9</v>
      </c>
      <c r="O3615">
        <v>90000</v>
      </c>
      <c r="P3615">
        <v>7.9036944450000002</v>
      </c>
      <c r="Q3615">
        <v>1047.9188429999999</v>
      </c>
      <c r="R3615">
        <v>10.18</v>
      </c>
      <c r="S3615">
        <v>752618</v>
      </c>
      <c r="T3615">
        <v>-13.133896999999999</v>
      </c>
      <c r="U3615">
        <v>27.849332</v>
      </c>
    </row>
    <row r="3616" spans="1:21">
      <c r="A3616" t="s">
        <v>195</v>
      </c>
      <c r="B3616">
        <v>2007</v>
      </c>
      <c r="C3616">
        <v>2793.3339999999998</v>
      </c>
      <c r="D3616">
        <v>1980.0000190000001</v>
      </c>
      <c r="E3616">
        <v>0.06</v>
      </c>
      <c r="F3616">
        <v>0</v>
      </c>
      <c r="G3616">
        <v>9.5399999999999991</v>
      </c>
      <c r="H3616">
        <v>99.374989999999997</v>
      </c>
      <c r="I3616">
        <v>134.61000000000001</v>
      </c>
      <c r="J3616">
        <v>90.32</v>
      </c>
      <c r="K3616">
        <v>25</v>
      </c>
      <c r="L3616">
        <v>18.5</v>
      </c>
      <c r="M3616">
        <v>16.100000000000001</v>
      </c>
      <c r="O3616">
        <v>30000</v>
      </c>
      <c r="P3616">
        <v>8.3524362439999997</v>
      </c>
      <c r="Q3616">
        <v>1124.2905860000001</v>
      </c>
      <c r="R3616">
        <v>9.51</v>
      </c>
      <c r="S3616">
        <v>752618</v>
      </c>
      <c r="T3616">
        <v>-13.133896999999999</v>
      </c>
      <c r="U3616">
        <v>27.849332</v>
      </c>
    </row>
    <row r="3617" spans="1:21">
      <c r="A3617" t="s">
        <v>195</v>
      </c>
      <c r="B3617">
        <v>2008</v>
      </c>
      <c r="C3617">
        <v>2786.6500999999998</v>
      </c>
      <c r="D3617">
        <v>2190.0000570000002</v>
      </c>
      <c r="E3617">
        <v>0.04</v>
      </c>
      <c r="F3617">
        <v>0</v>
      </c>
      <c r="G3617">
        <v>9.4499999999999993</v>
      </c>
      <c r="H3617">
        <v>99.578509999999994</v>
      </c>
      <c r="I3617">
        <v>133.35</v>
      </c>
      <c r="J3617">
        <v>89.36</v>
      </c>
      <c r="K3617">
        <v>25</v>
      </c>
      <c r="L3617">
        <v>25.695429000000001</v>
      </c>
      <c r="M3617">
        <v>16.2</v>
      </c>
      <c r="O3617">
        <v>19440000</v>
      </c>
      <c r="P3617">
        <v>7.7738958150000004</v>
      </c>
      <c r="Q3617">
        <v>1394.0005000000001</v>
      </c>
      <c r="R3617">
        <v>9.06</v>
      </c>
      <c r="S3617">
        <v>752618</v>
      </c>
      <c r="T3617">
        <v>-13.133896999999999</v>
      </c>
      <c r="U3617">
        <v>27.849332</v>
      </c>
    </row>
    <row r="3618" spans="1:21">
      <c r="A3618" t="s">
        <v>195</v>
      </c>
      <c r="B3618">
        <v>2009</v>
      </c>
      <c r="C3618">
        <v>2734.8910000000001</v>
      </c>
      <c r="D3618">
        <v>2490.0000100000002</v>
      </c>
      <c r="E3618">
        <v>0.05</v>
      </c>
      <c r="F3618">
        <v>0</v>
      </c>
      <c r="G3618">
        <v>9.81</v>
      </c>
      <c r="H3618">
        <v>99.492909999999995</v>
      </c>
      <c r="I3618">
        <v>130.26</v>
      </c>
      <c r="J3618">
        <v>88.68</v>
      </c>
      <c r="K3618">
        <v>25</v>
      </c>
      <c r="L3618">
        <v>26.503070000000001</v>
      </c>
      <c r="M3618">
        <v>16.3</v>
      </c>
      <c r="O3618">
        <v>253950000</v>
      </c>
      <c r="P3618">
        <v>9.2203484059999994</v>
      </c>
      <c r="Q3618">
        <v>1159.9074989999999</v>
      </c>
      <c r="R3618">
        <v>8.4700000000000006</v>
      </c>
      <c r="S3618">
        <v>752618</v>
      </c>
      <c r="T3618">
        <v>-13.133896999999999</v>
      </c>
      <c r="U3618">
        <v>27.849332</v>
      </c>
    </row>
    <row r="3619" spans="1:21">
      <c r="A3619" t="s">
        <v>195</v>
      </c>
      <c r="B3619">
        <v>2010</v>
      </c>
      <c r="C3619">
        <v>2768.134</v>
      </c>
      <c r="D3619">
        <v>2660.000086</v>
      </c>
      <c r="E3619">
        <v>0.05</v>
      </c>
      <c r="F3619">
        <v>0</v>
      </c>
      <c r="G3619">
        <v>10.36</v>
      </c>
      <c r="H3619">
        <v>99.519689999999997</v>
      </c>
      <c r="I3619">
        <v>142.25</v>
      </c>
      <c r="J3619">
        <v>88.59</v>
      </c>
      <c r="K3619">
        <v>25</v>
      </c>
      <c r="L3619">
        <v>22</v>
      </c>
      <c r="M3619">
        <v>16.2</v>
      </c>
      <c r="O3619">
        <v>397390000</v>
      </c>
      <c r="P3619">
        <v>10.29822332</v>
      </c>
      <c r="Q3619">
        <v>1489.459087</v>
      </c>
      <c r="R3619">
        <v>7.89</v>
      </c>
      <c r="S3619">
        <v>752618</v>
      </c>
      <c r="T3619">
        <v>-13.133896999999999</v>
      </c>
      <c r="U3619">
        <v>27.849332</v>
      </c>
    </row>
    <row r="3620" spans="1:21">
      <c r="A3620" t="s">
        <v>195</v>
      </c>
      <c r="B3620">
        <v>2011</v>
      </c>
      <c r="C3620">
        <v>2998.1587</v>
      </c>
      <c r="D3620">
        <v>3049.9999520000001</v>
      </c>
      <c r="E3620">
        <v>0.05</v>
      </c>
      <c r="F3620">
        <v>0</v>
      </c>
      <c r="G3620">
        <v>11.4</v>
      </c>
      <c r="H3620">
        <v>99.563323999999994</v>
      </c>
      <c r="I3620">
        <v>138.01</v>
      </c>
      <c r="J3620">
        <v>87.28</v>
      </c>
      <c r="K3620">
        <v>25</v>
      </c>
      <c r="L3620">
        <v>28.159009999999999</v>
      </c>
      <c r="M3620">
        <v>15.9</v>
      </c>
      <c r="O3620">
        <v>75360000</v>
      </c>
      <c r="P3620">
        <v>5.5646023370000002</v>
      </c>
      <c r="Q3620">
        <v>1672.9075350000001</v>
      </c>
      <c r="R3620">
        <v>7.85</v>
      </c>
      <c r="S3620">
        <v>752618</v>
      </c>
      <c r="T3620">
        <v>-13.133896999999999</v>
      </c>
      <c r="U3620">
        <v>27.849332</v>
      </c>
    </row>
    <row r="3621" spans="1:21">
      <c r="A3621" t="s">
        <v>195</v>
      </c>
      <c r="B3621">
        <v>2012</v>
      </c>
      <c r="C3621">
        <v>3116.7372999999998</v>
      </c>
      <c r="D3621">
        <v>4030.0002100000002</v>
      </c>
      <c r="E3621">
        <v>0.06</v>
      </c>
      <c r="F3621">
        <v>0</v>
      </c>
      <c r="G3621">
        <v>12.26</v>
      </c>
      <c r="H3621">
        <v>99.512990000000002</v>
      </c>
      <c r="I3621">
        <v>134.28</v>
      </c>
      <c r="J3621">
        <v>84.63</v>
      </c>
      <c r="K3621">
        <v>25</v>
      </c>
      <c r="L3621">
        <v>29.012726000000001</v>
      </c>
      <c r="M3621">
        <v>15.5</v>
      </c>
      <c r="O3621">
        <v>10000</v>
      </c>
      <c r="P3621">
        <v>7.5975932110000004</v>
      </c>
      <c r="Q3621">
        <v>1763.069442</v>
      </c>
      <c r="R3621">
        <v>7.65</v>
      </c>
      <c r="S3621">
        <v>752618</v>
      </c>
      <c r="T3621">
        <v>-13.133896999999999</v>
      </c>
      <c r="U3621">
        <v>27.849332</v>
      </c>
    </row>
    <row r="3622" spans="1:21">
      <c r="A3622" t="s">
        <v>195</v>
      </c>
      <c r="B3622">
        <v>2013</v>
      </c>
      <c r="C3622">
        <v>3198.5288</v>
      </c>
      <c r="D3622">
        <v>4239.9997709999998</v>
      </c>
      <c r="E3622">
        <v>0.05</v>
      </c>
      <c r="F3622">
        <v>0</v>
      </c>
      <c r="G3622">
        <v>13.18</v>
      </c>
      <c r="H3622">
        <v>99.622079999999997</v>
      </c>
      <c r="I3622">
        <v>154.25</v>
      </c>
      <c r="J3622">
        <v>84.56</v>
      </c>
      <c r="K3622">
        <v>25</v>
      </c>
      <c r="L3622">
        <v>29.886272000000002</v>
      </c>
      <c r="M3622">
        <v>15.1</v>
      </c>
      <c r="O3622">
        <v>1970000</v>
      </c>
      <c r="P3622">
        <v>5.0572317399999998</v>
      </c>
      <c r="Q3622">
        <v>1878.3468109999999</v>
      </c>
      <c r="R3622">
        <v>7.49</v>
      </c>
      <c r="S3622">
        <v>752618</v>
      </c>
      <c r="T3622">
        <v>-13.133896999999999</v>
      </c>
      <c r="U3622">
        <v>27.849332</v>
      </c>
    </row>
    <row r="3623" spans="1:21">
      <c r="A3623" t="s">
        <v>195</v>
      </c>
      <c r="B3623">
        <v>2014</v>
      </c>
      <c r="C3623">
        <v>3323.3852999999999</v>
      </c>
      <c r="D3623">
        <v>4690.0000570000002</v>
      </c>
      <c r="E3623">
        <v>0.35</v>
      </c>
      <c r="F3623">
        <v>0</v>
      </c>
      <c r="G3623">
        <v>14.01</v>
      </c>
      <c r="H3623">
        <v>97.562674999999999</v>
      </c>
      <c r="I3623">
        <v>149.51</v>
      </c>
      <c r="J3623">
        <v>83.77</v>
      </c>
      <c r="K3623">
        <v>25</v>
      </c>
      <c r="L3623">
        <v>27.9</v>
      </c>
      <c r="M3623">
        <v>14.6</v>
      </c>
      <c r="O3623">
        <v>233900000</v>
      </c>
      <c r="P3623">
        <v>4.697992363</v>
      </c>
      <c r="Q3623">
        <v>1762.427817</v>
      </c>
      <c r="R3623">
        <v>7.45</v>
      </c>
      <c r="S3623">
        <v>752618</v>
      </c>
      <c r="T3623">
        <v>-13.133896999999999</v>
      </c>
      <c r="U3623">
        <v>27.849332</v>
      </c>
    </row>
    <row r="3624" spans="1:21">
      <c r="A3624" t="s">
        <v>195</v>
      </c>
      <c r="B3624">
        <v>2015</v>
      </c>
      <c r="C3624">
        <v>3115.0675999999999</v>
      </c>
      <c r="D3624">
        <v>4960.0000380000001</v>
      </c>
      <c r="E3624">
        <v>0.36</v>
      </c>
      <c r="F3624">
        <v>0</v>
      </c>
      <c r="G3624">
        <v>13</v>
      </c>
      <c r="H3624">
        <v>97.305390000000003</v>
      </c>
      <c r="I3624">
        <v>145.55000000000001</v>
      </c>
      <c r="J3624">
        <v>83.09</v>
      </c>
      <c r="K3624">
        <v>25</v>
      </c>
      <c r="L3624">
        <v>31.1</v>
      </c>
      <c r="M3624">
        <v>14</v>
      </c>
      <c r="O3624">
        <v>1791180000</v>
      </c>
      <c r="P3624">
        <v>2.9203751119999999</v>
      </c>
      <c r="Q3624">
        <v>1338.290927</v>
      </c>
      <c r="R3624">
        <v>7.41</v>
      </c>
      <c r="S3624">
        <v>752618</v>
      </c>
      <c r="T3624">
        <v>-13.133896999999999</v>
      </c>
      <c r="U3624">
        <v>27.849332</v>
      </c>
    </row>
    <row r="3625" spans="1:21">
      <c r="A3625" t="s">
        <v>195</v>
      </c>
      <c r="B3625">
        <v>2016</v>
      </c>
      <c r="C3625">
        <v>2846.6990000000001</v>
      </c>
      <c r="D3625">
        <v>5320.000172</v>
      </c>
      <c r="E3625">
        <v>0.65</v>
      </c>
      <c r="F3625">
        <v>0</v>
      </c>
      <c r="G3625">
        <v>10.97</v>
      </c>
      <c r="H3625">
        <v>94.406199999999998</v>
      </c>
      <c r="I3625">
        <v>148.58000000000001</v>
      </c>
      <c r="J3625">
        <v>83.07</v>
      </c>
      <c r="K3625">
        <v>25</v>
      </c>
      <c r="L3625">
        <v>35.425452999999997</v>
      </c>
      <c r="M3625">
        <v>13.4</v>
      </c>
      <c r="O3625">
        <v>109510000</v>
      </c>
      <c r="P3625">
        <v>3.7766791460000002</v>
      </c>
      <c r="Q3625">
        <v>1280.8065429999999</v>
      </c>
      <c r="R3625">
        <v>7.33</v>
      </c>
      <c r="S3625">
        <v>752618</v>
      </c>
      <c r="T3625">
        <v>-13.133896999999999</v>
      </c>
      <c r="U3625">
        <v>27.849332</v>
      </c>
    </row>
    <row r="3626" spans="1:21">
      <c r="A3626" t="s">
        <v>195</v>
      </c>
      <c r="B3626">
        <v>2017</v>
      </c>
      <c r="C3626">
        <v>3202.0718000000002</v>
      </c>
      <c r="D3626">
        <v>6809.9999429999998</v>
      </c>
      <c r="E3626">
        <v>1.8</v>
      </c>
      <c r="F3626">
        <v>0</v>
      </c>
      <c r="G3626">
        <v>12.64</v>
      </c>
      <c r="H3626">
        <v>87.534630000000007</v>
      </c>
      <c r="I3626">
        <v>144.85</v>
      </c>
      <c r="J3626">
        <v>81.89</v>
      </c>
      <c r="K3626">
        <v>25</v>
      </c>
      <c r="L3626">
        <v>40.299999999999997</v>
      </c>
      <c r="M3626">
        <v>12.5</v>
      </c>
      <c r="O3626">
        <v>170340000</v>
      </c>
      <c r="P3626">
        <v>3.5043360959999998</v>
      </c>
      <c r="Q3626">
        <v>1535.1965740000001</v>
      </c>
      <c r="R3626">
        <v>7.44</v>
      </c>
      <c r="S3626">
        <v>752618</v>
      </c>
      <c r="T3626">
        <v>-13.133896999999999</v>
      </c>
      <c r="U3626">
        <v>27.849332</v>
      </c>
    </row>
    <row r="3627" spans="1:21">
      <c r="A3627" t="s">
        <v>195</v>
      </c>
      <c r="B3627">
        <v>2018</v>
      </c>
      <c r="C3627">
        <v>3494.5369000000001</v>
      </c>
      <c r="D3627">
        <v>7730.0000190000001</v>
      </c>
      <c r="E3627">
        <v>2.2400000000000002</v>
      </c>
      <c r="F3627">
        <v>0</v>
      </c>
      <c r="G3627">
        <v>13.89</v>
      </c>
      <c r="H3627">
        <v>86.112840000000006</v>
      </c>
      <c r="I3627">
        <v>140.76</v>
      </c>
      <c r="J3627">
        <v>82.28</v>
      </c>
      <c r="K3627">
        <v>25</v>
      </c>
      <c r="L3627">
        <v>40.317889999999998</v>
      </c>
      <c r="M3627">
        <v>11.9</v>
      </c>
      <c r="O3627">
        <v>54110000</v>
      </c>
      <c r="P3627">
        <v>4.0344938969999999</v>
      </c>
      <c r="Q3627">
        <v>1516.368371</v>
      </c>
      <c r="R3627">
        <v>7.35</v>
      </c>
      <c r="S3627">
        <v>752618</v>
      </c>
      <c r="T3627">
        <v>-13.133896999999999</v>
      </c>
      <c r="U3627">
        <v>27.849332</v>
      </c>
    </row>
    <row r="3628" spans="1:21">
      <c r="A3628" t="s">
        <v>195</v>
      </c>
      <c r="B3628">
        <v>2019</v>
      </c>
      <c r="C3628">
        <v>2983.8816000000002</v>
      </c>
      <c r="D3628">
        <v>6800.0001910000001</v>
      </c>
      <c r="E3628">
        <v>2.0499999999999998</v>
      </c>
      <c r="F3628">
        <v>0</v>
      </c>
      <c r="G3628">
        <v>12.62</v>
      </c>
      <c r="H3628">
        <v>86.025899999999993</v>
      </c>
      <c r="I3628">
        <v>142.11000000000001</v>
      </c>
      <c r="J3628">
        <v>84.5</v>
      </c>
      <c r="K3628">
        <v>25</v>
      </c>
      <c r="L3628">
        <v>43</v>
      </c>
      <c r="M3628">
        <v>11.2</v>
      </c>
      <c r="O3628">
        <v>78570000</v>
      </c>
      <c r="P3628">
        <v>1.4413060259999999</v>
      </c>
      <c r="Q3628">
        <v>1305.001031</v>
      </c>
      <c r="R3628">
        <v>7.09</v>
      </c>
      <c r="S3628">
        <v>752618</v>
      </c>
      <c r="T3628">
        <v>-13.133896999999999</v>
      </c>
      <c r="U3628">
        <v>27.849332</v>
      </c>
    </row>
    <row r="3629" spans="1:21">
      <c r="A3629" t="s">
        <v>195</v>
      </c>
      <c r="B3629">
        <v>2020</v>
      </c>
      <c r="C3629">
        <v>3099.0830000000001</v>
      </c>
      <c r="E3629">
        <v>2</v>
      </c>
      <c r="F3629">
        <v>0</v>
      </c>
      <c r="G3629">
        <v>13.1</v>
      </c>
      <c r="H3629">
        <v>86.75497</v>
      </c>
      <c r="I3629">
        <v>138.22999999999999</v>
      </c>
      <c r="K3629">
        <v>25</v>
      </c>
      <c r="L3629">
        <v>44.524475000000002</v>
      </c>
      <c r="M3629">
        <v>10.4</v>
      </c>
      <c r="P3629">
        <v>-2.7850550649999999</v>
      </c>
      <c r="Q3629">
        <v>985.13243599999998</v>
      </c>
      <c r="S3629">
        <v>752618</v>
      </c>
      <c r="T3629">
        <v>-13.133896999999999</v>
      </c>
      <c r="U3629">
        <v>27.849332</v>
      </c>
    </row>
    <row r="3630" spans="1:21">
      <c r="A3630" t="s">
        <v>196</v>
      </c>
      <c r="B3630">
        <v>2000</v>
      </c>
      <c r="C3630">
        <v>4919.5225</v>
      </c>
      <c r="D3630">
        <v>13700</v>
      </c>
      <c r="E3630">
        <v>3.3</v>
      </c>
      <c r="F3630">
        <v>0</v>
      </c>
      <c r="G3630">
        <v>3.44</v>
      </c>
      <c r="H3630">
        <v>51.038578000000001</v>
      </c>
      <c r="I3630">
        <v>61.42</v>
      </c>
      <c r="J3630">
        <v>69.260000000000005</v>
      </c>
      <c r="K3630">
        <v>38</v>
      </c>
      <c r="L3630">
        <v>33.654890000000002</v>
      </c>
      <c r="M3630">
        <v>33.5</v>
      </c>
      <c r="O3630">
        <v>40000</v>
      </c>
      <c r="P3630">
        <v>-3.0591897619999999</v>
      </c>
      <c r="Q3630">
        <v>563.05750409999996</v>
      </c>
      <c r="R3630">
        <v>9.39</v>
      </c>
      <c r="S3630">
        <v>390757</v>
      </c>
      <c r="T3630">
        <v>-19.015438</v>
      </c>
      <c r="U3630">
        <v>29.154857</v>
      </c>
    </row>
    <row r="3631" spans="1:21">
      <c r="A3631" t="s">
        <v>196</v>
      </c>
      <c r="B3631">
        <v>2001</v>
      </c>
      <c r="C3631">
        <v>4614.9575000000004</v>
      </c>
      <c r="D3631">
        <v>13900</v>
      </c>
      <c r="E3631">
        <v>4.33</v>
      </c>
      <c r="F3631">
        <v>0</v>
      </c>
      <c r="G3631">
        <v>3.25</v>
      </c>
      <c r="H3631">
        <v>42.875988</v>
      </c>
      <c r="I3631">
        <v>61.2</v>
      </c>
      <c r="J3631">
        <v>71.53</v>
      </c>
      <c r="K3631">
        <v>38</v>
      </c>
      <c r="L3631">
        <v>34.172843999999998</v>
      </c>
      <c r="M3631">
        <v>33.6</v>
      </c>
      <c r="O3631">
        <v>280000</v>
      </c>
      <c r="P3631">
        <v>1.4396153840000001</v>
      </c>
      <c r="Q3631">
        <v>568.38629049999997</v>
      </c>
      <c r="R3631">
        <v>9.23</v>
      </c>
      <c r="S3631">
        <v>390757</v>
      </c>
      <c r="T3631">
        <v>-19.015438</v>
      </c>
      <c r="U3631">
        <v>29.154857</v>
      </c>
    </row>
    <row r="3632" spans="1:21">
      <c r="A3632" t="s">
        <v>196</v>
      </c>
      <c r="B3632">
        <v>2002</v>
      </c>
      <c r="C3632">
        <v>4561.2430000000004</v>
      </c>
      <c r="D3632">
        <v>12489.99977</v>
      </c>
      <c r="E3632">
        <v>4.12</v>
      </c>
      <c r="F3632">
        <v>0</v>
      </c>
      <c r="G3632">
        <v>4.1399999999999997</v>
      </c>
      <c r="H3632">
        <v>50.121062999999999</v>
      </c>
      <c r="I3632">
        <v>62.72</v>
      </c>
      <c r="J3632">
        <v>74.3</v>
      </c>
      <c r="K3632">
        <v>38</v>
      </c>
      <c r="L3632">
        <v>34.200000000000003</v>
      </c>
      <c r="M3632">
        <v>33.5</v>
      </c>
      <c r="P3632">
        <v>-8.8940236329999998</v>
      </c>
      <c r="Q3632">
        <v>530.53044629999999</v>
      </c>
      <c r="R3632">
        <v>9.9600000000000009</v>
      </c>
      <c r="S3632">
        <v>390757</v>
      </c>
      <c r="T3632">
        <v>-19.015438</v>
      </c>
      <c r="U3632">
        <v>29.154857</v>
      </c>
    </row>
    <row r="3633" spans="1:21">
      <c r="A3633" t="s">
        <v>196</v>
      </c>
      <c r="B3633">
        <v>2003</v>
      </c>
      <c r="C3633">
        <v>4397.3419999999996</v>
      </c>
      <c r="D3633">
        <v>10180.000309999999</v>
      </c>
      <c r="E3633">
        <v>2.98</v>
      </c>
      <c r="F3633">
        <v>0</v>
      </c>
      <c r="G3633">
        <v>5.56</v>
      </c>
      <c r="H3633">
        <v>65.105384999999998</v>
      </c>
      <c r="I3633">
        <v>62.58</v>
      </c>
      <c r="J3633">
        <v>77.83</v>
      </c>
      <c r="K3633">
        <v>38</v>
      </c>
      <c r="L3633">
        <v>35.18835</v>
      </c>
      <c r="M3633">
        <v>32.799999999999997</v>
      </c>
      <c r="O3633">
        <v>10000</v>
      </c>
      <c r="P3633">
        <v>-16.995074689999999</v>
      </c>
      <c r="Q3633">
        <v>478.00760439999999</v>
      </c>
      <c r="R3633">
        <v>11.47</v>
      </c>
      <c r="S3633">
        <v>390757</v>
      </c>
      <c r="T3633">
        <v>-19.015438</v>
      </c>
      <c r="U3633">
        <v>29.154857</v>
      </c>
    </row>
    <row r="3634" spans="1:21">
      <c r="A3634" t="s">
        <v>196</v>
      </c>
      <c r="B3634">
        <v>2004</v>
      </c>
      <c r="C3634">
        <v>4045.2321999999999</v>
      </c>
      <c r="D3634">
        <v>9770.0004580000004</v>
      </c>
      <c r="E3634">
        <v>3.63</v>
      </c>
      <c r="F3634">
        <v>0</v>
      </c>
      <c r="G3634">
        <v>5.78</v>
      </c>
      <c r="H3634">
        <v>61.424019999999999</v>
      </c>
      <c r="I3634">
        <v>62.38</v>
      </c>
      <c r="J3634">
        <v>81.58</v>
      </c>
      <c r="K3634">
        <v>38</v>
      </c>
      <c r="L3634">
        <v>35.690600000000003</v>
      </c>
      <c r="M3634">
        <v>32.200000000000003</v>
      </c>
      <c r="P3634">
        <v>-5.8075380550000002</v>
      </c>
      <c r="Q3634">
        <v>482.99845149999999</v>
      </c>
      <c r="R3634">
        <v>11.9</v>
      </c>
      <c r="S3634">
        <v>390757</v>
      </c>
      <c r="T3634">
        <v>-19.015438</v>
      </c>
      <c r="U3634">
        <v>29.154857</v>
      </c>
    </row>
    <row r="3635" spans="1:21">
      <c r="A3635" t="s">
        <v>196</v>
      </c>
      <c r="B3635">
        <v>2005</v>
      </c>
      <c r="C3635">
        <v>4160.4125999999997</v>
      </c>
      <c r="D3635">
        <v>10510.00023</v>
      </c>
      <c r="E3635">
        <v>3.84</v>
      </c>
      <c r="F3635">
        <v>0</v>
      </c>
      <c r="G3635">
        <v>5.2</v>
      </c>
      <c r="H3635">
        <v>57.522125000000003</v>
      </c>
      <c r="I3635">
        <v>62.09</v>
      </c>
      <c r="J3635">
        <v>80.150000000000006</v>
      </c>
      <c r="K3635">
        <v>38</v>
      </c>
      <c r="L3635">
        <v>36.192314000000003</v>
      </c>
      <c r="M3635">
        <v>31.7</v>
      </c>
      <c r="O3635">
        <v>500000</v>
      </c>
      <c r="P3635">
        <v>-5.7110836799999998</v>
      </c>
      <c r="Q3635">
        <v>476.55540250000001</v>
      </c>
      <c r="R3635">
        <v>13.24</v>
      </c>
      <c r="S3635">
        <v>390757</v>
      </c>
      <c r="T3635">
        <v>-19.015438</v>
      </c>
      <c r="U3635">
        <v>29.154857</v>
      </c>
    </row>
    <row r="3636" spans="1:21">
      <c r="A3636" t="s">
        <v>196</v>
      </c>
      <c r="B3636">
        <v>2006</v>
      </c>
      <c r="C3636">
        <v>4158.7816999999995</v>
      </c>
      <c r="D3636">
        <v>9829.9999239999997</v>
      </c>
      <c r="E3636">
        <v>2.23</v>
      </c>
      <c r="F3636">
        <v>0</v>
      </c>
      <c r="G3636">
        <v>5.45</v>
      </c>
      <c r="H3636">
        <v>70.963549999999998</v>
      </c>
      <c r="I3636">
        <v>61.68</v>
      </c>
      <c r="J3636">
        <v>78.59</v>
      </c>
      <c r="K3636">
        <v>38</v>
      </c>
      <c r="L3636">
        <v>37.200000000000003</v>
      </c>
      <c r="M3636">
        <v>31.4</v>
      </c>
      <c r="P3636">
        <v>-3.4614951920000001</v>
      </c>
      <c r="Q3636">
        <v>447.85473990000003</v>
      </c>
      <c r="R3636">
        <v>14.09</v>
      </c>
      <c r="S3636">
        <v>390757</v>
      </c>
      <c r="T3636">
        <v>-19.015438</v>
      </c>
      <c r="U3636">
        <v>29.154857</v>
      </c>
    </row>
    <row r="3637" spans="1:21">
      <c r="A3637" t="s">
        <v>196</v>
      </c>
      <c r="B3637">
        <v>2007</v>
      </c>
      <c r="C3637">
        <v>4036.7202000000002</v>
      </c>
      <c r="D3637">
        <v>9760.0002289999993</v>
      </c>
      <c r="E3637">
        <v>1.86</v>
      </c>
      <c r="F3637">
        <v>0</v>
      </c>
      <c r="G3637">
        <v>5.49</v>
      </c>
      <c r="H3637">
        <v>74.693879999999993</v>
      </c>
      <c r="I3637">
        <v>61.18</v>
      </c>
      <c r="J3637">
        <v>77.97</v>
      </c>
      <c r="K3637">
        <v>38</v>
      </c>
      <c r="L3637">
        <v>37.204009999999997</v>
      </c>
      <c r="M3637">
        <v>31</v>
      </c>
      <c r="P3637">
        <v>-3.6533268589999999</v>
      </c>
      <c r="Q3637">
        <v>431.7872587</v>
      </c>
      <c r="R3637">
        <v>14.4</v>
      </c>
      <c r="S3637">
        <v>390757</v>
      </c>
      <c r="T3637">
        <v>-19.015438</v>
      </c>
      <c r="U3637">
        <v>29.154857</v>
      </c>
    </row>
    <row r="3638" spans="1:21">
      <c r="A3638" t="s">
        <v>196</v>
      </c>
      <c r="B3638">
        <v>2008</v>
      </c>
      <c r="C3638">
        <v>3324.8595999999998</v>
      </c>
      <c r="D3638">
        <v>7599.9999049999997</v>
      </c>
      <c r="E3638">
        <v>1.6</v>
      </c>
      <c r="F3638">
        <v>0</v>
      </c>
      <c r="G3638">
        <v>5.79</v>
      </c>
      <c r="H3638">
        <v>78.349119999999999</v>
      </c>
      <c r="I3638">
        <v>67.349999999999994</v>
      </c>
      <c r="J3638">
        <v>81.86</v>
      </c>
      <c r="K3638">
        <v>38</v>
      </c>
      <c r="L3638">
        <v>37.719344999999997</v>
      </c>
      <c r="M3638">
        <v>30.5</v>
      </c>
      <c r="P3638">
        <v>-17.668946290000001</v>
      </c>
      <c r="Q3638">
        <v>356.69323439999999</v>
      </c>
      <c r="R3638">
        <v>16.34</v>
      </c>
      <c r="S3638">
        <v>390757</v>
      </c>
      <c r="T3638">
        <v>-19.015438</v>
      </c>
      <c r="U3638">
        <v>29.154857</v>
      </c>
    </row>
    <row r="3639" spans="1:21">
      <c r="A3639" t="s">
        <v>196</v>
      </c>
      <c r="B3639">
        <v>2009</v>
      </c>
      <c r="C3639">
        <v>3254.2820000000002</v>
      </c>
      <c r="D3639">
        <v>7750</v>
      </c>
      <c r="E3639">
        <v>1.57</v>
      </c>
      <c r="F3639">
        <v>0</v>
      </c>
      <c r="G3639">
        <v>5.54</v>
      </c>
      <c r="H3639">
        <v>77.918430000000001</v>
      </c>
      <c r="I3639">
        <v>66.599999999999994</v>
      </c>
      <c r="J3639">
        <v>82.09</v>
      </c>
      <c r="K3639">
        <v>38</v>
      </c>
      <c r="L3639">
        <v>43.369083000000003</v>
      </c>
      <c r="M3639">
        <v>30.5</v>
      </c>
      <c r="O3639">
        <v>20000</v>
      </c>
      <c r="P3639">
        <v>12.01955993</v>
      </c>
      <c r="Q3639">
        <v>771.59903229999998</v>
      </c>
      <c r="R3639">
        <v>15</v>
      </c>
      <c r="S3639">
        <v>390757</v>
      </c>
      <c r="T3639">
        <v>-19.015438</v>
      </c>
      <c r="U3639">
        <v>29.154857</v>
      </c>
    </row>
    <row r="3640" spans="1:21">
      <c r="A3640" t="s">
        <v>196</v>
      </c>
      <c r="B3640">
        <v>2010</v>
      </c>
      <c r="C3640">
        <v>3592.6723999999999</v>
      </c>
      <c r="D3640">
        <v>9600.0003809999998</v>
      </c>
      <c r="E3640">
        <v>2.4900000000000002</v>
      </c>
      <c r="F3640">
        <v>0</v>
      </c>
      <c r="G3640">
        <v>5.95</v>
      </c>
      <c r="H3640">
        <v>70.497635000000002</v>
      </c>
      <c r="I3640">
        <v>65.790000000000006</v>
      </c>
      <c r="J3640">
        <v>82.27</v>
      </c>
      <c r="K3640">
        <v>38</v>
      </c>
      <c r="L3640">
        <v>38.782550000000001</v>
      </c>
      <c r="M3640">
        <v>30.15</v>
      </c>
      <c r="P3640">
        <v>19.67532314</v>
      </c>
      <c r="Q3640">
        <v>948.33148100000005</v>
      </c>
      <c r="R3640">
        <v>12.71</v>
      </c>
      <c r="S3640">
        <v>390757</v>
      </c>
      <c r="T3640">
        <v>-19.015438</v>
      </c>
      <c r="U3640">
        <v>29.154857</v>
      </c>
    </row>
    <row r="3641" spans="1:21">
      <c r="A3641" t="s">
        <v>196</v>
      </c>
      <c r="B3641">
        <v>2011</v>
      </c>
      <c r="C3641">
        <v>3860.7898</v>
      </c>
      <c r="D3641">
        <v>11409.99985</v>
      </c>
      <c r="E3641">
        <v>3.43</v>
      </c>
      <c r="F3641">
        <v>0</v>
      </c>
      <c r="G3641">
        <v>5.51</v>
      </c>
      <c r="H3641">
        <v>61.633113999999999</v>
      </c>
      <c r="I3641">
        <v>66.2</v>
      </c>
      <c r="J3641">
        <v>79.27</v>
      </c>
      <c r="K3641">
        <v>38</v>
      </c>
      <c r="L3641">
        <v>36.9</v>
      </c>
      <c r="M3641">
        <v>30.1</v>
      </c>
      <c r="O3641">
        <v>1080000</v>
      </c>
      <c r="P3641">
        <v>14.19391296</v>
      </c>
      <c r="Q3641">
        <v>1093.653409</v>
      </c>
      <c r="R3641">
        <v>11.77</v>
      </c>
      <c r="S3641">
        <v>390757</v>
      </c>
      <c r="T3641">
        <v>-19.015438</v>
      </c>
      <c r="U3641">
        <v>29.154857</v>
      </c>
    </row>
    <row r="3642" spans="1:21">
      <c r="A3642" t="s">
        <v>196</v>
      </c>
      <c r="B3642">
        <v>2012</v>
      </c>
      <c r="C3642">
        <v>4106.9497000000001</v>
      </c>
      <c r="D3642">
        <v>12010.00023</v>
      </c>
      <c r="E3642">
        <v>3.25</v>
      </c>
      <c r="F3642">
        <v>0</v>
      </c>
      <c r="G3642">
        <v>5.68</v>
      </c>
      <c r="H3642">
        <v>63.605820000000001</v>
      </c>
      <c r="I3642">
        <v>65.14</v>
      </c>
      <c r="J3642">
        <v>77.5</v>
      </c>
      <c r="K3642">
        <v>38</v>
      </c>
      <c r="L3642">
        <v>44</v>
      </c>
      <c r="M3642">
        <v>29.8</v>
      </c>
      <c r="P3642">
        <v>16.665428769999998</v>
      </c>
      <c r="Q3642">
        <v>1304.9680109999999</v>
      </c>
      <c r="R3642">
        <v>10.42</v>
      </c>
      <c r="S3642">
        <v>390757</v>
      </c>
      <c r="T3642">
        <v>-19.015438</v>
      </c>
      <c r="U3642">
        <v>29.154857</v>
      </c>
    </row>
    <row r="3643" spans="1:21">
      <c r="A3643" t="s">
        <v>196</v>
      </c>
      <c r="B3643">
        <v>2013</v>
      </c>
      <c r="C3643">
        <v>4085.3319999999999</v>
      </c>
      <c r="D3643">
        <v>12279.99973</v>
      </c>
      <c r="E3643">
        <v>3.9</v>
      </c>
      <c r="F3643">
        <v>0</v>
      </c>
      <c r="G3643">
        <v>5.36</v>
      </c>
      <c r="H3643">
        <v>57.883369999999999</v>
      </c>
      <c r="I3643">
        <v>64.44</v>
      </c>
      <c r="J3643">
        <v>78.87</v>
      </c>
      <c r="K3643">
        <v>38</v>
      </c>
      <c r="L3643">
        <v>40.498375000000003</v>
      </c>
      <c r="M3643">
        <v>29.8</v>
      </c>
      <c r="O3643">
        <v>319000000</v>
      </c>
      <c r="P3643">
        <v>1.989492762</v>
      </c>
      <c r="Q3643">
        <v>1429.9984609999999</v>
      </c>
      <c r="R3643">
        <v>10.48</v>
      </c>
      <c r="S3643">
        <v>390757</v>
      </c>
      <c r="T3643">
        <v>-19.015438</v>
      </c>
      <c r="U3643">
        <v>29.154857</v>
      </c>
    </row>
    <row r="3644" spans="1:21">
      <c r="A3644" t="s">
        <v>196</v>
      </c>
      <c r="B3644">
        <v>2014</v>
      </c>
      <c r="C3644">
        <v>3940.8861999999999</v>
      </c>
      <c r="D3644">
        <v>12079.99992</v>
      </c>
      <c r="E3644">
        <v>3.92</v>
      </c>
      <c r="F3644">
        <v>0</v>
      </c>
      <c r="G3644">
        <v>5.79</v>
      </c>
      <c r="H3644">
        <v>59.629249999999999</v>
      </c>
      <c r="I3644">
        <v>63.38</v>
      </c>
      <c r="J3644">
        <v>80.27</v>
      </c>
      <c r="K3644">
        <v>38</v>
      </c>
      <c r="L3644">
        <v>32.299999999999997</v>
      </c>
      <c r="M3644">
        <v>29.5</v>
      </c>
      <c r="O3644">
        <v>17830000</v>
      </c>
      <c r="P3644">
        <v>2.376929327</v>
      </c>
      <c r="Q3644">
        <v>1434.8962770000001</v>
      </c>
      <c r="R3644">
        <v>10.4</v>
      </c>
      <c r="S3644">
        <v>390757</v>
      </c>
      <c r="T3644">
        <v>-19.015438</v>
      </c>
      <c r="U3644">
        <v>29.154857</v>
      </c>
    </row>
    <row r="3645" spans="1:21">
      <c r="A3645" t="s">
        <v>196</v>
      </c>
      <c r="B3645">
        <v>2015</v>
      </c>
      <c r="C3645">
        <v>3860.9202</v>
      </c>
      <c r="D3645">
        <v>12430.000309999999</v>
      </c>
      <c r="E3645">
        <v>4.0199999999999996</v>
      </c>
      <c r="F3645">
        <v>0</v>
      </c>
      <c r="G3645">
        <v>5.37</v>
      </c>
      <c r="H3645">
        <v>57.188496000000001</v>
      </c>
      <c r="I3645">
        <v>63.54</v>
      </c>
      <c r="J3645">
        <v>80.819999999999993</v>
      </c>
      <c r="K3645">
        <v>38</v>
      </c>
      <c r="L3645">
        <v>33.700000000000003</v>
      </c>
      <c r="M3645">
        <v>29.5</v>
      </c>
      <c r="P3645">
        <v>1.7798727029999999</v>
      </c>
      <c r="Q3645">
        <v>1445.069702</v>
      </c>
      <c r="R3645">
        <v>10.36</v>
      </c>
      <c r="S3645">
        <v>390757</v>
      </c>
      <c r="T3645">
        <v>-19.015438</v>
      </c>
      <c r="U3645">
        <v>29.154857</v>
      </c>
    </row>
    <row r="3646" spans="1:21">
      <c r="A3646" t="s">
        <v>196</v>
      </c>
      <c r="B3646">
        <v>2016</v>
      </c>
      <c r="C3646">
        <v>3227.6801999999998</v>
      </c>
      <c r="D3646">
        <v>11020.000459999999</v>
      </c>
      <c r="E3646">
        <v>3.5</v>
      </c>
      <c r="F3646">
        <v>0</v>
      </c>
      <c r="G3646">
        <v>3.32</v>
      </c>
      <c r="H3646">
        <v>48.680349999999997</v>
      </c>
      <c r="I3646">
        <v>62.88</v>
      </c>
      <c r="J3646">
        <v>81.900000000000006</v>
      </c>
      <c r="K3646">
        <v>38</v>
      </c>
      <c r="L3646">
        <v>42.561729999999997</v>
      </c>
      <c r="M3646">
        <v>29.8</v>
      </c>
      <c r="O3646">
        <v>30000</v>
      </c>
      <c r="P3646">
        <v>0.75586925100000002</v>
      </c>
      <c r="Q3646">
        <v>1464.5889569999999</v>
      </c>
      <c r="R3646">
        <v>10</v>
      </c>
      <c r="S3646">
        <v>390757</v>
      </c>
      <c r="T3646">
        <v>-19.015438</v>
      </c>
      <c r="U3646">
        <v>29.154857</v>
      </c>
    </row>
    <row r="3647" spans="1:21">
      <c r="A3647" t="s">
        <v>196</v>
      </c>
      <c r="B3647">
        <v>2017</v>
      </c>
      <c r="C3647">
        <v>3068.0115000000001</v>
      </c>
      <c r="D3647">
        <v>10340.00015</v>
      </c>
      <c r="E3647">
        <v>3.05</v>
      </c>
      <c r="F3647">
        <v>0</v>
      </c>
      <c r="G3647">
        <v>4.3</v>
      </c>
      <c r="H3647">
        <v>58.503407000000003</v>
      </c>
      <c r="I3647">
        <v>62.33</v>
      </c>
      <c r="J3647">
        <v>82.46</v>
      </c>
      <c r="K3647">
        <v>38</v>
      </c>
      <c r="L3647">
        <v>44.178635</v>
      </c>
      <c r="M3647">
        <v>29.8</v>
      </c>
      <c r="O3647">
        <v>5570000</v>
      </c>
      <c r="P3647">
        <v>4.7094921789999997</v>
      </c>
      <c r="Q3647">
        <v>1235.189032</v>
      </c>
      <c r="R3647">
        <v>9.51</v>
      </c>
      <c r="S3647">
        <v>390757</v>
      </c>
      <c r="T3647">
        <v>-19.015438</v>
      </c>
      <c r="U3647">
        <v>29.154857</v>
      </c>
    </row>
    <row r="3648" spans="1:21">
      <c r="A3648" t="s">
        <v>196</v>
      </c>
      <c r="B3648">
        <v>2018</v>
      </c>
      <c r="C3648">
        <v>3441.9857999999999</v>
      </c>
      <c r="D3648">
        <v>12380.000110000001</v>
      </c>
      <c r="E3648">
        <v>3.73</v>
      </c>
      <c r="F3648">
        <v>0</v>
      </c>
      <c r="G3648">
        <v>5.46</v>
      </c>
      <c r="H3648">
        <v>59.412407000000002</v>
      </c>
      <c r="I3648">
        <v>82.53</v>
      </c>
      <c r="J3648">
        <v>80.23</v>
      </c>
      <c r="K3648">
        <v>38</v>
      </c>
      <c r="L3648">
        <v>45.572647000000003</v>
      </c>
      <c r="M3648">
        <v>29.9</v>
      </c>
      <c r="O3648">
        <v>10000</v>
      </c>
      <c r="P3648">
        <v>4.8242105400000002</v>
      </c>
      <c r="Q3648">
        <v>1254.642265</v>
      </c>
      <c r="R3648">
        <v>9.83</v>
      </c>
      <c r="S3648">
        <v>390757</v>
      </c>
      <c r="T3648">
        <v>-19.015438</v>
      </c>
      <c r="U3648">
        <v>29.154857</v>
      </c>
    </row>
    <row r="3649" spans="1:21">
      <c r="A3649" t="s">
        <v>196</v>
      </c>
      <c r="B3649">
        <v>2019</v>
      </c>
      <c r="C3649">
        <v>3003.6552999999999</v>
      </c>
      <c r="D3649">
        <v>11760.00023</v>
      </c>
      <c r="E3649">
        <v>3.66</v>
      </c>
      <c r="F3649">
        <v>0</v>
      </c>
      <c r="G3649">
        <v>4.58</v>
      </c>
      <c r="H3649">
        <v>55.582526999999999</v>
      </c>
      <c r="I3649">
        <v>81.400000000000006</v>
      </c>
      <c r="J3649">
        <v>81.5</v>
      </c>
      <c r="K3649">
        <v>38</v>
      </c>
      <c r="L3649">
        <v>46.781475</v>
      </c>
      <c r="M3649">
        <v>30.1</v>
      </c>
      <c r="O3649">
        <v>250000</v>
      </c>
      <c r="P3649">
        <v>-6.1442363139999996</v>
      </c>
      <c r="Q3649">
        <v>1316.7406570000001</v>
      </c>
      <c r="R3649">
        <v>10.47</v>
      </c>
      <c r="S3649">
        <v>390757</v>
      </c>
      <c r="T3649">
        <v>-19.015438</v>
      </c>
      <c r="U3649">
        <v>29.154857</v>
      </c>
    </row>
    <row r="3650" spans="1:21">
      <c r="A3650" t="s">
        <v>196</v>
      </c>
      <c r="B3650">
        <v>2020</v>
      </c>
      <c r="C3650">
        <v>2680.1318000000001</v>
      </c>
      <c r="E3650">
        <v>3.4</v>
      </c>
      <c r="F3650">
        <v>0</v>
      </c>
      <c r="G3650">
        <v>4.1900000000000004</v>
      </c>
      <c r="H3650">
        <v>55.204216000000002</v>
      </c>
      <c r="I3650">
        <v>80.61</v>
      </c>
      <c r="J3650">
        <v>81.900000000000006</v>
      </c>
      <c r="K3650">
        <v>38</v>
      </c>
      <c r="L3650">
        <v>52.747669999999999</v>
      </c>
      <c r="M3650">
        <v>30.4</v>
      </c>
      <c r="O3650">
        <v>30000</v>
      </c>
      <c r="P3650">
        <v>-6.2487482239999999</v>
      </c>
      <c r="Q3650">
        <v>1214.50982</v>
      </c>
      <c r="R3650">
        <v>10</v>
      </c>
      <c r="S3650">
        <v>390757</v>
      </c>
      <c r="T3650">
        <v>-19.015438</v>
      </c>
      <c r="U3650">
        <v>29.154857</v>
      </c>
    </row>
  </sheetData>
  <autoFilter ref="A1:V3650" xr:uid="{56AA9E5D-204F-4C3F-AB7E-4DC3D4B43150}"/>
  <conditionalFormatting sqref="A1:U1048576">
    <cfRule type="cellIs" dxfId="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F11A-916E-4C86-80E2-20FB5A3E0A9C}">
  <dimension ref="A1:AK139"/>
  <sheetViews>
    <sheetView topLeftCell="A93" workbookViewId="0">
      <selection activeCell="A106" sqref="A106"/>
    </sheetView>
  </sheetViews>
  <sheetFormatPr defaultRowHeight="15"/>
  <cols>
    <col min="1" max="1" width="21.5703125" bestFit="1" customWidth="1"/>
    <col min="2" max="2" width="31.140625" bestFit="1" customWidth="1"/>
    <col min="3" max="4" width="5" hidden="1" customWidth="1"/>
    <col min="5" max="33" width="12.140625" hidden="1" customWidth="1"/>
    <col min="34" max="34" width="12.140625" bestFit="1" customWidth="1"/>
    <col min="35" max="37" width="12.140625" hidden="1" customWidth="1"/>
  </cols>
  <sheetData>
    <row r="1" spans="1:37" s="1" customFormat="1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218</v>
      </c>
      <c r="W1" s="1" t="s">
        <v>219</v>
      </c>
      <c r="X1" s="1" t="s">
        <v>220</v>
      </c>
      <c r="Y1" s="1" t="s">
        <v>221</v>
      </c>
      <c r="Z1" s="1" t="s">
        <v>222</v>
      </c>
      <c r="AA1" s="1" t="s">
        <v>223</v>
      </c>
      <c r="AB1" s="1" t="s">
        <v>224</v>
      </c>
      <c r="AC1" s="1" t="s">
        <v>225</v>
      </c>
      <c r="AD1" s="1" t="s">
        <v>226</v>
      </c>
      <c r="AE1" s="1" t="s">
        <v>227</v>
      </c>
      <c r="AF1" s="1" t="s">
        <v>228</v>
      </c>
      <c r="AG1" s="1" t="s">
        <v>229</v>
      </c>
      <c r="AH1" s="1" t="s">
        <v>230</v>
      </c>
      <c r="AI1" s="3">
        <v>2020</v>
      </c>
      <c r="AJ1" s="3">
        <v>2021</v>
      </c>
      <c r="AK1" s="3">
        <v>2022</v>
      </c>
    </row>
    <row r="2" spans="1:37">
      <c r="A2" t="s">
        <v>22</v>
      </c>
      <c r="B2" t="s">
        <v>231</v>
      </c>
      <c r="E2">
        <v>6.4206002448000001</v>
      </c>
      <c r="F2">
        <v>-3.4848987720000002</v>
      </c>
      <c r="G2">
        <v>-3.3818124263999998</v>
      </c>
      <c r="H2">
        <v>0.16870972952999999</v>
      </c>
      <c r="I2">
        <v>3.5346718407000002</v>
      </c>
      <c r="J2">
        <v>6.6367229608000002</v>
      </c>
      <c r="K2">
        <v>6.2928233531000002</v>
      </c>
      <c r="L2">
        <v>8.6994259562000007</v>
      </c>
      <c r="M2">
        <v>16.285974923000001</v>
      </c>
      <c r="N2">
        <v>42.023755626000003</v>
      </c>
      <c r="O2">
        <v>46.518154009841801</v>
      </c>
      <c r="P2">
        <v>53.182772972197178</v>
      </c>
      <c r="Q2">
        <v>54.025411185184225</v>
      </c>
      <c r="R2">
        <v>51.556771016106055</v>
      </c>
      <c r="S2">
        <v>48.369834505995662</v>
      </c>
      <c r="T2">
        <v>50.573600096791402</v>
      </c>
      <c r="U2">
        <v>41.240007666895799</v>
      </c>
      <c r="V2">
        <v>49.349867139060763</v>
      </c>
      <c r="W2">
        <v>50.062005802377932</v>
      </c>
      <c r="X2">
        <v>46.410589843619583</v>
      </c>
      <c r="Y2">
        <v>28.962214421103511</v>
      </c>
      <c r="Z2">
        <v>35.894769567221694</v>
      </c>
      <c r="AA2">
        <v>15.717286986415813</v>
      </c>
      <c r="AB2">
        <v>25.200422915447611</v>
      </c>
      <c r="AC2">
        <v>28.911953019860775</v>
      </c>
      <c r="AD2">
        <v>12.696461784444013</v>
      </c>
      <c r="AE2">
        <v>20.272354631507596</v>
      </c>
      <c r="AF2">
        <v>38.833600532381304</v>
      </c>
      <c r="AG2">
        <v>21.269487750556852</v>
      </c>
      <c r="AH2">
        <v>32.231802728054802</v>
      </c>
      <c r="AI2">
        <v>36.469977466531368</v>
      </c>
      <c r="AJ2">
        <v>24.117751932293487</v>
      </c>
      <c r="AK2">
        <v>32.276396797250975</v>
      </c>
    </row>
    <row r="3" spans="1:37">
      <c r="A3" t="s">
        <v>23</v>
      </c>
      <c r="B3" t="s">
        <v>231</v>
      </c>
      <c r="E3">
        <v>-348.57894210000001</v>
      </c>
      <c r="F3">
        <v>-334.60420226000002</v>
      </c>
      <c r="G3">
        <v>-331.51782731999998</v>
      </c>
      <c r="H3">
        <v>-331.86942837999999</v>
      </c>
      <c r="I3">
        <v>-330.5171441</v>
      </c>
      <c r="J3">
        <v>-338.13819848000003</v>
      </c>
      <c r="K3">
        <v>-377.43371833999998</v>
      </c>
      <c r="L3">
        <v>-403.68961782000002</v>
      </c>
      <c r="M3">
        <v>-407.93840511000002</v>
      </c>
      <c r="N3">
        <v>-411.86649641000002</v>
      </c>
      <c r="O3">
        <v>-425.82828207768671</v>
      </c>
      <c r="P3">
        <v>-406.35596212996268</v>
      </c>
      <c r="Q3">
        <v>-391.55748759097429</v>
      </c>
      <c r="R3">
        <v>-401.85755700849512</v>
      </c>
      <c r="S3">
        <v>-405.29567391222736</v>
      </c>
      <c r="T3">
        <v>-412.4429859453719</v>
      </c>
      <c r="U3">
        <v>-373.28932596636429</v>
      </c>
      <c r="V3">
        <v>-346.1207005525049</v>
      </c>
      <c r="W3">
        <v>-331.68216922152521</v>
      </c>
      <c r="X3">
        <v>-274.14297764309896</v>
      </c>
      <c r="Y3">
        <v>-268.12382605824007</v>
      </c>
      <c r="Z3">
        <v>-243.48576634752277</v>
      </c>
      <c r="AA3">
        <v>-209.62859998356925</v>
      </c>
      <c r="AB3">
        <v>-186.27161824482462</v>
      </c>
      <c r="AC3">
        <v>-171.45978128873386</v>
      </c>
      <c r="AD3">
        <v>-158.92568193910395</v>
      </c>
      <c r="AE3">
        <v>-178.80978279640382</v>
      </c>
      <c r="AF3">
        <v>-169.87921503260552</v>
      </c>
      <c r="AG3">
        <v>-152.18071922085829</v>
      </c>
      <c r="AH3">
        <v>-133.35274649055356</v>
      </c>
      <c r="AI3">
        <v>-124.74153178049758</v>
      </c>
      <c r="AJ3">
        <v>-137.10304651460316</v>
      </c>
      <c r="AK3">
        <v>-127.24358682487504</v>
      </c>
    </row>
    <row r="4" spans="1:37">
      <c r="A4" t="s">
        <v>24</v>
      </c>
      <c r="B4" t="s">
        <v>231</v>
      </c>
      <c r="E4">
        <v>-381.65005783999999</v>
      </c>
      <c r="F4">
        <v>-392.00095141999998</v>
      </c>
      <c r="G4">
        <v>-432.81886919999999</v>
      </c>
      <c r="H4">
        <v>-378.00752166000001</v>
      </c>
      <c r="I4">
        <v>-402.65415941999998</v>
      </c>
      <c r="J4">
        <v>-461.61801154</v>
      </c>
      <c r="K4">
        <v>-493.92883019999999</v>
      </c>
      <c r="L4">
        <v>-515.62021829000003</v>
      </c>
      <c r="M4">
        <v>-547.75609667000003</v>
      </c>
      <c r="N4">
        <v>-522.04701473</v>
      </c>
      <c r="O4">
        <v>-546.6449690895621</v>
      </c>
      <c r="P4">
        <v>-487.01426185104521</v>
      </c>
      <c r="Q4">
        <v>-575.45427990896712</v>
      </c>
      <c r="R4">
        <v>-520.18104461669668</v>
      </c>
      <c r="S4">
        <v>-590.35327777086718</v>
      </c>
      <c r="T4">
        <v>-812.88391544871388</v>
      </c>
      <c r="U4">
        <v>-818.58983402840909</v>
      </c>
      <c r="V4">
        <v>-905.05135224138689</v>
      </c>
      <c r="W4">
        <v>-910.8359183941426</v>
      </c>
      <c r="X4">
        <v>-775.82135350278281</v>
      </c>
      <c r="Y4">
        <v>-745.52455660085366</v>
      </c>
      <c r="Z4">
        <v>-646.02174309879854</v>
      </c>
      <c r="AA4">
        <v>-604.18322922581774</v>
      </c>
      <c r="AB4">
        <v>-608.40670967925917</v>
      </c>
      <c r="AC4">
        <v>-637.73028696391066</v>
      </c>
      <c r="AD4">
        <v>-568.89099777747106</v>
      </c>
      <c r="AE4">
        <v>-599.54334186068058</v>
      </c>
      <c r="AF4">
        <v>-564.3848791068915</v>
      </c>
      <c r="AG4">
        <v>-558.35077138664838</v>
      </c>
      <c r="AH4">
        <v>-488.93284268629304</v>
      </c>
      <c r="AI4">
        <v>-474.84656077055246</v>
      </c>
      <c r="AJ4">
        <v>-373.79663230638158</v>
      </c>
      <c r="AK4">
        <v>-353.97181938427258</v>
      </c>
    </row>
    <row r="5" spans="1:37">
      <c r="A5" t="s">
        <v>26</v>
      </c>
      <c r="B5" t="s">
        <v>231</v>
      </c>
      <c r="E5">
        <v>-4.0712593122999996</v>
      </c>
      <c r="F5">
        <v>-3.8545466997000002</v>
      </c>
      <c r="G5">
        <v>-7.1423390278000003</v>
      </c>
      <c r="H5">
        <v>-10.78348289</v>
      </c>
      <c r="I5">
        <v>-16.997101490999999</v>
      </c>
      <c r="J5">
        <v>-23.342176384999998</v>
      </c>
      <c r="K5">
        <v>-28.306973873</v>
      </c>
      <c r="L5">
        <v>-31.273288213000001</v>
      </c>
      <c r="M5">
        <v>-30.198900887000001</v>
      </c>
      <c r="N5">
        <v>-30.411482038999999</v>
      </c>
      <c r="O5">
        <v>-33.842833474846728</v>
      </c>
      <c r="P5">
        <v>-44.462605600036476</v>
      </c>
      <c r="Q5">
        <v>-44.631023424068431</v>
      </c>
      <c r="R5">
        <v>-40.163476366035042</v>
      </c>
      <c r="S5">
        <v>-28.031841890493816</v>
      </c>
      <c r="T5">
        <v>-24.036958542030384</v>
      </c>
      <c r="U5">
        <v>-18.716216878307019</v>
      </c>
      <c r="V5">
        <v>-8.7584089553252884</v>
      </c>
      <c r="W5">
        <v>-6.261836321652801</v>
      </c>
      <c r="X5">
        <v>-7.6558714606598297</v>
      </c>
      <c r="Y5">
        <v>-2.4021676150880586</v>
      </c>
      <c r="Z5">
        <v>7.237416840266059</v>
      </c>
      <c r="AA5">
        <v>8.1143990886380646</v>
      </c>
      <c r="AB5">
        <v>13.986218185213097</v>
      </c>
      <c r="AC5">
        <v>14.067810342919934</v>
      </c>
      <c r="AD5">
        <v>13.547780987875866</v>
      </c>
      <c r="AE5">
        <v>11.999368957305608</v>
      </c>
      <c r="AF5">
        <v>13.218914687385722</v>
      </c>
      <c r="AG5">
        <v>8.6087553227265836</v>
      </c>
      <c r="AH5">
        <v>2.4916770796544179</v>
      </c>
      <c r="AI5">
        <v>1.2280061693217783</v>
      </c>
      <c r="AJ5">
        <v>5.9663680889715884</v>
      </c>
      <c r="AK5">
        <v>1.9585582122097231</v>
      </c>
    </row>
    <row r="6" spans="1:37">
      <c r="A6" t="s">
        <v>27</v>
      </c>
      <c r="B6" t="s">
        <v>231</v>
      </c>
      <c r="E6">
        <v>100.65590125</v>
      </c>
      <c r="G6">
        <v>97.039692406</v>
      </c>
      <c r="L6">
        <v>71.485742870999999</v>
      </c>
      <c r="M6">
        <v>71.645005288999997</v>
      </c>
      <c r="N6">
        <v>65.308063044999997</v>
      </c>
      <c r="O6">
        <v>71.191142301673977</v>
      </c>
      <c r="P6">
        <v>72.565339048639373</v>
      </c>
      <c r="Q6">
        <v>62.984789664609323</v>
      </c>
      <c r="R6">
        <v>65.869858720285521</v>
      </c>
      <c r="S6">
        <v>65.686173912052411</v>
      </c>
      <c r="T6">
        <v>67.237035980797273</v>
      </c>
      <c r="U6">
        <v>68.024791614161558</v>
      </c>
      <c r="V6">
        <v>72.809235199571603</v>
      </c>
      <c r="W6">
        <v>75.140115590393492</v>
      </c>
      <c r="X6">
        <v>69.256249771238117</v>
      </c>
      <c r="Y6">
        <v>69.640109255982139</v>
      </c>
      <c r="Z6">
        <v>69.018011045836573</v>
      </c>
      <c r="AA6">
        <v>74.340381059570873</v>
      </c>
      <c r="AB6">
        <v>73.682260229415405</v>
      </c>
      <c r="AC6">
        <v>71.659228840078057</v>
      </c>
      <c r="AD6">
        <v>67.629316347697412</v>
      </c>
      <c r="AE6">
        <v>68.2448098805489</v>
      </c>
      <c r="AF6">
        <v>68.960568280661008</v>
      </c>
      <c r="AG6">
        <v>72.731773920088997</v>
      </c>
      <c r="AH6">
        <v>74.170785301844774</v>
      </c>
      <c r="AI6">
        <v>74.14726654459858</v>
      </c>
      <c r="AJ6">
        <v>78.904516112668318</v>
      </c>
      <c r="AK6">
        <v>76.872108640501452</v>
      </c>
    </row>
    <row r="7" spans="1:37">
      <c r="A7" t="s">
        <v>29</v>
      </c>
      <c r="B7" t="s">
        <v>231</v>
      </c>
      <c r="E7">
        <v>-74.903416128000003</v>
      </c>
      <c r="F7">
        <v>-93.637584426999993</v>
      </c>
      <c r="G7">
        <v>-95.915183108999997</v>
      </c>
      <c r="H7">
        <v>-92.366025149999999</v>
      </c>
      <c r="I7">
        <v>-91.374284610999993</v>
      </c>
      <c r="J7">
        <v>-96.451627310999996</v>
      </c>
      <c r="K7">
        <v>-91.090922914000004</v>
      </c>
      <c r="L7">
        <v>-100.72750323</v>
      </c>
      <c r="M7">
        <v>-107.39021483000001</v>
      </c>
      <c r="N7">
        <v>-103.45436678</v>
      </c>
      <c r="O7">
        <v>-117.60268992491136</v>
      </c>
      <c r="P7">
        <v>-126.51361958927936</v>
      </c>
      <c r="Q7">
        <v>-130.62417241528024</v>
      </c>
      <c r="R7">
        <v>-125.28869747472409</v>
      </c>
      <c r="S7">
        <v>-125.87203121001738</v>
      </c>
      <c r="T7">
        <v>-131.07466643318983</v>
      </c>
      <c r="U7">
        <v>-123.8069102419223</v>
      </c>
      <c r="V7">
        <v>-127.76429088894436</v>
      </c>
      <c r="W7">
        <v>-123.53461023199885</v>
      </c>
      <c r="X7">
        <v>-128.47661717770717</v>
      </c>
      <c r="Y7">
        <v>-146.70834677574825</v>
      </c>
      <c r="Z7">
        <v>-141.94292603415747</v>
      </c>
      <c r="AA7">
        <v>-149.19538038850379</v>
      </c>
      <c r="AB7">
        <v>-164.69177405330373</v>
      </c>
      <c r="AC7">
        <v>-185.55578949071747</v>
      </c>
      <c r="AD7">
        <v>-197.38684223229211</v>
      </c>
      <c r="AE7">
        <v>-206.23025131456063</v>
      </c>
      <c r="AF7">
        <v>-213.03921917220379</v>
      </c>
      <c r="AG7">
        <v>-221.13514781465966</v>
      </c>
      <c r="AH7">
        <v>-230.54024812099971</v>
      </c>
      <c r="AI7">
        <v>-237.32858019565981</v>
      </c>
      <c r="AJ7">
        <v>-232.10477212391839</v>
      </c>
      <c r="AK7">
        <v>-234.2793459212015</v>
      </c>
    </row>
    <row r="8" spans="1:37">
      <c r="A8" t="s">
        <v>30</v>
      </c>
      <c r="B8" t="s">
        <v>231</v>
      </c>
      <c r="E8">
        <v>69.792466669000007</v>
      </c>
      <c r="F8">
        <v>67.896536549999993</v>
      </c>
      <c r="G8">
        <v>69.796048223</v>
      </c>
      <c r="H8">
        <v>67.025530919999994</v>
      </c>
      <c r="I8">
        <v>66.447963990000005</v>
      </c>
      <c r="J8">
        <v>67.688587663000007</v>
      </c>
      <c r="K8">
        <v>70.855776087999999</v>
      </c>
      <c r="L8">
        <v>68.783291660000003</v>
      </c>
      <c r="M8">
        <v>71.665227786000003</v>
      </c>
      <c r="N8">
        <v>66.633472599000001</v>
      </c>
      <c r="O8">
        <v>66.900317833489225</v>
      </c>
      <c r="P8">
        <v>66.272663417193428</v>
      </c>
      <c r="Q8">
        <v>69.180972170965632</v>
      </c>
      <c r="R8">
        <v>72.072860838859683</v>
      </c>
      <c r="S8">
        <v>72.73602367314696</v>
      </c>
      <c r="T8">
        <v>73.395954055078079</v>
      </c>
      <c r="U8">
        <v>73.793048126084273</v>
      </c>
      <c r="V8">
        <v>70.172562838893356</v>
      </c>
      <c r="W8">
        <v>70.47707611840336</v>
      </c>
      <c r="X8">
        <v>66.710387559482328</v>
      </c>
      <c r="Y8">
        <v>64.315577159372936</v>
      </c>
      <c r="Z8">
        <v>71.892759155952362</v>
      </c>
      <c r="AA8">
        <v>65.520586427243771</v>
      </c>
      <c r="AB8">
        <v>62.883564583240506</v>
      </c>
      <c r="AC8">
        <v>67.488881801327111</v>
      </c>
      <c r="AD8">
        <v>62.147420845119626</v>
      </c>
      <c r="AE8">
        <v>64.113786345695971</v>
      </c>
      <c r="AF8">
        <v>65.946381239160416</v>
      </c>
      <c r="AG8">
        <v>66.52577754877656</v>
      </c>
      <c r="AH8">
        <v>74.476281896077239</v>
      </c>
      <c r="AI8">
        <v>59.766876809355907</v>
      </c>
      <c r="AJ8">
        <v>53.152930168409021</v>
      </c>
      <c r="AK8">
        <v>76.811184657612415</v>
      </c>
    </row>
    <row r="9" spans="1:37">
      <c r="A9" t="s">
        <v>31</v>
      </c>
      <c r="B9" t="s">
        <v>231</v>
      </c>
      <c r="E9">
        <v>12.230551668</v>
      </c>
      <c r="F9">
        <v>16.273306459000001</v>
      </c>
      <c r="G9">
        <v>3.9842959358000001</v>
      </c>
      <c r="H9">
        <v>-1.7221528889</v>
      </c>
      <c r="I9">
        <v>1.8865853757</v>
      </c>
      <c r="J9">
        <v>-15.161914772999999</v>
      </c>
      <c r="K9">
        <v>-21.134065666000001</v>
      </c>
      <c r="L9">
        <v>-23.142723942</v>
      </c>
      <c r="M9">
        <v>-33.571435829000002</v>
      </c>
      <c r="N9">
        <v>-72.323465401000007</v>
      </c>
      <c r="O9">
        <v>-65.862620855294907</v>
      </c>
      <c r="P9">
        <v>-68.858086001402242</v>
      </c>
      <c r="Q9">
        <v>-71.888583139140863</v>
      </c>
      <c r="R9">
        <v>-61.70634842693665</v>
      </c>
      <c r="S9">
        <v>-55.178725518395602</v>
      </c>
      <c r="T9">
        <v>-93.951693227091624</v>
      </c>
      <c r="U9">
        <v>-182.88922536622042</v>
      </c>
      <c r="V9">
        <v>-323.14754773693124</v>
      </c>
      <c r="W9">
        <v>-326.6733748761522</v>
      </c>
      <c r="X9">
        <v>-425.32075203809745</v>
      </c>
      <c r="Y9">
        <v>-457.06932981048681</v>
      </c>
      <c r="Z9">
        <v>-377.98020378131349</v>
      </c>
      <c r="AA9">
        <v>-326.99964478215884</v>
      </c>
      <c r="AB9">
        <v>-326.52806540155433</v>
      </c>
      <c r="AC9">
        <v>-312.69972836122139</v>
      </c>
      <c r="AD9">
        <v>-311.37270256500062</v>
      </c>
      <c r="AE9">
        <v>-307.15743751043311</v>
      </c>
      <c r="AF9">
        <v>-278.23586297328256</v>
      </c>
      <c r="AG9">
        <v>-286.42023899151189</v>
      </c>
      <c r="AH9">
        <v>-274.4174564968165</v>
      </c>
      <c r="AI9">
        <v>-274.46060557533281</v>
      </c>
      <c r="AJ9">
        <v>-287.01652568808663</v>
      </c>
      <c r="AK9">
        <v>-263.12753673369059</v>
      </c>
    </row>
    <row r="10" spans="1:37">
      <c r="A10" t="s">
        <v>33</v>
      </c>
      <c r="B10" t="s">
        <v>231</v>
      </c>
      <c r="E10">
        <v>-154.67004162999999</v>
      </c>
      <c r="F10">
        <v>-156.12389719000001</v>
      </c>
      <c r="G10">
        <v>-143.14575938999999</v>
      </c>
      <c r="H10">
        <v>-143.38117652</v>
      </c>
      <c r="I10">
        <v>-125.45980710000001</v>
      </c>
      <c r="J10">
        <v>-129.20065192000001</v>
      </c>
      <c r="K10">
        <v>-126.63247679</v>
      </c>
      <c r="L10">
        <v>-118.84261436</v>
      </c>
      <c r="M10">
        <v>-114.74377317</v>
      </c>
      <c r="N10">
        <v>-106.17925466</v>
      </c>
      <c r="O10">
        <v>-97.825585638181479</v>
      </c>
      <c r="P10">
        <v>-97.383209594517339</v>
      </c>
      <c r="Q10">
        <v>-94.195607903571243</v>
      </c>
      <c r="R10">
        <v>-88.231431700648244</v>
      </c>
      <c r="S10">
        <v>-80.534360963763874</v>
      </c>
      <c r="T10">
        <v>-60.627316871762702</v>
      </c>
      <c r="U10">
        <v>-60.115304095764522</v>
      </c>
      <c r="V10">
        <v>-53.528027560318236</v>
      </c>
      <c r="W10">
        <v>-45.866587510058046</v>
      </c>
      <c r="X10">
        <v>-54.72833699539774</v>
      </c>
      <c r="Y10">
        <v>-53.407056801865792</v>
      </c>
      <c r="Z10">
        <v>-58.314693615716365</v>
      </c>
      <c r="AA10">
        <v>-56.775093726592907</v>
      </c>
      <c r="AB10">
        <v>-54.383115780032028</v>
      </c>
      <c r="AC10">
        <v>-65.718380166050181</v>
      </c>
      <c r="AD10">
        <v>-57.36173762435125</v>
      </c>
      <c r="AE10">
        <v>-57.290189571930426</v>
      </c>
      <c r="AF10">
        <v>-56.809980288761011</v>
      </c>
      <c r="AG10">
        <v>-53.600542685660621</v>
      </c>
      <c r="AH10">
        <v>-53.430626621253673</v>
      </c>
      <c r="AI10">
        <v>-51.901390099472309</v>
      </c>
      <c r="AJ10">
        <v>-50.226332578643238</v>
      </c>
      <c r="AK10">
        <v>-45.475131667930583</v>
      </c>
    </row>
    <row r="11" spans="1:37">
      <c r="A11" t="s">
        <v>34</v>
      </c>
      <c r="B11" t="s">
        <v>231</v>
      </c>
      <c r="E11">
        <v>16.925278260999999</v>
      </c>
      <c r="F11">
        <v>14.567510408</v>
      </c>
      <c r="G11">
        <v>14.098282099</v>
      </c>
      <c r="H11">
        <v>13.95387816</v>
      </c>
      <c r="I11">
        <v>15.285042653</v>
      </c>
      <c r="O11">
        <v>17.650914865055444</v>
      </c>
      <c r="P11">
        <v>21.103894956869929</v>
      </c>
      <c r="Q11">
        <v>19.706219598758786</v>
      </c>
      <c r="R11">
        <v>19.928574036396746</v>
      </c>
      <c r="S11">
        <v>17.792064530949936</v>
      </c>
      <c r="T11">
        <v>17.909553820464598</v>
      </c>
      <c r="U11">
        <v>16.110348677630228</v>
      </c>
      <c r="V11">
        <v>15.829946446690613</v>
      </c>
      <c r="W11">
        <v>15.494328826215403</v>
      </c>
      <c r="X11">
        <v>14.740472227588452</v>
      </c>
      <c r="Y11">
        <v>14.454454791768438</v>
      </c>
      <c r="Z11">
        <v>17.464638049993912</v>
      </c>
      <c r="AA11">
        <v>18.355916718615106</v>
      </c>
      <c r="AB11">
        <v>17.964054328311601</v>
      </c>
      <c r="AC11">
        <v>19.628963440140538</v>
      </c>
      <c r="AD11">
        <v>20.400208539135466</v>
      </c>
      <c r="AE11">
        <v>21.671915923674817</v>
      </c>
      <c r="AF11">
        <v>23.889970217060959</v>
      </c>
      <c r="AG11">
        <v>24.574115946494572</v>
      </c>
      <c r="AH11">
        <v>30.297494089433673</v>
      </c>
      <c r="AI11">
        <v>34.462040033763586</v>
      </c>
      <c r="AJ11">
        <v>39.59006899722656</v>
      </c>
      <c r="AK11">
        <v>44.307025844926613</v>
      </c>
    </row>
    <row r="12" spans="1:37">
      <c r="A12" t="s">
        <v>36</v>
      </c>
      <c r="B12" t="s">
        <v>231</v>
      </c>
      <c r="E12">
        <v>92.709261839000007</v>
      </c>
      <c r="F12">
        <v>90.300896494</v>
      </c>
      <c r="G12">
        <v>88.688386847999993</v>
      </c>
      <c r="H12">
        <v>87.921985214000003</v>
      </c>
      <c r="I12">
        <v>84.807996532999994</v>
      </c>
      <c r="J12">
        <v>87.147907345999997</v>
      </c>
      <c r="K12">
        <v>83.381678394000005</v>
      </c>
      <c r="L12">
        <v>88.348125709000001</v>
      </c>
      <c r="M12">
        <v>86.196477271000006</v>
      </c>
      <c r="N12">
        <v>84.290058466000005</v>
      </c>
      <c r="O12">
        <v>85.491586280088441</v>
      </c>
      <c r="P12">
        <v>84.922212177345557</v>
      </c>
      <c r="Q12">
        <v>84.340550501741134</v>
      </c>
      <c r="R12">
        <v>85.235837610482989</v>
      </c>
      <c r="S12">
        <v>86.594078196689921</v>
      </c>
      <c r="T12">
        <v>85.396022420830036</v>
      </c>
      <c r="U12">
        <v>86.224520509004492</v>
      </c>
      <c r="V12">
        <v>84.715589734744952</v>
      </c>
      <c r="W12">
        <v>87.750867530686762</v>
      </c>
      <c r="X12">
        <v>83.534171284407847</v>
      </c>
      <c r="Y12">
        <v>84.979708773498544</v>
      </c>
      <c r="Z12">
        <v>84.146162648870799</v>
      </c>
      <c r="AA12">
        <v>87.246612866239175</v>
      </c>
      <c r="AB12">
        <v>86.726892696389655</v>
      </c>
      <c r="AC12">
        <v>87.767381817647149</v>
      </c>
      <c r="AD12">
        <v>84.959927874920211</v>
      </c>
      <c r="AE12">
        <v>83.313868027135456</v>
      </c>
      <c r="AF12">
        <v>84.894044212873482</v>
      </c>
      <c r="AG12">
        <v>86.028154704336387</v>
      </c>
      <c r="AH12">
        <v>85.255535181284188</v>
      </c>
      <c r="AI12">
        <v>83.841231144293843</v>
      </c>
      <c r="AJ12">
        <v>78.289958068044697</v>
      </c>
      <c r="AK12">
        <v>77.079948243731849</v>
      </c>
    </row>
    <row r="13" spans="1:37">
      <c r="A13" t="s">
        <v>37</v>
      </c>
      <c r="B13" t="s">
        <v>231</v>
      </c>
      <c r="E13">
        <v>83.036796444000004</v>
      </c>
      <c r="F13">
        <v>84.764993211000004</v>
      </c>
      <c r="G13">
        <v>85.761616416999999</v>
      </c>
      <c r="H13">
        <v>84.536520167999996</v>
      </c>
      <c r="I13">
        <v>87.120842015999997</v>
      </c>
      <c r="J13">
        <v>88.086938920999998</v>
      </c>
      <c r="K13">
        <v>88.322852839000006</v>
      </c>
      <c r="L13">
        <v>86.887807574999997</v>
      </c>
      <c r="M13">
        <v>90.173113565999998</v>
      </c>
      <c r="N13">
        <v>85.069961594999995</v>
      </c>
      <c r="O13">
        <v>87.219960272333509</v>
      </c>
      <c r="P13">
        <v>89.760923371558704</v>
      </c>
      <c r="Q13">
        <v>88.576900363283059</v>
      </c>
      <c r="R13">
        <v>91.440451784140222</v>
      </c>
      <c r="S13">
        <v>91.768602529723637</v>
      </c>
      <c r="T13">
        <v>91.873267261667721</v>
      </c>
      <c r="U13">
        <v>92.466113707913038</v>
      </c>
      <c r="V13">
        <v>91.142834976218339</v>
      </c>
      <c r="W13">
        <v>95.950877270871814</v>
      </c>
      <c r="X13">
        <v>86.602839435953143</v>
      </c>
      <c r="Y13">
        <v>89.345984007638123</v>
      </c>
      <c r="Z13">
        <v>86.778353147918637</v>
      </c>
      <c r="AA13">
        <v>86.342802845357241</v>
      </c>
      <c r="AB13">
        <v>87.315603662587165</v>
      </c>
      <c r="AC13">
        <v>89.705861023684832</v>
      </c>
      <c r="AD13">
        <v>95.272255134891324</v>
      </c>
      <c r="AE13">
        <v>86.254228182150214</v>
      </c>
      <c r="AF13">
        <v>86.938044233766377</v>
      </c>
      <c r="AG13">
        <v>99.699000660664638</v>
      </c>
      <c r="AH13">
        <v>90.93022607944684</v>
      </c>
      <c r="AI13">
        <v>89.075809892703134</v>
      </c>
      <c r="AJ13">
        <v>81.496156206568159</v>
      </c>
      <c r="AK13">
        <v>86.76194408244578</v>
      </c>
    </row>
    <row r="14" spans="1:37">
      <c r="A14" t="s">
        <v>39</v>
      </c>
      <c r="B14" t="s">
        <v>231</v>
      </c>
      <c r="E14">
        <v>-5.5370285188999997</v>
      </c>
      <c r="F14">
        <v>-5.9790457313000003</v>
      </c>
      <c r="G14">
        <v>-2.1444461332000002</v>
      </c>
      <c r="H14">
        <v>-2.7405027405000002</v>
      </c>
      <c r="I14">
        <v>-1.2102954389</v>
      </c>
      <c r="J14">
        <v>0.95287348891000001</v>
      </c>
      <c r="K14">
        <v>11.500838302</v>
      </c>
      <c r="L14">
        <v>16.260528034</v>
      </c>
      <c r="M14">
        <v>16.957243443999999</v>
      </c>
      <c r="N14">
        <v>23.283169182000002</v>
      </c>
      <c r="O14">
        <v>28.097710217896637</v>
      </c>
      <c r="P14">
        <v>29.872468626829189</v>
      </c>
      <c r="Q14">
        <v>31.955105531564531</v>
      </c>
      <c r="R14">
        <v>34.47060707992938</v>
      </c>
      <c r="S14">
        <v>35.089418420674335</v>
      </c>
      <c r="T14">
        <v>35.847037352010659</v>
      </c>
      <c r="U14">
        <v>39.107900618703759</v>
      </c>
      <c r="V14">
        <v>41.801795091430442</v>
      </c>
      <c r="W14">
        <v>42.256517874058389</v>
      </c>
      <c r="X14">
        <v>44.71661029661972</v>
      </c>
      <c r="Y14">
        <v>49.305667256447364</v>
      </c>
      <c r="AH14">
        <v>46.04164120115712</v>
      </c>
      <c r="AI14">
        <v>46.633621761613576</v>
      </c>
      <c r="AJ14">
        <v>42.756759316255604</v>
      </c>
      <c r="AK14">
        <v>40.903170380223827</v>
      </c>
    </row>
    <row r="15" spans="1:37">
      <c r="A15" t="s">
        <v>232</v>
      </c>
      <c r="B15" t="s">
        <v>231</v>
      </c>
      <c r="E15">
        <v>-91.590738109</v>
      </c>
      <c r="F15">
        <v>-90.818103875999995</v>
      </c>
      <c r="G15">
        <v>-80.389416726999997</v>
      </c>
      <c r="H15">
        <v>-72.950995587999998</v>
      </c>
      <c r="I15">
        <v>-69.005948789000001</v>
      </c>
      <c r="J15">
        <v>-55.167433537999997</v>
      </c>
      <c r="K15">
        <v>-42.702087894000002</v>
      </c>
      <c r="L15">
        <v>-27.678748577</v>
      </c>
      <c r="M15">
        <v>-26.188833157000001</v>
      </c>
      <c r="N15">
        <v>-18.291123588000001</v>
      </c>
      <c r="O15">
        <v>-49.650559953974643</v>
      </c>
      <c r="P15">
        <v>-82.382440138229867</v>
      </c>
      <c r="Q15">
        <v>-73.490177055542134</v>
      </c>
      <c r="R15">
        <v>-94.161149847710462</v>
      </c>
      <c r="S15">
        <v>-145.62146612439233</v>
      </c>
      <c r="T15">
        <v>-163.59352729855991</v>
      </c>
      <c r="U15">
        <v>-171.32397399628408</v>
      </c>
      <c r="V15">
        <v>-180.91140991828456</v>
      </c>
      <c r="W15">
        <v>-183.61035670554782</v>
      </c>
      <c r="X15">
        <v>-136.60464075813965</v>
      </c>
      <c r="Y15">
        <v>-148.35164010965318</v>
      </c>
      <c r="Z15">
        <v>-148.43924737195238</v>
      </c>
      <c r="AA15">
        <v>-160.63805066967893</v>
      </c>
      <c r="AB15">
        <v>-191.99225056506361</v>
      </c>
      <c r="AC15">
        <v>-179.20045103954115</v>
      </c>
      <c r="AD15">
        <v>-174.58382438532846</v>
      </c>
      <c r="AE15">
        <v>-149.60013383723387</v>
      </c>
      <c r="AF15">
        <v>-132.55608540438811</v>
      </c>
      <c r="AG15">
        <v>-114.95634062324783</v>
      </c>
      <c r="AH15">
        <v>-90.754164651650655</v>
      </c>
      <c r="AI15">
        <v>-119.86121824322392</v>
      </c>
      <c r="AJ15">
        <v>-95.167051679757577</v>
      </c>
      <c r="AK15">
        <v>-67.333904779836189</v>
      </c>
    </row>
    <row r="16" spans="1:37">
      <c r="A16" t="s">
        <v>42</v>
      </c>
      <c r="B16" t="s">
        <v>231</v>
      </c>
      <c r="F16">
        <v>31.900267707000001</v>
      </c>
      <c r="G16">
        <v>18.49797873</v>
      </c>
      <c r="H16">
        <v>16.435434294</v>
      </c>
      <c r="I16">
        <v>49.749513172999997</v>
      </c>
      <c r="J16">
        <v>47.875571469999997</v>
      </c>
      <c r="K16">
        <v>38.677980019000003</v>
      </c>
      <c r="L16">
        <v>21.845774717000001</v>
      </c>
      <c r="M16">
        <v>24.300498549</v>
      </c>
      <c r="N16">
        <v>22.353237955000001</v>
      </c>
      <c r="O16">
        <v>29.020877182377141</v>
      </c>
      <c r="P16">
        <v>27.590971902349239</v>
      </c>
      <c r="Q16">
        <v>24.696444058976606</v>
      </c>
      <c r="R16">
        <v>21.05300307311402</v>
      </c>
      <c r="S16">
        <v>25.547923774900589</v>
      </c>
      <c r="T16">
        <v>27.4686633651637</v>
      </c>
      <c r="U16">
        <v>26.357675581893155</v>
      </c>
      <c r="V16">
        <v>30.647441843709679</v>
      </c>
      <c r="W16">
        <v>29.036342001834907</v>
      </c>
      <c r="X16">
        <v>30.577302795854244</v>
      </c>
      <c r="Y16">
        <v>31.196081971985695</v>
      </c>
      <c r="Z16">
        <v>33.994825718984359</v>
      </c>
      <c r="AA16">
        <v>33.294502730053416</v>
      </c>
      <c r="AB16">
        <v>29.72240828667319</v>
      </c>
      <c r="AC16">
        <v>28.212705455037757</v>
      </c>
      <c r="AD16">
        <v>33.708899486739192</v>
      </c>
      <c r="AE16">
        <v>31.559986565554805</v>
      </c>
      <c r="AF16">
        <v>34.076435377041008</v>
      </c>
      <c r="AG16">
        <v>24.281114404571095</v>
      </c>
      <c r="AH16">
        <v>27.394096607584313</v>
      </c>
      <c r="AI16">
        <v>25.39344659214721</v>
      </c>
      <c r="AJ16">
        <v>27.180585991396821</v>
      </c>
      <c r="AK16">
        <v>26.368061230853151</v>
      </c>
    </row>
    <row r="17" spans="1:37">
      <c r="A17" t="s">
        <v>43</v>
      </c>
      <c r="B17" t="s">
        <v>231</v>
      </c>
      <c r="Y17">
        <v>47.927469215981596</v>
      </c>
      <c r="Z17">
        <v>50.519593801488305</v>
      </c>
      <c r="AA17">
        <v>46.854628884999514</v>
      </c>
      <c r="AB17">
        <v>45.521193149107745</v>
      </c>
      <c r="AC17">
        <v>37.335961793841641</v>
      </c>
      <c r="AD17">
        <v>34.929684845571842</v>
      </c>
      <c r="AE17">
        <v>36.34592274678122</v>
      </c>
      <c r="AF17">
        <v>31.89868000921669</v>
      </c>
      <c r="AG17">
        <v>30.949012331361814</v>
      </c>
      <c r="AH17">
        <v>33.186238524542915</v>
      </c>
      <c r="AI17">
        <v>30.85958981293685</v>
      </c>
      <c r="AJ17">
        <v>30.181618818041684</v>
      </c>
      <c r="AK17">
        <v>23.681778464847241</v>
      </c>
    </row>
    <row r="18" spans="1:37">
      <c r="A18" t="s">
        <v>44</v>
      </c>
      <c r="B18" t="s">
        <v>231</v>
      </c>
      <c r="E18">
        <v>27.922390670999999</v>
      </c>
      <c r="F18">
        <v>27.826399257999999</v>
      </c>
      <c r="G18">
        <v>27.489249876999999</v>
      </c>
      <c r="H18">
        <v>30.851937439</v>
      </c>
      <c r="I18">
        <v>30.023152926000002</v>
      </c>
      <c r="J18">
        <v>29.918803769</v>
      </c>
      <c r="K18">
        <v>32.020563598999999</v>
      </c>
      <c r="L18">
        <v>31.060067918000001</v>
      </c>
      <c r="M18">
        <v>28.442663459999999</v>
      </c>
      <c r="N18">
        <v>25.482915856999998</v>
      </c>
      <c r="O18">
        <v>23.641202530810055</v>
      </c>
      <c r="P18">
        <v>21.066972335164717</v>
      </c>
      <c r="Q18">
        <v>15.693065620936869</v>
      </c>
      <c r="R18">
        <v>12.650433956096341</v>
      </c>
      <c r="S18">
        <v>14.987124744782928</v>
      </c>
      <c r="T18">
        <v>11.70939190591049</v>
      </c>
      <c r="U18">
        <v>9.424874417756989</v>
      </c>
      <c r="V18">
        <v>10.755450688403467</v>
      </c>
      <c r="W18">
        <v>10.973436677581581</v>
      </c>
      <c r="X18">
        <v>6.6022970268623764</v>
      </c>
      <c r="Y18">
        <v>9.4605638084454622</v>
      </c>
      <c r="Z18">
        <v>10.701607643707526</v>
      </c>
      <c r="AA18">
        <v>12.135917029135278</v>
      </c>
      <c r="AB18">
        <v>15.779928930674677</v>
      </c>
      <c r="AC18">
        <v>14.224612104932422</v>
      </c>
      <c r="AD18">
        <v>8.6138733254204531</v>
      </c>
      <c r="AE18">
        <v>2.6730070299051589</v>
      </c>
      <c r="AF18">
        <v>1.1405856097989502</v>
      </c>
      <c r="AG18">
        <v>-0.81675402700063338</v>
      </c>
      <c r="AH18">
        <v>-4.0596361235300238</v>
      </c>
      <c r="AI18">
        <v>-11.167735462127114</v>
      </c>
      <c r="AJ18">
        <v>-3.8476310746701268</v>
      </c>
      <c r="AK18">
        <v>-7.2872105275799193</v>
      </c>
    </row>
    <row r="19" spans="1:37">
      <c r="A19" t="s">
        <v>233</v>
      </c>
      <c r="B19" t="s">
        <v>231</v>
      </c>
      <c r="E19">
        <v>-799.89629567999998</v>
      </c>
      <c r="F19">
        <v>-737.47539099000005</v>
      </c>
      <c r="G19">
        <v>-725.03184279000004</v>
      </c>
      <c r="H19">
        <v>-746.85576571000001</v>
      </c>
      <c r="I19">
        <v>-830.26394530000005</v>
      </c>
      <c r="J19">
        <v>-703.38572384999998</v>
      </c>
      <c r="K19">
        <v>-679.12633145999996</v>
      </c>
      <c r="L19">
        <v>-635.27577888999997</v>
      </c>
      <c r="M19">
        <v>-628.17299005999996</v>
      </c>
      <c r="N19">
        <v>-674.54695554</v>
      </c>
      <c r="O19">
        <v>-725.6539416760138</v>
      </c>
      <c r="P19">
        <v>-790.40928461721501</v>
      </c>
      <c r="Q19">
        <v>-833.77756132116849</v>
      </c>
      <c r="R19">
        <v>-739.14336647632422</v>
      </c>
      <c r="S19">
        <v>-793.86989114274195</v>
      </c>
      <c r="T19">
        <v>-839.54522453462084</v>
      </c>
      <c r="U19">
        <v>-604.86444710481999</v>
      </c>
      <c r="V19">
        <v>-539.09713795246682</v>
      </c>
      <c r="W19">
        <v>-488.91667453052861</v>
      </c>
      <c r="X19">
        <v>-511.89170100058732</v>
      </c>
      <c r="Y19">
        <v>-472.22803578534666</v>
      </c>
      <c r="Z19">
        <v>-376.26828125385441</v>
      </c>
      <c r="AA19">
        <v>-378.75655421371312</v>
      </c>
      <c r="AB19">
        <v>-453.0691219642394</v>
      </c>
      <c r="AC19">
        <v>-351.3807514513008</v>
      </c>
      <c r="AD19">
        <v>-486.23580693921792</v>
      </c>
      <c r="AE19">
        <v>-405.0917844361025</v>
      </c>
      <c r="AF19">
        <v>-332.16901964655875</v>
      </c>
      <c r="AG19">
        <v>-339.57888512958772</v>
      </c>
      <c r="AH19">
        <v>-266.99691598246801</v>
      </c>
      <c r="AI19">
        <v>-245.56381703726879</v>
      </c>
      <c r="AJ19">
        <v>-228.68023149486402</v>
      </c>
      <c r="AK19">
        <v>-172.55263215786266</v>
      </c>
    </row>
    <row r="20" spans="1:37">
      <c r="A20" t="s">
        <v>45</v>
      </c>
      <c r="B20" t="s">
        <v>231</v>
      </c>
      <c r="E20">
        <v>64.133410097999999</v>
      </c>
      <c r="F20">
        <v>64.527991107000005</v>
      </c>
      <c r="G20">
        <v>58.002256361000001</v>
      </c>
      <c r="H20">
        <v>60.340227181000003</v>
      </c>
      <c r="I20">
        <v>56.822670115000001</v>
      </c>
      <c r="J20">
        <v>58.775071263000001</v>
      </c>
      <c r="K20">
        <v>57.437979560999999</v>
      </c>
      <c r="L20">
        <v>51.715600264999999</v>
      </c>
      <c r="M20">
        <v>50.531981815999998</v>
      </c>
      <c r="N20">
        <v>48.712722550000002</v>
      </c>
      <c r="O20">
        <v>46.864953007036199</v>
      </c>
      <c r="P20">
        <v>46.675433256019858</v>
      </c>
      <c r="Q20">
        <v>47.421178618803225</v>
      </c>
      <c r="R20">
        <v>47.428642643146638</v>
      </c>
      <c r="S20">
        <v>49.060098627161594</v>
      </c>
      <c r="T20">
        <v>48.080079474775175</v>
      </c>
      <c r="U20">
        <v>46.864859133348659</v>
      </c>
      <c r="V20">
        <v>51.989495152020027</v>
      </c>
      <c r="W20">
        <v>53.004978898380898</v>
      </c>
      <c r="X20">
        <v>46.382604875905983</v>
      </c>
      <c r="Y20">
        <v>40.852650011737204</v>
      </c>
      <c r="Z20">
        <v>37.237482337925869</v>
      </c>
      <c r="AA20">
        <v>37.354017230753364</v>
      </c>
      <c r="AB20">
        <v>39.053926286708254</v>
      </c>
      <c r="AC20">
        <v>35.715192677602936</v>
      </c>
      <c r="AD20">
        <v>37.131813802841108</v>
      </c>
      <c r="AE20">
        <v>39.329356630009386</v>
      </c>
      <c r="AF20">
        <v>40.266772200286013</v>
      </c>
      <c r="AG20">
        <v>37.37150302830554</v>
      </c>
      <c r="AH20">
        <v>39.323183297250772</v>
      </c>
      <c r="AI20">
        <v>38.92174517509752</v>
      </c>
      <c r="AJ20">
        <v>36.895348895695776</v>
      </c>
      <c r="AK20">
        <v>37.962661064913497</v>
      </c>
    </row>
    <row r="21" spans="1:37">
      <c r="A21" t="s">
        <v>48</v>
      </c>
      <c r="B21" t="s">
        <v>231</v>
      </c>
      <c r="AI21">
        <v>60.586801395617826</v>
      </c>
      <c r="AJ21">
        <v>58.931307994139537</v>
      </c>
    </row>
    <row r="22" spans="1:37">
      <c r="A22" t="s">
        <v>49</v>
      </c>
      <c r="B22" t="s">
        <v>231</v>
      </c>
      <c r="E22">
        <v>-122.14731956999999</v>
      </c>
      <c r="F22">
        <v>-114.05853052000001</v>
      </c>
      <c r="G22">
        <v>-112.07998834999999</v>
      </c>
      <c r="H22">
        <v>-97.988222635</v>
      </c>
      <c r="I22">
        <v>-89.597447958999993</v>
      </c>
      <c r="J22">
        <v>-76.607856752000004</v>
      </c>
      <c r="K22">
        <v>-77.330022516</v>
      </c>
      <c r="L22">
        <v>-82.912802087000003</v>
      </c>
      <c r="M22">
        <v>-86.705099532999995</v>
      </c>
      <c r="N22">
        <v>-80.505660051999996</v>
      </c>
      <c r="O22">
        <v>-75.231121040477362</v>
      </c>
      <c r="P22">
        <v>-65.993055710451415</v>
      </c>
      <c r="Q22">
        <v>-65.534349660340283</v>
      </c>
      <c r="R22">
        <v>-57.267993791203665</v>
      </c>
      <c r="S22">
        <v>-51.692941362248568</v>
      </c>
      <c r="T22">
        <v>-48.453749583814826</v>
      </c>
      <c r="U22">
        <v>-51.024656798292092</v>
      </c>
      <c r="V22">
        <v>-48.753263119992731</v>
      </c>
      <c r="W22">
        <v>-48.308925497544401</v>
      </c>
      <c r="X22">
        <v>-31.552408613607831</v>
      </c>
      <c r="Y22">
        <v>-23.200883830203768</v>
      </c>
      <c r="Z22">
        <v>-13.258851369800539</v>
      </c>
      <c r="AA22">
        <v>-15.074920067619527</v>
      </c>
      <c r="AB22">
        <v>-18.262818816688036</v>
      </c>
      <c r="AC22">
        <v>-19.664628715652345</v>
      </c>
      <c r="AD22">
        <v>-27.961787917212284</v>
      </c>
      <c r="AE22">
        <v>-27.952798996113231</v>
      </c>
      <c r="AF22">
        <v>-20.56483420659346</v>
      </c>
      <c r="AG22">
        <v>-24.050145263240498</v>
      </c>
      <c r="AH22">
        <v>-31.903384164690756</v>
      </c>
      <c r="AI22">
        <v>-31.243404936875951</v>
      </c>
      <c r="AJ22">
        <v>-29.763199616547464</v>
      </c>
      <c r="AK22">
        <v>-28.712684132120447</v>
      </c>
    </row>
    <row r="23" spans="1:37">
      <c r="A23" t="s">
        <v>50</v>
      </c>
      <c r="B23" t="s">
        <v>231</v>
      </c>
      <c r="E23">
        <v>-28.035108915999999</v>
      </c>
      <c r="F23">
        <v>-36.179582525000001</v>
      </c>
      <c r="G23">
        <v>-38.804629673999997</v>
      </c>
      <c r="H23">
        <v>-42.052582551999997</v>
      </c>
      <c r="I23">
        <v>-46.185202869000001</v>
      </c>
      <c r="J23">
        <v>-51.081815392000003</v>
      </c>
      <c r="K23">
        <v>-50.428064804000002</v>
      </c>
      <c r="L23">
        <v>-50.463863336000003</v>
      </c>
      <c r="M23">
        <v>-52.138068212999997</v>
      </c>
      <c r="N23">
        <v>-49.873936010000001</v>
      </c>
      <c r="O23">
        <v>-50.589519233262457</v>
      </c>
      <c r="P23">
        <v>-51.790604506391013</v>
      </c>
      <c r="Q23">
        <v>-54.762451982741233</v>
      </c>
      <c r="R23">
        <v>-49.269133846543028</v>
      </c>
      <c r="S23">
        <v>-50.389794465674484</v>
      </c>
      <c r="T23">
        <v>-47.977100844575375</v>
      </c>
      <c r="U23">
        <v>-50.428760720975859</v>
      </c>
      <c r="V23">
        <v>-54.590048846893126</v>
      </c>
      <c r="W23">
        <v>-52.792558075169602</v>
      </c>
      <c r="X23">
        <v>-52.911170373126268</v>
      </c>
      <c r="Y23">
        <v>-55.142238487718508</v>
      </c>
      <c r="Z23">
        <v>-56.292996009829565</v>
      </c>
      <c r="AA23">
        <v>-59.752254989299317</v>
      </c>
      <c r="AB23">
        <v>-65.704813061921243</v>
      </c>
      <c r="AC23">
        <v>-66.696675219291762</v>
      </c>
      <c r="AD23">
        <v>-68.422155970412987</v>
      </c>
      <c r="AE23">
        <v>-69.117304608807146</v>
      </c>
      <c r="AF23">
        <v>-71.731472577242371</v>
      </c>
      <c r="AG23">
        <v>-75.003400203609743</v>
      </c>
      <c r="AH23">
        <v>-75.769176162835052</v>
      </c>
      <c r="AI23">
        <v>-79.703982171925873</v>
      </c>
      <c r="AJ23">
        <v>-87.58213628761527</v>
      </c>
      <c r="AK23">
        <v>-89.488094833350289</v>
      </c>
    </row>
    <row r="24" spans="1:37">
      <c r="A24" t="s">
        <v>53</v>
      </c>
      <c r="B24" t="s">
        <v>231</v>
      </c>
      <c r="O24">
        <v>3.1943428432089807</v>
      </c>
      <c r="P24">
        <v>3.7381818181818223</v>
      </c>
      <c r="Q24">
        <v>4.5200880692346175</v>
      </c>
      <c r="R24">
        <v>-72.142561917782146</v>
      </c>
      <c r="S24">
        <v>-378.63452435896141</v>
      </c>
      <c r="T24">
        <v>-370.79361224117997</v>
      </c>
      <c r="U24">
        <v>-325.09211862887639</v>
      </c>
      <c r="V24">
        <v>-290.73118364291741</v>
      </c>
      <c r="W24">
        <v>-248.33325343943233</v>
      </c>
      <c r="X24">
        <v>-217.45832586485082</v>
      </c>
      <c r="Y24">
        <v>-225.61287638002295</v>
      </c>
      <c r="Z24">
        <v>-183.96185755845306</v>
      </c>
      <c r="AA24">
        <v>-117.29274713495303</v>
      </c>
      <c r="AB24">
        <v>-132.26487361933079</v>
      </c>
      <c r="AF24">
        <v>-157.66185165780982</v>
      </c>
      <c r="AG24">
        <v>-171.72707700474805</v>
      </c>
      <c r="AH24">
        <v>-204.99154039929314</v>
      </c>
      <c r="AI24">
        <v>-203.00916613987715</v>
      </c>
      <c r="AJ24">
        <v>-176.63057973888831</v>
      </c>
      <c r="AK24">
        <v>-177.76264071493333</v>
      </c>
    </row>
    <row r="25" spans="1:37">
      <c r="A25" t="s">
        <v>54</v>
      </c>
      <c r="B25" t="s">
        <v>231</v>
      </c>
      <c r="E25">
        <v>50.145420201</v>
      </c>
      <c r="F25">
        <v>50.646308464000001</v>
      </c>
      <c r="G25">
        <v>49.546872976000003</v>
      </c>
      <c r="H25">
        <v>51.089244155999999</v>
      </c>
      <c r="I25">
        <v>58.342136672000002</v>
      </c>
      <c r="J25">
        <v>59.085298047000002</v>
      </c>
      <c r="K25">
        <v>64.169371534000007</v>
      </c>
      <c r="L25">
        <v>64.643816646999994</v>
      </c>
      <c r="M25">
        <v>69.505481134999997</v>
      </c>
      <c r="N25">
        <v>71.281616731</v>
      </c>
      <c r="O25">
        <v>70.494044947338907</v>
      </c>
      <c r="P25">
        <v>67.836545714053415</v>
      </c>
      <c r="Q25">
        <v>69.084037561755167</v>
      </c>
      <c r="R25">
        <v>71.333772155268903</v>
      </c>
      <c r="S25">
        <v>75.296819944425337</v>
      </c>
      <c r="T25">
        <v>72.246247217198231</v>
      </c>
      <c r="U25">
        <v>72.933960844713582</v>
      </c>
      <c r="V25">
        <v>77.911739611263854</v>
      </c>
      <c r="W25">
        <v>72.750094296461583</v>
      </c>
      <c r="X25">
        <v>70.243593072647442</v>
      </c>
      <c r="Y25">
        <v>72.27044351373722</v>
      </c>
      <c r="Z25">
        <v>73.831174090794789</v>
      </c>
      <c r="AA25">
        <v>67.138429891349205</v>
      </c>
      <c r="AB25">
        <v>65.871558495117782</v>
      </c>
      <c r="AC25">
        <v>67.25082884162768</v>
      </c>
      <c r="AD25">
        <v>68.184779648823294</v>
      </c>
      <c r="AE25">
        <v>69.176897039506827</v>
      </c>
      <c r="AF25">
        <v>68.361001924861981</v>
      </c>
      <c r="AG25">
        <v>67.663562599835814</v>
      </c>
      <c r="AH25">
        <v>69.22588715228855</v>
      </c>
      <c r="AI25">
        <v>66.718239184976881</v>
      </c>
      <c r="AJ25">
        <v>68.863243042833062</v>
      </c>
      <c r="AK25">
        <v>66.273211615423364</v>
      </c>
    </row>
    <row r="26" spans="1:37">
      <c r="A26" t="s">
        <v>55</v>
      </c>
      <c r="B26" t="s">
        <v>231</v>
      </c>
      <c r="E26">
        <v>-3.9913418349000001</v>
      </c>
      <c r="F26">
        <v>-3.5844945560000001</v>
      </c>
      <c r="G26">
        <v>-2.6338216990999999</v>
      </c>
      <c r="H26">
        <v>-0.36876894225000001</v>
      </c>
      <c r="I26">
        <v>-1.4707249904999999</v>
      </c>
      <c r="J26">
        <v>-1.2456798958999999</v>
      </c>
      <c r="K26">
        <v>-1.1264699601999999</v>
      </c>
      <c r="L26">
        <v>0.64973803101000005</v>
      </c>
      <c r="M26">
        <v>0.30562276311999997</v>
      </c>
      <c r="N26">
        <v>1.2667491962999999</v>
      </c>
      <c r="O26">
        <v>2.4580750592691429</v>
      </c>
      <c r="P26">
        <v>9.5412582437254478E-2</v>
      </c>
      <c r="Q26">
        <v>1.5507739365502493</v>
      </c>
      <c r="R26">
        <v>2.8178771908962497</v>
      </c>
      <c r="S26">
        <v>5.8057074590793496</v>
      </c>
      <c r="T26">
        <v>5.6086158462962814</v>
      </c>
      <c r="U26">
        <v>6.9593964087444409</v>
      </c>
      <c r="V26">
        <v>7.9460986184045135</v>
      </c>
      <c r="W26">
        <v>8.6324519295838034</v>
      </c>
      <c r="X26">
        <v>12.078480320811288</v>
      </c>
      <c r="Y26">
        <v>13.582290186423753</v>
      </c>
      <c r="Z26">
        <v>14.718737569195284</v>
      </c>
      <c r="AA26">
        <v>16.55190762034572</v>
      </c>
      <c r="AB26">
        <v>17.326032008810902</v>
      </c>
      <c r="AC26">
        <v>17.541174936319287</v>
      </c>
      <c r="AD26">
        <v>16.70642274141273</v>
      </c>
      <c r="AE26">
        <v>19.193074005599449</v>
      </c>
      <c r="AF26">
        <v>20.418989987820531</v>
      </c>
      <c r="AG26">
        <v>21.668746469651037</v>
      </c>
      <c r="AH26">
        <v>22.220973887868901</v>
      </c>
      <c r="AI26">
        <v>22.974572192388557</v>
      </c>
      <c r="AJ26">
        <v>21.638660726731992</v>
      </c>
      <c r="AK26">
        <v>20.624558924858444</v>
      </c>
    </row>
    <row r="27" spans="1:37">
      <c r="A27" t="s">
        <v>56</v>
      </c>
      <c r="B27" t="s">
        <v>231</v>
      </c>
      <c r="E27">
        <v>-89.274855943999995</v>
      </c>
      <c r="F27">
        <v>-92.329934855999994</v>
      </c>
      <c r="G27">
        <v>-80.862866092000004</v>
      </c>
      <c r="H27">
        <v>-88.923178473999997</v>
      </c>
      <c r="I27">
        <v>-86.105094354000002</v>
      </c>
      <c r="J27">
        <v>-106.73597203</v>
      </c>
      <c r="K27">
        <v>-125.49443417000001</v>
      </c>
      <c r="L27">
        <v>-139.27357974</v>
      </c>
      <c r="M27">
        <v>-157.17438528</v>
      </c>
      <c r="N27">
        <v>-195.40334428</v>
      </c>
      <c r="O27">
        <v>-183.11662874412616</v>
      </c>
      <c r="P27">
        <v>-176.85945111781473</v>
      </c>
      <c r="Q27">
        <v>-171.42118515152634</v>
      </c>
      <c r="R27">
        <v>-181.33368220454926</v>
      </c>
      <c r="S27">
        <v>-192.72763667299054</v>
      </c>
      <c r="T27">
        <v>-189.66105921060083</v>
      </c>
      <c r="U27">
        <v>-198.79932817785993</v>
      </c>
      <c r="V27">
        <v>-202.67752129592003</v>
      </c>
      <c r="W27">
        <v>-206.85479163314025</v>
      </c>
      <c r="X27">
        <v>-216.44726366920293</v>
      </c>
      <c r="Y27">
        <v>-245.91526329492009</v>
      </c>
      <c r="Z27">
        <v>-284.1845017627677</v>
      </c>
      <c r="AA27">
        <v>-308.77157461624927</v>
      </c>
      <c r="AB27">
        <v>-223.80396677992061</v>
      </c>
      <c r="AC27">
        <v>-237.43278759954487</v>
      </c>
      <c r="AD27">
        <v>-212.76969614301441</v>
      </c>
      <c r="AE27">
        <v>-201.14110114104568</v>
      </c>
      <c r="AF27">
        <v>-250.10760712482724</v>
      </c>
      <c r="AG27">
        <v>-228.78509726312046</v>
      </c>
      <c r="AH27">
        <v>-181.41411240267524</v>
      </c>
      <c r="AI27">
        <v>-192.84562030830506</v>
      </c>
      <c r="AJ27">
        <v>-145.26017037422022</v>
      </c>
      <c r="AK27">
        <v>-139.12419803569566</v>
      </c>
    </row>
    <row r="28" spans="1:37">
      <c r="A28" t="s">
        <v>234</v>
      </c>
      <c r="B28" t="s">
        <v>231</v>
      </c>
      <c r="E28">
        <v>-1002.1234643</v>
      </c>
      <c r="F28">
        <v>-944.82858802999999</v>
      </c>
      <c r="G28">
        <v>-1056.0656412999999</v>
      </c>
      <c r="H28">
        <v>-1153.3976326</v>
      </c>
      <c r="I28">
        <v>-1251.6418719999999</v>
      </c>
      <c r="J28">
        <v>-1148.2769879</v>
      </c>
      <c r="K28">
        <v>-1364.9899206</v>
      </c>
      <c r="L28">
        <v>-1633.8764358999999</v>
      </c>
      <c r="M28">
        <v>-1777.6506182999999</v>
      </c>
      <c r="N28">
        <v>-1939.3452480000001</v>
      </c>
      <c r="O28">
        <v>-1931.3293477530688</v>
      </c>
      <c r="P28">
        <v>-1590.5990341062538</v>
      </c>
      <c r="Q28">
        <v>-1524.6610851234943</v>
      </c>
      <c r="R28">
        <v>-1166.2475699967147</v>
      </c>
      <c r="S28">
        <v>-1135.5994704992436</v>
      </c>
      <c r="T28">
        <v>-1152.2312886269167</v>
      </c>
      <c r="U28">
        <v>-998.36697587501271</v>
      </c>
      <c r="V28">
        <v>-892.29105808263307</v>
      </c>
      <c r="W28">
        <v>-875.81705135245102</v>
      </c>
      <c r="X28">
        <v>-922.4426438173308</v>
      </c>
      <c r="Y28">
        <v>-934.27952576379539</v>
      </c>
      <c r="Z28">
        <v>-632.16269140637428</v>
      </c>
      <c r="AA28">
        <v>-537.70637150136565</v>
      </c>
      <c r="AB28">
        <v>-453.84970441513326</v>
      </c>
      <c r="AC28">
        <v>-459.95643834142959</v>
      </c>
      <c r="AD28">
        <v>-420.1744043024238</v>
      </c>
      <c r="AE28">
        <v>-395.3551088913685</v>
      </c>
      <c r="AF28">
        <v>-463.7608327360403</v>
      </c>
      <c r="AG28">
        <v>-548.50069817527731</v>
      </c>
      <c r="AH28">
        <v>-511.22992700729799</v>
      </c>
      <c r="AI28">
        <v>-452.50849136711128</v>
      </c>
      <c r="AJ28">
        <v>-391.39311504327259</v>
      </c>
      <c r="AK28">
        <v>-347.41986542815175</v>
      </c>
    </row>
    <row r="29" spans="1:37">
      <c r="A29" t="s">
        <v>59</v>
      </c>
      <c r="B29" t="s">
        <v>231</v>
      </c>
      <c r="E29">
        <v>62.001338783000001</v>
      </c>
      <c r="F29">
        <v>60.446919876999999</v>
      </c>
      <c r="G29">
        <v>62.720460615999997</v>
      </c>
      <c r="H29">
        <v>63.856182521999997</v>
      </c>
      <c r="I29">
        <v>66.885486555</v>
      </c>
      <c r="J29">
        <v>69.979130364</v>
      </c>
      <c r="K29">
        <v>66.807883959999998</v>
      </c>
      <c r="L29">
        <v>64.959257266999998</v>
      </c>
      <c r="M29">
        <v>72.538273485000005</v>
      </c>
      <c r="N29">
        <v>71.233486580000005</v>
      </c>
      <c r="O29">
        <v>61.41813436619492</v>
      </c>
      <c r="P29">
        <v>65.25215810994996</v>
      </c>
      <c r="Q29">
        <v>64.244490670503936</v>
      </c>
      <c r="R29">
        <v>62.669800889006034</v>
      </c>
      <c r="S29">
        <v>52.036171183952575</v>
      </c>
      <c r="T29">
        <v>54.956832757770236</v>
      </c>
      <c r="U29">
        <v>54.481972272015632</v>
      </c>
      <c r="V29">
        <v>56.272567056396042</v>
      </c>
      <c r="W29">
        <v>57.266885498305257</v>
      </c>
      <c r="X29">
        <v>51.888476348363163</v>
      </c>
      <c r="Y29">
        <v>53.243569553805791</v>
      </c>
      <c r="Z29">
        <v>54.34838197919882</v>
      </c>
      <c r="AA29">
        <v>50.292123975301649</v>
      </c>
      <c r="AB29">
        <v>51.041447707859668</v>
      </c>
      <c r="AC29">
        <v>52.250373139598985</v>
      </c>
      <c r="AD29">
        <v>50.898603462792877</v>
      </c>
      <c r="AE29">
        <v>56.106192955109201</v>
      </c>
      <c r="AF29">
        <v>60.518740629685311</v>
      </c>
      <c r="AG29">
        <v>58.36691861968275</v>
      </c>
      <c r="AH29">
        <v>57.963810665068848</v>
      </c>
      <c r="AI29">
        <v>46.820615629202635</v>
      </c>
      <c r="AJ29">
        <v>53.383697248140891</v>
      </c>
      <c r="AK29">
        <v>53.080233229634423</v>
      </c>
    </row>
    <row r="30" spans="1:37">
      <c r="A30" t="s">
        <v>235</v>
      </c>
      <c r="B30" t="s">
        <v>231</v>
      </c>
      <c r="E30">
        <v>25.079007392000001</v>
      </c>
      <c r="F30">
        <v>26.590765811000001</v>
      </c>
      <c r="G30">
        <v>26.186825513999999</v>
      </c>
      <c r="H30">
        <v>25.63443973</v>
      </c>
      <c r="I30">
        <v>25.420653935000001</v>
      </c>
      <c r="J30">
        <v>20.892431017</v>
      </c>
      <c r="K30">
        <v>14.080341232</v>
      </c>
      <c r="L30">
        <v>11.050065493</v>
      </c>
      <c r="M30">
        <v>11.343933270999999</v>
      </c>
      <c r="N30">
        <v>17.076744218000002</v>
      </c>
      <c r="O30">
        <v>14.600339747264613</v>
      </c>
      <c r="P30">
        <v>11.590095410844356</v>
      </c>
      <c r="Q30">
        <v>9.2432547095574282</v>
      </c>
      <c r="R30">
        <v>-7.9621004020757943E-3</v>
      </c>
      <c r="S30">
        <v>-1.7069851052901974</v>
      </c>
      <c r="T30">
        <v>-7.2926209788542407</v>
      </c>
      <c r="U30">
        <v>-24.056513264863</v>
      </c>
      <c r="V30">
        <v>-12.821685678697877</v>
      </c>
      <c r="W30">
        <v>-13.484113685055712</v>
      </c>
      <c r="X30">
        <v>-15.865258504111711</v>
      </c>
      <c r="Y30">
        <v>-10.283548334257727</v>
      </c>
      <c r="Z30">
        <v>-6.3644340007966358</v>
      </c>
      <c r="AA30">
        <v>1.6296279246411114</v>
      </c>
      <c r="AB30">
        <v>6.0660659318059276</v>
      </c>
      <c r="AC30">
        <v>7.717423633708119</v>
      </c>
      <c r="AD30">
        <v>3.2078959041845683</v>
      </c>
      <c r="AE30">
        <v>5.1000774338878569</v>
      </c>
      <c r="AF30">
        <v>3.0147242893880457</v>
      </c>
      <c r="AG30">
        <v>7.7921101398092123</v>
      </c>
      <c r="AH30">
        <v>4.6010464431865197</v>
      </c>
      <c r="AI30">
        <v>8.1437855849073948</v>
      </c>
      <c r="AJ30">
        <v>13.230067333927401</v>
      </c>
      <c r="AK30">
        <v>14.378609226628155</v>
      </c>
    </row>
    <row r="31" spans="1:37">
      <c r="A31" t="s">
        <v>60</v>
      </c>
      <c r="B31" t="s">
        <v>231</v>
      </c>
      <c r="E31">
        <v>40.955874012000002</v>
      </c>
      <c r="F31">
        <v>30.903326176</v>
      </c>
      <c r="G31">
        <v>36.135951857000002</v>
      </c>
      <c r="H31">
        <v>34.033681393000002</v>
      </c>
      <c r="I31">
        <v>37.598811814999998</v>
      </c>
      <c r="J31">
        <v>35.985977767000001</v>
      </c>
      <c r="K31">
        <v>41.468945656000002</v>
      </c>
      <c r="L31">
        <v>43.851040986999998</v>
      </c>
      <c r="M31">
        <v>46.645048005</v>
      </c>
      <c r="N31">
        <v>49.547661711000003</v>
      </c>
      <c r="O31">
        <v>48.890390577973598</v>
      </c>
      <c r="P31">
        <v>47.117869808258696</v>
      </c>
      <c r="Q31">
        <v>54.987079965546535</v>
      </c>
      <c r="R31">
        <v>51.169738417759788</v>
      </c>
      <c r="S31">
        <v>52.436005976095693</v>
      </c>
      <c r="T31">
        <v>53.256358399215607</v>
      </c>
      <c r="U31">
        <v>49.7797139609822</v>
      </c>
      <c r="V31">
        <v>52.477298450338935</v>
      </c>
      <c r="W31">
        <v>55.536239082743457</v>
      </c>
      <c r="X31">
        <v>46.635023996812208</v>
      </c>
      <c r="Y31">
        <v>47.349206227803862</v>
      </c>
      <c r="Z31">
        <v>50.458576676161059</v>
      </c>
      <c r="AA31">
        <v>50.639289678135327</v>
      </c>
      <c r="AB31">
        <v>48.282438962179938</v>
      </c>
      <c r="AC31">
        <v>45.019109190270356</v>
      </c>
      <c r="AD31">
        <v>49.628924508082711</v>
      </c>
      <c r="AE31">
        <v>49.307656208477745</v>
      </c>
      <c r="AF31">
        <v>54.257563362053673</v>
      </c>
      <c r="AG31">
        <v>54.123044016661005</v>
      </c>
      <c r="AH31">
        <v>57.796268210215892</v>
      </c>
      <c r="AI31">
        <v>54.170846113259628</v>
      </c>
      <c r="AJ31">
        <v>55.430659493878764</v>
      </c>
      <c r="AK31">
        <v>61.89553568861934</v>
      </c>
    </row>
    <row r="32" spans="1:37">
      <c r="A32" t="s">
        <v>61</v>
      </c>
      <c r="B32" t="s">
        <v>231</v>
      </c>
      <c r="U32">
        <v>49.792369145449129</v>
      </c>
      <c r="V32">
        <v>47.918472011352833</v>
      </c>
      <c r="W32">
        <v>51.244614009577894</v>
      </c>
      <c r="X32">
        <v>55.537393943700998</v>
      </c>
      <c r="Y32">
        <v>61.50433218414382</v>
      </c>
      <c r="Z32">
        <v>57.41036134391554</v>
      </c>
      <c r="AA32">
        <v>58.170102102256102</v>
      </c>
      <c r="AB32">
        <v>56.995895885084771</v>
      </c>
      <c r="AC32">
        <v>54.186043427520673</v>
      </c>
      <c r="AD32">
        <v>54.839625073380269</v>
      </c>
      <c r="AE32">
        <v>58.750618090630034</v>
      </c>
      <c r="AF32">
        <v>55.238831093573005</v>
      </c>
      <c r="AG32">
        <v>50.393946353669236</v>
      </c>
      <c r="AH32">
        <v>52.813624618507191</v>
      </c>
      <c r="AI32">
        <v>53.593770714051679</v>
      </c>
      <c r="AJ32">
        <v>58.138480437384374</v>
      </c>
      <c r="AK32">
        <v>62.813333227421651</v>
      </c>
    </row>
    <row r="33" spans="1:37">
      <c r="A33" t="s">
        <v>236</v>
      </c>
      <c r="B33" t="s">
        <v>231</v>
      </c>
      <c r="E33">
        <v>215.07558263000001</v>
      </c>
      <c r="F33">
        <v>201.40377408000001</v>
      </c>
      <c r="G33">
        <v>247.42082306</v>
      </c>
      <c r="H33">
        <v>247.70628482000001</v>
      </c>
      <c r="I33">
        <v>241.35279001000001</v>
      </c>
      <c r="J33">
        <v>240.64476267000001</v>
      </c>
      <c r="K33">
        <v>237.60665605</v>
      </c>
      <c r="L33">
        <v>176.28319830000001</v>
      </c>
      <c r="M33">
        <v>169.18649540000001</v>
      </c>
      <c r="N33">
        <v>196.14470464999999</v>
      </c>
      <c r="O33">
        <v>197.3038548752844</v>
      </c>
      <c r="P33">
        <v>193.54824513147605</v>
      </c>
      <c r="Q33">
        <v>195.54145118320022</v>
      </c>
      <c r="R33">
        <v>200.50584479601775</v>
      </c>
      <c r="S33">
        <v>195.84743018568795</v>
      </c>
      <c r="T33">
        <v>200.96229081268976</v>
      </c>
      <c r="U33">
        <v>204.84638787806625</v>
      </c>
      <c r="V33">
        <v>194.839518397186</v>
      </c>
      <c r="W33">
        <v>201.40061269918391</v>
      </c>
      <c r="X33">
        <v>196.99187594665744</v>
      </c>
      <c r="Y33">
        <v>210.13849816057123</v>
      </c>
      <c r="Z33">
        <v>201.88631346578413</v>
      </c>
      <c r="AA33">
        <v>199.0236648131399</v>
      </c>
      <c r="AB33">
        <v>203.850448972148</v>
      </c>
      <c r="AC33">
        <v>192.12151047115157</v>
      </c>
      <c r="AD33">
        <v>190.39331327581647</v>
      </c>
      <c r="AE33">
        <v>204.73102312145608</v>
      </c>
      <c r="AF33">
        <v>223.77125193199348</v>
      </c>
      <c r="AG33">
        <v>236.11900252525294</v>
      </c>
    </row>
    <row r="34" spans="1:37">
      <c r="A34" t="s">
        <v>62</v>
      </c>
      <c r="B34" t="s">
        <v>231</v>
      </c>
      <c r="K34">
        <v>116.39848288</v>
      </c>
      <c r="AD34">
        <v>120.80098079280759</v>
      </c>
      <c r="AE34">
        <v>120.81703321389018</v>
      </c>
      <c r="AJ34">
        <v>108.44314830734409</v>
      </c>
      <c r="AK34">
        <v>117.03785835367879</v>
      </c>
    </row>
    <row r="35" spans="1:37">
      <c r="A35" t="s">
        <v>237</v>
      </c>
      <c r="B35" t="s">
        <v>231</v>
      </c>
      <c r="E35">
        <v>15.286445507</v>
      </c>
      <c r="F35">
        <v>15.710723981999999</v>
      </c>
      <c r="G35">
        <v>15.792552990000001</v>
      </c>
      <c r="H35">
        <v>15.916367935</v>
      </c>
      <c r="I35">
        <v>18.753967660000001</v>
      </c>
      <c r="J35">
        <v>20.551217139999999</v>
      </c>
      <c r="K35">
        <v>24.226558174000001</v>
      </c>
      <c r="L35">
        <v>24.106357325000001</v>
      </c>
      <c r="M35">
        <v>25.114363094000002</v>
      </c>
      <c r="N35">
        <v>25.081736508999999</v>
      </c>
      <c r="O35">
        <v>22.77986330136137</v>
      </c>
      <c r="P35">
        <v>25.136099912550673</v>
      </c>
      <c r="Q35">
        <v>26.33594510485181</v>
      </c>
      <c r="R35">
        <v>25.062337414037465</v>
      </c>
      <c r="S35">
        <v>25.557503403803878</v>
      </c>
      <c r="T35">
        <v>28.103739589013021</v>
      </c>
      <c r="U35">
        <v>27.66613399731197</v>
      </c>
      <c r="V35">
        <v>25.130086345069973</v>
      </c>
      <c r="W35">
        <v>27.930635386861784</v>
      </c>
      <c r="X35">
        <v>27.000781249561847</v>
      </c>
      <c r="Y35">
        <v>25.554911055458263</v>
      </c>
      <c r="Z35">
        <v>28.884720827428588</v>
      </c>
      <c r="AA35">
        <v>25.429576066827899</v>
      </c>
      <c r="AB35">
        <v>27.710578403342872</v>
      </c>
      <c r="AC35">
        <v>30.286925349059473</v>
      </c>
      <c r="AD35">
        <v>32.117294781053303</v>
      </c>
      <c r="AE35">
        <v>32.877932724099203</v>
      </c>
      <c r="AF35">
        <v>37.288014125868202</v>
      </c>
      <c r="AG35">
        <v>37.086659645649704</v>
      </c>
      <c r="AH35">
        <v>41.017300221502353</v>
      </c>
      <c r="AI35">
        <v>38.784970514780085</v>
      </c>
      <c r="AJ35">
        <v>40.026140655108016</v>
      </c>
      <c r="AK35">
        <v>42.023363739669158</v>
      </c>
    </row>
    <row r="36" spans="1:37">
      <c r="A36" t="s">
        <v>64</v>
      </c>
      <c r="B36" t="s">
        <v>231</v>
      </c>
      <c r="E36">
        <v>49.818730868000003</v>
      </c>
      <c r="F36">
        <v>42.751863172</v>
      </c>
      <c r="G36">
        <v>40.187631902</v>
      </c>
      <c r="H36">
        <v>30.103981388000001</v>
      </c>
      <c r="I36">
        <v>30.248664947999998</v>
      </c>
      <c r="J36">
        <v>37.479657381999999</v>
      </c>
      <c r="K36">
        <v>24.269617456999999</v>
      </c>
      <c r="L36">
        <v>17.402777908000001</v>
      </c>
      <c r="M36">
        <v>6.1702937592999998</v>
      </c>
      <c r="N36">
        <v>-18.762203382999999</v>
      </c>
      <c r="O36">
        <v>-40.050455935619709</v>
      </c>
      <c r="P36">
        <v>-31.520105982519404</v>
      </c>
      <c r="Q36">
        <v>-45.964934322526638</v>
      </c>
      <c r="R36">
        <v>-34.238571262239965</v>
      </c>
      <c r="S36">
        <v>-51.115235015468983</v>
      </c>
      <c r="T36">
        <v>-55.21661099566613</v>
      </c>
      <c r="U36">
        <v>-38.957808486355759</v>
      </c>
      <c r="V36">
        <v>-26.753259908759773</v>
      </c>
      <c r="W36">
        <v>-23.265114616381467</v>
      </c>
      <c r="X36">
        <v>-20.242147270854939</v>
      </c>
      <c r="Y36">
        <v>-17.63265135319056</v>
      </c>
      <c r="Z36">
        <v>-6.9301773508345281</v>
      </c>
      <c r="AA36">
        <v>-3.4730255839823871</v>
      </c>
      <c r="AB36">
        <v>13.334642658076485</v>
      </c>
      <c r="AC36">
        <v>13.46039151626629</v>
      </c>
      <c r="AD36">
        <v>14.419149589196339</v>
      </c>
      <c r="AE36">
        <v>14.973742548609692</v>
      </c>
      <c r="AF36">
        <v>12.471321909774915</v>
      </c>
      <c r="AG36">
        <v>25.164626991502015</v>
      </c>
      <c r="AH36">
        <v>43.767617174696923</v>
      </c>
      <c r="AI36">
        <v>48.334348090806181</v>
      </c>
      <c r="AJ36">
        <v>34.830755754422746</v>
      </c>
      <c r="AK36">
        <v>47.395719820564217</v>
      </c>
    </row>
    <row r="37" spans="1:37">
      <c r="A37" t="s">
        <v>67</v>
      </c>
      <c r="B37" t="s">
        <v>231</v>
      </c>
      <c r="AA37">
        <v>93.229324310960308</v>
      </c>
      <c r="AB37">
        <v>93.032547561237976</v>
      </c>
      <c r="AC37">
        <v>93.565312420443448</v>
      </c>
      <c r="AD37">
        <v>95.356582453865656</v>
      </c>
      <c r="AE37">
        <v>94.424445936870313</v>
      </c>
      <c r="AF37">
        <v>93.040809397704919</v>
      </c>
      <c r="AG37">
        <v>93.420206168588834</v>
      </c>
      <c r="AH37">
        <v>93.940653914164784</v>
      </c>
      <c r="AI37">
        <v>89.586616403506042</v>
      </c>
      <c r="AJ37">
        <v>91.287379972564679</v>
      </c>
      <c r="AK37">
        <v>94.420689207664097</v>
      </c>
    </row>
    <row r="38" spans="1:37">
      <c r="A38" t="s">
        <v>68</v>
      </c>
      <c r="B38" t="s">
        <v>231</v>
      </c>
      <c r="E38">
        <v>-159.27593103000001</v>
      </c>
      <c r="F38">
        <v>-156.9345424</v>
      </c>
      <c r="G38">
        <v>-178.57530456999999</v>
      </c>
      <c r="H38">
        <v>-199.70293903999999</v>
      </c>
      <c r="I38">
        <v>-200.15316221</v>
      </c>
      <c r="J38">
        <v>-177.25403804999999</v>
      </c>
      <c r="K38">
        <v>-160.39118184</v>
      </c>
      <c r="L38">
        <v>-144.82279187</v>
      </c>
      <c r="M38">
        <v>-137.87268637</v>
      </c>
      <c r="N38">
        <v>-157.39993636</v>
      </c>
      <c r="O38">
        <v>-169.13479474175858</v>
      </c>
      <c r="P38">
        <v>-155.41630925039448</v>
      </c>
      <c r="Q38">
        <v>-131.04701468055478</v>
      </c>
      <c r="R38">
        <v>-123.53776013283122</v>
      </c>
      <c r="S38">
        <v>-168.17066795351187</v>
      </c>
      <c r="T38">
        <v>-149.12925772283199</v>
      </c>
      <c r="U38">
        <v>-153.09401852355072</v>
      </c>
      <c r="V38">
        <v>-129.46671160081749</v>
      </c>
      <c r="W38">
        <v>-150.58345613982431</v>
      </c>
      <c r="X38">
        <v>-118.84378237638336</v>
      </c>
      <c r="Y38">
        <v>-106.15226153320701</v>
      </c>
      <c r="Z38">
        <v>-104.74999912580959</v>
      </c>
      <c r="AA38">
        <v>-108.89053420937809</v>
      </c>
      <c r="AB38">
        <v>-105.56654042810622</v>
      </c>
      <c r="AC38">
        <v>-98.81867099729773</v>
      </c>
      <c r="AD38">
        <v>-101.68851711169704</v>
      </c>
      <c r="AE38">
        <v>-113.62960469554757</v>
      </c>
      <c r="AF38">
        <v>-104.55085790829408</v>
      </c>
      <c r="AG38">
        <v>-98.711527463410206</v>
      </c>
      <c r="AH38">
        <v>-95.754231825890443</v>
      </c>
      <c r="AI38">
        <v>-105.89821625406415</v>
      </c>
      <c r="AJ38">
        <v>-75.605149717393132</v>
      </c>
      <c r="AK38">
        <v>-69.401314941725019</v>
      </c>
    </row>
    <row r="39" spans="1:37">
      <c r="A39" t="s">
        <v>238</v>
      </c>
      <c r="B39" t="s">
        <v>231</v>
      </c>
      <c r="E39">
        <v>-61.760887777000001</v>
      </c>
      <c r="F39">
        <v>-61.844371969000001</v>
      </c>
      <c r="G39">
        <v>-66.239940970000006</v>
      </c>
      <c r="H39">
        <v>-65.836085921999995</v>
      </c>
      <c r="I39">
        <v>-67.704471283000004</v>
      </c>
      <c r="J39">
        <v>-60.061573783999997</v>
      </c>
      <c r="K39">
        <v>-46.313477358999997</v>
      </c>
      <c r="L39">
        <v>-38.201695254000001</v>
      </c>
      <c r="M39">
        <v>-30.310217936000001</v>
      </c>
      <c r="N39">
        <v>-31.280713339999998</v>
      </c>
      <c r="O39">
        <v>-23.171586326496008</v>
      </c>
      <c r="P39">
        <v>-17.838430503500746</v>
      </c>
      <c r="Q39">
        <v>-19.274930984127703</v>
      </c>
      <c r="R39">
        <v>-19.317781800660775</v>
      </c>
      <c r="S39">
        <v>-11.46463767121714</v>
      </c>
      <c r="T39">
        <v>-22.487341836775197</v>
      </c>
      <c r="U39">
        <v>-20.936626686994906</v>
      </c>
      <c r="V39">
        <v>-19.330359795005073</v>
      </c>
      <c r="W39">
        <v>-21.079933718271558</v>
      </c>
      <c r="X39">
        <v>-16.965406749765094</v>
      </c>
      <c r="Y39">
        <v>-15.282542001040969</v>
      </c>
      <c r="Z39">
        <v>-9.0916767957982199</v>
      </c>
      <c r="AA39">
        <v>-3.8239380219027495</v>
      </c>
      <c r="AB39">
        <v>0.75107387351062171</v>
      </c>
      <c r="AC39">
        <v>8.0901448411887671</v>
      </c>
      <c r="AD39">
        <v>12.861114561705458</v>
      </c>
      <c r="AE39">
        <v>19.053989787273487</v>
      </c>
      <c r="AF39">
        <v>14.12995203980992</v>
      </c>
      <c r="AG39">
        <v>4.9957345889152789</v>
      </c>
      <c r="AH39">
        <v>-0.53103398238945687</v>
      </c>
      <c r="AI39">
        <v>-6.8294371805806525E-2</v>
      </c>
      <c r="AJ39">
        <v>1.6352103723588689</v>
      </c>
      <c r="AK39">
        <v>9.7851068449782463</v>
      </c>
    </row>
    <row r="40" spans="1:37">
      <c r="A40" t="s">
        <v>70</v>
      </c>
      <c r="B40" t="s">
        <v>231</v>
      </c>
      <c r="E40">
        <v>32.053477280999999</v>
      </c>
      <c r="F40">
        <v>37.633188156999999</v>
      </c>
      <c r="G40">
        <v>39.759939985000003</v>
      </c>
      <c r="H40">
        <v>44.605664593</v>
      </c>
      <c r="I40">
        <v>44.179066110000001</v>
      </c>
      <c r="J40">
        <v>49.276845553999998</v>
      </c>
      <c r="K40">
        <v>45.558366192999998</v>
      </c>
      <c r="L40">
        <v>48.698654986000001</v>
      </c>
      <c r="M40">
        <v>51.401856946000002</v>
      </c>
      <c r="N40">
        <v>48.462919225</v>
      </c>
      <c r="O40">
        <v>59.872954591367154</v>
      </c>
      <c r="P40">
        <v>56.654078124119181</v>
      </c>
      <c r="Q40">
        <v>55.983588029399179</v>
      </c>
      <c r="R40">
        <v>57.517017247556034</v>
      </c>
      <c r="S40">
        <v>57.277762989441051</v>
      </c>
      <c r="T40">
        <v>54.22966696313857</v>
      </c>
      <c r="U40">
        <v>53.502166407933302</v>
      </c>
      <c r="V40">
        <v>56.26319674523188</v>
      </c>
      <c r="W40">
        <v>50.574498688552502</v>
      </c>
      <c r="X40">
        <v>50.965735299171854</v>
      </c>
      <c r="Y40">
        <v>49.375187048612943</v>
      </c>
      <c r="Z40">
        <v>49.699279630300971</v>
      </c>
      <c r="AA40">
        <v>49.569779292600188</v>
      </c>
      <c r="AB40">
        <v>52.717820556649372</v>
      </c>
      <c r="AC40">
        <v>56.10994010974899</v>
      </c>
      <c r="AD40">
        <v>58.398868199027497</v>
      </c>
      <c r="AE40">
        <v>58.376272041714458</v>
      </c>
      <c r="AF40">
        <v>54.946927008255741</v>
      </c>
      <c r="AG40">
        <v>57.451913773752928</v>
      </c>
      <c r="AH40">
        <v>61.322794993417816</v>
      </c>
      <c r="AI40">
        <v>51.479107217402778</v>
      </c>
      <c r="AJ40">
        <v>56.933114098856528</v>
      </c>
      <c r="AK40">
        <v>59.505444758337923</v>
      </c>
    </row>
    <row r="41" spans="1:37">
      <c r="A41" t="s">
        <v>72</v>
      </c>
      <c r="B41" t="s">
        <v>231</v>
      </c>
      <c r="G41">
        <v>44.788632714000002</v>
      </c>
      <c r="H41">
        <v>40.009852727999998</v>
      </c>
      <c r="I41">
        <v>47.397129427000003</v>
      </c>
      <c r="J41">
        <v>40.601287790000001</v>
      </c>
      <c r="K41">
        <v>42.539849040999997</v>
      </c>
      <c r="L41">
        <v>33.015341573999997</v>
      </c>
      <c r="S41">
        <v>34.789749204502698</v>
      </c>
    </row>
    <row r="42" spans="1:37">
      <c r="A42" t="s">
        <v>73</v>
      </c>
      <c r="B42" t="s">
        <v>231</v>
      </c>
      <c r="E42">
        <v>42.044637715</v>
      </c>
      <c r="F42">
        <v>40.123352525000001</v>
      </c>
      <c r="G42">
        <v>35.847851593999998</v>
      </c>
      <c r="H42">
        <v>37.623640612000003</v>
      </c>
      <c r="I42">
        <v>35.376072249000003</v>
      </c>
      <c r="J42">
        <v>33.608369940999999</v>
      </c>
      <c r="K42">
        <v>30.902923074</v>
      </c>
      <c r="L42">
        <v>30.960387073</v>
      </c>
      <c r="M42">
        <v>38.430347523999998</v>
      </c>
      <c r="N42">
        <v>36.216509739999999</v>
      </c>
      <c r="O42">
        <v>34.749310318645399</v>
      </c>
      <c r="P42">
        <v>34.433333652915096</v>
      </c>
      <c r="Q42">
        <v>32.859685751073414</v>
      </c>
      <c r="R42">
        <v>30.142616337430567</v>
      </c>
      <c r="S42">
        <v>31.089280170310918</v>
      </c>
      <c r="T42">
        <v>27.826415293156824</v>
      </c>
      <c r="U42">
        <v>31.595207428750921</v>
      </c>
      <c r="V42">
        <v>25.667673256984365</v>
      </c>
      <c r="W42">
        <v>28.802559690905277</v>
      </c>
      <c r="X42">
        <v>28.332232707751931</v>
      </c>
      <c r="Y42">
        <v>15.411623357119028</v>
      </c>
      <c r="Z42">
        <v>14.326550711090327</v>
      </c>
      <c r="AA42">
        <v>22.467275825809345</v>
      </c>
      <c r="AB42">
        <v>15.849617793538991</v>
      </c>
      <c r="AC42">
        <v>12.465659783576086</v>
      </c>
      <c r="AD42">
        <v>12.008668176882034</v>
      </c>
      <c r="AE42">
        <v>8.58616288380267</v>
      </c>
      <c r="AF42">
        <v>4.811124118436517</v>
      </c>
      <c r="AG42">
        <v>1.4647193324390093</v>
      </c>
      <c r="AH42">
        <v>5.1176670124326771</v>
      </c>
      <c r="AI42">
        <v>11.481617784320333</v>
      </c>
      <c r="AJ42">
        <v>1.6917913300277019</v>
      </c>
      <c r="AK42">
        <v>6.8336393171833247</v>
      </c>
    </row>
    <row r="43" spans="1:37">
      <c r="A43" t="s">
        <v>74</v>
      </c>
      <c r="B43" t="s">
        <v>231</v>
      </c>
      <c r="L43">
        <v>15.441048035</v>
      </c>
      <c r="M43">
        <v>16.835116193000001</v>
      </c>
      <c r="N43">
        <v>12.822047697</v>
      </c>
      <c r="O43">
        <v>14.578679183714454</v>
      </c>
      <c r="P43">
        <v>18.588557377880218</v>
      </c>
      <c r="Q43">
        <v>12.062668446638648</v>
      </c>
      <c r="R43">
        <v>9.3460566937973333</v>
      </c>
      <c r="S43">
        <v>5.697568586659707</v>
      </c>
      <c r="T43">
        <v>8.7740105710970422</v>
      </c>
      <c r="U43">
        <v>10.887432121716138</v>
      </c>
      <c r="V43">
        <v>10.829493087557637</v>
      </c>
      <c r="W43">
        <v>10.276989331506416</v>
      </c>
      <c r="X43">
        <v>12.967949274732945</v>
      </c>
      <c r="Y43">
        <v>12.851157889325831</v>
      </c>
      <c r="Z43">
        <v>23.419503455336628</v>
      </c>
      <c r="AA43">
        <v>26.477995475306209</v>
      </c>
      <c r="AB43">
        <v>19.116309828883189</v>
      </c>
      <c r="AC43">
        <v>22.699617386940993</v>
      </c>
      <c r="AD43">
        <v>23.270678944529909</v>
      </c>
      <c r="AE43">
        <v>25.707921090128195</v>
      </c>
      <c r="AF43">
        <v>29.762890010758973</v>
      </c>
      <c r="AG43">
        <v>29.108959937253498</v>
      </c>
      <c r="AH43">
        <v>31.478770131771565</v>
      </c>
      <c r="AI43">
        <v>26.880352237841283</v>
      </c>
      <c r="AJ43">
        <v>25.438085327783483</v>
      </c>
      <c r="AK43">
        <v>20.552955841183469</v>
      </c>
    </row>
    <row r="44" spans="1:37">
      <c r="A44" t="s">
        <v>239</v>
      </c>
      <c r="B44" t="s">
        <v>231</v>
      </c>
      <c r="E44">
        <v>5.7127832619000003</v>
      </c>
      <c r="F44">
        <v>5.6798719970000002</v>
      </c>
      <c r="G44">
        <v>3.0759193220999999</v>
      </c>
      <c r="H44">
        <v>3.7904134427999998</v>
      </c>
      <c r="I44">
        <v>4.2462396384999996</v>
      </c>
      <c r="J44">
        <v>4.6167077927999998</v>
      </c>
      <c r="K44">
        <v>4.8041740445999999</v>
      </c>
      <c r="L44">
        <v>4.4880196633000002</v>
      </c>
      <c r="Z44">
        <v>7.0767809501715115</v>
      </c>
      <c r="AA44">
        <v>7.4170006933092409</v>
      </c>
      <c r="AB44">
        <v>8.2280906633288566</v>
      </c>
      <c r="AC44">
        <v>9.1595137575062786</v>
      </c>
      <c r="AD44">
        <v>9.3608174817867802</v>
      </c>
      <c r="AE44">
        <v>10.216859513003937</v>
      </c>
      <c r="AF44">
        <v>10.52050159405859</v>
      </c>
      <c r="AG44">
        <v>11.236527144085175</v>
      </c>
      <c r="AH44">
        <v>12.044911617787465</v>
      </c>
      <c r="AI44">
        <v>9.5256989781192889</v>
      </c>
      <c r="AJ44">
        <v>11.144845014939692</v>
      </c>
      <c r="AK44">
        <v>10.792496121342735</v>
      </c>
    </row>
    <row r="45" spans="1:37">
      <c r="A45" t="s">
        <v>77</v>
      </c>
      <c r="B45" t="s">
        <v>231</v>
      </c>
      <c r="E45">
        <v>62.814927148999999</v>
      </c>
      <c r="F45">
        <v>58.403227854000001</v>
      </c>
      <c r="G45">
        <v>57.578801417000001</v>
      </c>
      <c r="H45">
        <v>57.194087019999998</v>
      </c>
      <c r="I45">
        <v>67.048594628999993</v>
      </c>
      <c r="J45">
        <v>54.418802861000003</v>
      </c>
      <c r="K45">
        <v>55.943634461000002</v>
      </c>
      <c r="L45">
        <v>57.207612707999999</v>
      </c>
      <c r="M45">
        <v>54.563889316999997</v>
      </c>
      <c r="N45">
        <v>51.987603096000001</v>
      </c>
      <c r="O45">
        <v>57.116593869395459</v>
      </c>
      <c r="P45">
        <v>56.767558438291665</v>
      </c>
      <c r="Q45">
        <v>53.73239451052352</v>
      </c>
      <c r="R45">
        <v>60.627975664096482</v>
      </c>
      <c r="S45">
        <v>56.053811371827379</v>
      </c>
      <c r="T45">
        <v>55.852421013740738</v>
      </c>
      <c r="U45">
        <v>55.462252982714865</v>
      </c>
      <c r="V45">
        <v>54.663657165742286</v>
      </c>
      <c r="W45">
        <v>55.931973257838287</v>
      </c>
      <c r="X45">
        <v>55.442583133191945</v>
      </c>
      <c r="Y45">
        <v>49.32608353178113</v>
      </c>
      <c r="Z45">
        <v>54.535693656348748</v>
      </c>
      <c r="AA45">
        <v>47.484925465191395</v>
      </c>
      <c r="AB45">
        <v>50.073185912248341</v>
      </c>
      <c r="AC45">
        <v>50.260811238478674</v>
      </c>
      <c r="AD45">
        <v>48.542489409391841</v>
      </c>
      <c r="AE45">
        <v>46.682795786734935</v>
      </c>
      <c r="AF45">
        <v>45.267153705977776</v>
      </c>
      <c r="AG45">
        <v>46.765827403566384</v>
      </c>
      <c r="AH45">
        <v>44.403710301262898</v>
      </c>
      <c r="AI45">
        <v>43.86686234665482</v>
      </c>
      <c r="AJ45">
        <v>38.687647666412332</v>
      </c>
      <c r="AK45">
        <v>42.381891639654079</v>
      </c>
    </row>
    <row r="46" spans="1:37">
      <c r="A46" t="s">
        <v>240</v>
      </c>
      <c r="B46" t="s">
        <v>231</v>
      </c>
      <c r="N46">
        <v>-2.8427400166000001</v>
      </c>
      <c r="O46">
        <v>-49.232877292109855</v>
      </c>
      <c r="P46">
        <v>-55.999111795156978</v>
      </c>
      <c r="Q46">
        <v>-61.390894105610109</v>
      </c>
      <c r="R46">
        <v>-71.926267490903086</v>
      </c>
      <c r="S46">
        <v>-82.117884713439807</v>
      </c>
      <c r="T46">
        <v>-77.103347614643496</v>
      </c>
      <c r="U46">
        <v>-78.908179108686966</v>
      </c>
      <c r="V46">
        <v>-122.93616637991178</v>
      </c>
      <c r="W46">
        <v>-113.85862379807719</v>
      </c>
      <c r="X46">
        <v>-110.74952444619109</v>
      </c>
      <c r="Y46">
        <v>-121.6928166939464</v>
      </c>
      <c r="Z46">
        <v>-104.23637032009975</v>
      </c>
      <c r="AA46">
        <v>-14.335531174349105</v>
      </c>
      <c r="AB46">
        <v>1.1299043578598951</v>
      </c>
      <c r="AC46">
        <v>2.0356533582007255</v>
      </c>
      <c r="AD46">
        <v>4.1698702469493742</v>
      </c>
      <c r="AE46">
        <v>5.6793964076185155</v>
      </c>
      <c r="AF46">
        <v>9.2591984977511732</v>
      </c>
      <c r="AG46">
        <v>16.263728081605279</v>
      </c>
      <c r="AH46">
        <v>15.655636221739408</v>
      </c>
      <c r="AI46">
        <v>17.608228078426443</v>
      </c>
      <c r="AJ46">
        <v>20.83401357371087</v>
      </c>
      <c r="AK46">
        <v>18.856810627327118</v>
      </c>
    </row>
    <row r="47" spans="1:37">
      <c r="A47" t="s">
        <v>78</v>
      </c>
      <c r="B47" t="s">
        <v>231</v>
      </c>
      <c r="E47">
        <v>53.272728884000003</v>
      </c>
      <c r="F47">
        <v>53.268206255999999</v>
      </c>
      <c r="G47">
        <v>52.888808132000001</v>
      </c>
      <c r="H47">
        <v>48.677802751000002</v>
      </c>
      <c r="I47">
        <v>48.399148560999997</v>
      </c>
      <c r="J47">
        <v>48.686108130000001</v>
      </c>
      <c r="K47">
        <v>49.243876753000002</v>
      </c>
      <c r="L47">
        <v>49.890757327000003</v>
      </c>
      <c r="M47">
        <v>52.243080368000001</v>
      </c>
      <c r="N47">
        <v>52.653867016</v>
      </c>
      <c r="O47">
        <v>52.659717922067394</v>
      </c>
      <c r="P47">
        <v>51.628059090533441</v>
      </c>
      <c r="Q47">
        <v>51.990229611276362</v>
      </c>
      <c r="R47">
        <v>51.901930614333324</v>
      </c>
      <c r="S47">
        <v>52.240225617516977</v>
      </c>
      <c r="T47">
        <v>53.067940450612397</v>
      </c>
      <c r="U47">
        <v>52.9914446924844</v>
      </c>
      <c r="V47">
        <v>51.970251423355506</v>
      </c>
      <c r="W47">
        <v>52.300519537813962</v>
      </c>
      <c r="X47">
        <v>52.446179551111683</v>
      </c>
      <c r="Y47">
        <v>50.370994401357351</v>
      </c>
      <c r="Z47">
        <v>50.766912983152721</v>
      </c>
      <c r="AA47">
        <v>49.919212754867225</v>
      </c>
      <c r="AB47">
        <v>49.718735057670457</v>
      </c>
      <c r="AC47">
        <v>47.85957234889721</v>
      </c>
      <c r="AD47">
        <v>47.58401938354374</v>
      </c>
      <c r="AE47">
        <v>49.14706213929405</v>
      </c>
      <c r="AF47">
        <v>50.650125251191177</v>
      </c>
      <c r="AG47">
        <v>48.740565044733955</v>
      </c>
      <c r="AH47">
        <v>49.706520625646164</v>
      </c>
      <c r="AI47">
        <v>45.790961107363792</v>
      </c>
      <c r="AJ47">
        <v>45.571525178155078</v>
      </c>
      <c r="AK47">
        <v>54.320173979128583</v>
      </c>
    </row>
    <row r="48" spans="1:37">
      <c r="A48" t="s">
        <v>80</v>
      </c>
      <c r="B48" t="s">
        <v>231</v>
      </c>
      <c r="E48">
        <v>-1029.2182983</v>
      </c>
      <c r="F48">
        <v>-1149.0026035999999</v>
      </c>
      <c r="G48">
        <v>-1056.9196959999999</v>
      </c>
      <c r="H48">
        <v>-1088.7459974000001</v>
      </c>
      <c r="I48">
        <v>-1393.1384608999999</v>
      </c>
      <c r="J48">
        <v>-1355.3703704</v>
      </c>
      <c r="K48">
        <v>-1310.8979291999999</v>
      </c>
      <c r="L48">
        <v>-1309.4763514000001</v>
      </c>
      <c r="M48">
        <v>-1158.6378288999999</v>
      </c>
      <c r="N48">
        <v>-1059.8185882</v>
      </c>
      <c r="O48">
        <v>-917.46670997077297</v>
      </c>
      <c r="P48">
        <v>-794.03213118721919</v>
      </c>
      <c r="Q48">
        <v>-644.95582983522468</v>
      </c>
      <c r="R48">
        <v>-575.91205090219444</v>
      </c>
      <c r="S48">
        <v>-507.73454789212326</v>
      </c>
      <c r="T48">
        <v>-423.22690292224542</v>
      </c>
      <c r="U48">
        <v>-335.18028795701593</v>
      </c>
      <c r="V48">
        <v>-307.14978909644424</v>
      </c>
      <c r="W48">
        <v>-264.25376403587751</v>
      </c>
      <c r="X48">
        <v>-240.00874554161652</v>
      </c>
      <c r="Y48">
        <v>-243.26332051408522</v>
      </c>
      <c r="Z48">
        <v>-274.27080170944203</v>
      </c>
      <c r="AA48">
        <v>-296.87109382750413</v>
      </c>
      <c r="AB48">
        <v>-189.75264540134887</v>
      </c>
      <c r="AC48">
        <v>-195.2663023814597</v>
      </c>
      <c r="AD48">
        <v>-203.76402046012262</v>
      </c>
      <c r="AE48">
        <v>-199.61990561598515</v>
      </c>
      <c r="AF48">
        <v>-195.86134022131543</v>
      </c>
      <c r="AG48">
        <v>-172.01352985176428</v>
      </c>
      <c r="AH48">
        <v>-210.22510218894536</v>
      </c>
      <c r="AI48">
        <v>-205.64907138223566</v>
      </c>
      <c r="AJ48">
        <v>-190.11510302844826</v>
      </c>
      <c r="AK48">
        <v>-187.59703003712457</v>
      </c>
    </row>
    <row r="49" spans="1:37">
      <c r="A49" t="s">
        <v>82</v>
      </c>
      <c r="B49" t="s">
        <v>231</v>
      </c>
      <c r="E49">
        <v>85.114007517000005</v>
      </c>
      <c r="F49">
        <v>87.542429850000005</v>
      </c>
      <c r="G49">
        <v>86.086297005999995</v>
      </c>
      <c r="H49">
        <v>79.363324581000001</v>
      </c>
      <c r="I49">
        <v>81.102767624999998</v>
      </c>
      <c r="J49">
        <v>69.184365564000004</v>
      </c>
      <c r="K49">
        <v>61.036344743000001</v>
      </c>
      <c r="L49">
        <v>60.980800940999998</v>
      </c>
      <c r="M49">
        <v>59.576942418999998</v>
      </c>
      <c r="N49">
        <v>57.166889826999999</v>
      </c>
      <c r="O49">
        <v>54.320031963242108</v>
      </c>
      <c r="P49">
        <v>50.421354839309217</v>
      </c>
      <c r="Q49">
        <v>47.241780731895211</v>
      </c>
      <c r="R49">
        <v>49.278740046259436</v>
      </c>
      <c r="S49">
        <v>55.086106935795577</v>
      </c>
      <c r="T49">
        <v>66.814642923203635</v>
      </c>
      <c r="U49">
        <v>70.751305745279296</v>
      </c>
      <c r="V49">
        <v>69.490386677149615</v>
      </c>
      <c r="W49">
        <v>65.40149118484014</v>
      </c>
      <c r="X49">
        <v>63.05520194421932</v>
      </c>
      <c r="Y49">
        <v>59.229427692872527</v>
      </c>
      <c r="Z49">
        <v>69.496196373584155</v>
      </c>
      <c r="AA49">
        <v>71.421113689095208</v>
      </c>
      <c r="AB49">
        <v>67.832308372522988</v>
      </c>
      <c r="AC49">
        <v>71.018983222252615</v>
      </c>
      <c r="AD49">
        <v>73.833831489222888</v>
      </c>
      <c r="AE49">
        <v>73.098640126133134</v>
      </c>
      <c r="AF49">
        <v>74.407164295649139</v>
      </c>
      <c r="AG49">
        <v>77.333438360008458</v>
      </c>
      <c r="AH49">
        <v>80.722389485365397</v>
      </c>
      <c r="AI49">
        <v>80.631736671661287</v>
      </c>
      <c r="AJ49">
        <v>78.155302534178063</v>
      </c>
      <c r="AK49">
        <v>79.584206862920752</v>
      </c>
    </row>
    <row r="50" spans="1:37">
      <c r="A50" t="s">
        <v>83</v>
      </c>
      <c r="B50" t="s">
        <v>231</v>
      </c>
      <c r="E50">
        <v>47.628186126999999</v>
      </c>
      <c r="F50">
        <v>52.635220771999997</v>
      </c>
      <c r="G50">
        <v>55.661568260000003</v>
      </c>
      <c r="H50">
        <v>56.715390255000003</v>
      </c>
      <c r="I50">
        <v>58.065358279000002</v>
      </c>
      <c r="J50">
        <v>58.113959035000001</v>
      </c>
      <c r="K50">
        <v>60.013499453000001</v>
      </c>
      <c r="L50">
        <v>60.758077987999997</v>
      </c>
      <c r="M50">
        <v>62.480613888999997</v>
      </c>
      <c r="N50">
        <v>60.820936734</v>
      </c>
      <c r="O50">
        <v>61.103958045609083</v>
      </c>
      <c r="P50">
        <v>62.505024851961934</v>
      </c>
      <c r="Q50">
        <v>61.799487893876261</v>
      </c>
      <c r="R50">
        <v>62.269879079910993</v>
      </c>
      <c r="S50">
        <v>62.865067037620051</v>
      </c>
      <c r="T50">
        <v>62.530571039464</v>
      </c>
      <c r="U50">
        <v>62.834307597522177</v>
      </c>
      <c r="V50">
        <v>60.55782923541814</v>
      </c>
      <c r="W50">
        <v>62.846553047654318</v>
      </c>
      <c r="X50">
        <v>63.27807317691088</v>
      </c>
      <c r="Y50">
        <v>62.053648629510896</v>
      </c>
      <c r="Z50">
        <v>63.962602666983102</v>
      </c>
      <c r="AA50">
        <v>63.409186801845522</v>
      </c>
      <c r="AB50">
        <v>64.634186118304584</v>
      </c>
      <c r="AC50">
        <v>64.035236016344228</v>
      </c>
      <c r="AD50">
        <v>64.43544966883502</v>
      </c>
      <c r="AE50">
        <v>66.306472820304947</v>
      </c>
      <c r="AF50">
        <v>66.621196611622111</v>
      </c>
      <c r="AG50">
        <v>66.201930662309863</v>
      </c>
      <c r="AH50">
        <v>69.924000647515456</v>
      </c>
      <c r="AI50">
        <v>65.385600573801824</v>
      </c>
      <c r="AJ50">
        <v>65.404561867275518</v>
      </c>
      <c r="AK50">
        <v>71.753409385619321</v>
      </c>
    </row>
    <row r="51" spans="1:37">
      <c r="A51" t="s">
        <v>84</v>
      </c>
      <c r="B51" t="s">
        <v>231</v>
      </c>
      <c r="E51">
        <v>18.250712019000002</v>
      </c>
      <c r="F51">
        <v>16.296780946999998</v>
      </c>
      <c r="G51">
        <v>16.240892819999999</v>
      </c>
      <c r="H51">
        <v>15.294150747</v>
      </c>
      <c r="I51">
        <v>18.540764575000001</v>
      </c>
      <c r="J51">
        <v>17.81874947</v>
      </c>
      <c r="K51">
        <v>20.030784175000001</v>
      </c>
      <c r="L51">
        <v>21.724576806000002</v>
      </c>
      <c r="M51">
        <v>28.046956998999999</v>
      </c>
      <c r="N51">
        <v>28.591495458000001</v>
      </c>
      <c r="O51">
        <v>31.973403010096547</v>
      </c>
      <c r="P51">
        <v>34.209959042897161</v>
      </c>
      <c r="Q51">
        <v>38.861998330930838</v>
      </c>
      <c r="R51">
        <v>39.728332828178104</v>
      </c>
      <c r="S51">
        <v>38.7387168883876</v>
      </c>
      <c r="T51">
        <v>40.322233371384911</v>
      </c>
      <c r="U51">
        <v>45.642424836256431</v>
      </c>
      <c r="V51">
        <v>48.117386913141956</v>
      </c>
      <c r="W51">
        <v>47.467285170231648</v>
      </c>
      <c r="X51">
        <v>47.860931633250495</v>
      </c>
      <c r="Y51">
        <v>49.273944322010301</v>
      </c>
      <c r="Z51">
        <v>7.6145668400814053</v>
      </c>
      <c r="AA51">
        <v>7.7546613422604063</v>
      </c>
      <c r="AB51">
        <v>-6.8521756937726606</v>
      </c>
      <c r="AC51">
        <v>-7.6917979776560976</v>
      </c>
      <c r="AD51">
        <v>-6.4102272468779624</v>
      </c>
      <c r="AE51">
        <v>5.7147819614168034</v>
      </c>
      <c r="AF51">
        <v>-37.033114942301232</v>
      </c>
      <c r="AG51">
        <v>-33.651271009244624</v>
      </c>
      <c r="AH51">
        <v>-43.168048177075285</v>
      </c>
      <c r="AI51">
        <v>-35.645638723023033</v>
      </c>
      <c r="AJ51">
        <v>-25.733129052223454</v>
      </c>
      <c r="AK51">
        <v>-22.365652225371772</v>
      </c>
    </row>
    <row r="52" spans="1:37">
      <c r="A52" t="s">
        <v>85</v>
      </c>
      <c r="B52" t="s">
        <v>231</v>
      </c>
      <c r="E52">
        <v>71.454224830000001</v>
      </c>
      <c r="F52">
        <v>71.856461433999996</v>
      </c>
      <c r="G52">
        <v>79.370736452000003</v>
      </c>
      <c r="H52">
        <v>78.087848242000007</v>
      </c>
      <c r="I52">
        <v>69.399757111</v>
      </c>
      <c r="J52">
        <v>79.354062752999994</v>
      </c>
      <c r="K52">
        <v>79.273753735</v>
      </c>
      <c r="L52">
        <v>78.013913196999994</v>
      </c>
      <c r="M52">
        <v>81.445077556000001</v>
      </c>
      <c r="N52">
        <v>75.945718612999997</v>
      </c>
      <c r="O52">
        <v>80.223883880255002</v>
      </c>
      <c r="P52">
        <v>78.830596600169471</v>
      </c>
      <c r="Q52">
        <v>81.085488532949512</v>
      </c>
      <c r="R52">
        <v>76.40579449416758</v>
      </c>
      <c r="S52">
        <v>82.024306374566493</v>
      </c>
      <c r="T52">
        <v>76.342927747575445</v>
      </c>
      <c r="U52">
        <v>80.84323935621623</v>
      </c>
      <c r="V52">
        <v>80.602586416574923</v>
      </c>
      <c r="W52">
        <v>82.611122915991871</v>
      </c>
      <c r="X52">
        <v>75.220601695477924</v>
      </c>
      <c r="Y52">
        <v>76.993241609857535</v>
      </c>
      <c r="Z52">
        <v>73.105015708906222</v>
      </c>
      <c r="AA52">
        <v>73.086318450614797</v>
      </c>
      <c r="AB52">
        <v>69.139008333495084</v>
      </c>
      <c r="AC52">
        <v>72.993401468034193</v>
      </c>
      <c r="AD52">
        <v>79.074365218821114</v>
      </c>
      <c r="AE52">
        <v>81.383037967767308</v>
      </c>
      <c r="AF52">
        <v>81.852281491866265</v>
      </c>
      <c r="AG52">
        <v>82.022912308655819</v>
      </c>
      <c r="AH52">
        <v>87.498998984916568</v>
      </c>
      <c r="AI52">
        <v>91.212316131851253</v>
      </c>
      <c r="AJ52">
        <v>84.557072938114203</v>
      </c>
      <c r="AK52">
        <v>92.908140483598658</v>
      </c>
    </row>
    <row r="53" spans="1:37">
      <c r="A53" t="s">
        <v>87</v>
      </c>
      <c r="B53" t="s">
        <v>231</v>
      </c>
      <c r="E53">
        <v>26.332373259000001</v>
      </c>
      <c r="F53">
        <v>29.864503495000001</v>
      </c>
      <c r="G53">
        <v>30.334118398000001</v>
      </c>
      <c r="H53">
        <v>30.248062947000001</v>
      </c>
      <c r="I53">
        <v>33.729240969000003</v>
      </c>
      <c r="J53">
        <v>32.700879843999999</v>
      </c>
      <c r="K53">
        <v>26.849391571000002</v>
      </c>
      <c r="L53">
        <v>23.200800616999999</v>
      </c>
      <c r="M53">
        <v>27.341730398999999</v>
      </c>
      <c r="N53">
        <v>24.502211811999999</v>
      </c>
      <c r="O53">
        <v>26.866532524057934</v>
      </c>
      <c r="P53">
        <v>29.042003231017745</v>
      </c>
      <c r="Q53">
        <v>24.505790678529927</v>
      </c>
      <c r="R53">
        <v>23.956379148857334</v>
      </c>
      <c r="S53">
        <v>20.034360392812715</v>
      </c>
      <c r="T53">
        <v>31.668347896715716</v>
      </c>
      <c r="U53">
        <v>29.043084608179797</v>
      </c>
      <c r="V53">
        <v>33.190132499222877</v>
      </c>
      <c r="W53">
        <v>28.605229267123917</v>
      </c>
      <c r="X53">
        <v>32.319790179330468</v>
      </c>
      <c r="Y53">
        <v>29.061747418732882</v>
      </c>
      <c r="Z53">
        <v>29.88697499886986</v>
      </c>
      <c r="AA53">
        <v>30.431135787828062</v>
      </c>
      <c r="AB53">
        <v>31.635439421945961</v>
      </c>
      <c r="AC53">
        <v>33.391602054173781</v>
      </c>
      <c r="AD53">
        <v>39.175453559427439</v>
      </c>
      <c r="AE53">
        <v>37.521619822250706</v>
      </c>
      <c r="AF53">
        <v>35.511261956186445</v>
      </c>
      <c r="AG53">
        <v>35.695301965492028</v>
      </c>
      <c r="AH53">
        <v>42.437554934603398</v>
      </c>
      <c r="AI53">
        <v>34.729400602037224</v>
      </c>
      <c r="AJ53">
        <v>39.92190631989039</v>
      </c>
      <c r="AK53">
        <v>38.364016749014951</v>
      </c>
    </row>
    <row r="54" spans="1:37">
      <c r="A54" t="s">
        <v>92</v>
      </c>
      <c r="B54" t="s">
        <v>231</v>
      </c>
      <c r="E54">
        <v>29.627250647</v>
      </c>
      <c r="F54">
        <v>32.014406383000001</v>
      </c>
      <c r="G54">
        <v>33.203911281000003</v>
      </c>
      <c r="H54">
        <v>33.909853738999999</v>
      </c>
      <c r="I54">
        <v>39.277814741999997</v>
      </c>
      <c r="J54">
        <v>43.011543828000001</v>
      </c>
      <c r="K54">
        <v>42.265965870000002</v>
      </c>
      <c r="L54">
        <v>39.736748761999998</v>
      </c>
      <c r="M54">
        <v>42.897772160000002</v>
      </c>
      <c r="N54">
        <v>49.686942031000001</v>
      </c>
      <c r="O54">
        <v>50.294869039944558</v>
      </c>
      <c r="P54">
        <v>53.768217540493502</v>
      </c>
      <c r="Q54">
        <v>56.314447512255683</v>
      </c>
      <c r="R54">
        <v>55.400278849583351</v>
      </c>
      <c r="S54">
        <v>56.428054260736381</v>
      </c>
      <c r="T54">
        <v>53.246040126715968</v>
      </c>
      <c r="U54">
        <v>53.271994954245294</v>
      </c>
      <c r="V54">
        <v>53.28407522117017</v>
      </c>
      <c r="W54">
        <v>51.722382574079916</v>
      </c>
      <c r="X54">
        <v>49.102182181769507</v>
      </c>
      <c r="Y54">
        <v>48.802748190909853</v>
      </c>
      <c r="Z54">
        <v>51.831508577427165</v>
      </c>
      <c r="AA54">
        <v>51.664641446321134</v>
      </c>
      <c r="AB54">
        <v>53.777339901477802</v>
      </c>
      <c r="AC54">
        <v>51.949168069939731</v>
      </c>
      <c r="AD54">
        <v>43.675177143663859</v>
      </c>
      <c r="AE54">
        <v>46.318740582776826</v>
      </c>
      <c r="AF54">
        <v>61.553039956628183</v>
      </c>
      <c r="AG54">
        <v>51.613629280792217</v>
      </c>
      <c r="AH54">
        <v>54.048180572190638</v>
      </c>
      <c r="AI54">
        <v>52.210375763879881</v>
      </c>
      <c r="AJ54">
        <v>54.813460340214391</v>
      </c>
      <c r="AK54">
        <v>55.51171854783172</v>
      </c>
    </row>
    <row r="55" spans="1:37">
      <c r="A55" t="s">
        <v>241</v>
      </c>
      <c r="B55" t="s">
        <v>231</v>
      </c>
      <c r="E55">
        <v>127.26612805000001</v>
      </c>
      <c r="F55">
        <v>121.39036521</v>
      </c>
      <c r="G55">
        <v>125.43467892</v>
      </c>
      <c r="H55">
        <v>138.01843984999999</v>
      </c>
      <c r="I55">
        <v>137.00726986999999</v>
      </c>
      <c r="J55">
        <v>144.10519919000001</v>
      </c>
      <c r="K55">
        <v>148.17389441</v>
      </c>
      <c r="L55">
        <v>150.52392834</v>
      </c>
      <c r="M55">
        <v>144.29076950000001</v>
      </c>
      <c r="N55">
        <v>141.49505417</v>
      </c>
      <c r="O55">
        <v>140.76247721471302</v>
      </c>
      <c r="P55">
        <v>149.57885405864175</v>
      </c>
      <c r="Q55">
        <v>166.61002891088904</v>
      </c>
      <c r="R55">
        <v>162.64855687606044</v>
      </c>
      <c r="S55">
        <v>203.44216859325411</v>
      </c>
      <c r="T55">
        <v>182.17315859429203</v>
      </c>
      <c r="U55">
        <v>193.81443488019835</v>
      </c>
      <c r="V55">
        <v>193.80644943497856</v>
      </c>
      <c r="W55">
        <v>185.88489775875036</v>
      </c>
      <c r="X55">
        <v>209.03727869077861</v>
      </c>
      <c r="Y55">
        <v>234.04442337860303</v>
      </c>
      <c r="Z55">
        <v>207.10374453500734</v>
      </c>
      <c r="AA55">
        <v>202.98683566478579</v>
      </c>
      <c r="AB55">
        <v>209.12912357692633</v>
      </c>
      <c r="AC55">
        <v>200.94786483166459</v>
      </c>
      <c r="AD55">
        <v>203.74196858753564</v>
      </c>
      <c r="AE55">
        <v>202.96809365782843</v>
      </c>
      <c r="AF55">
        <v>230.01864232672875</v>
      </c>
      <c r="AG55">
        <v>226.60575464741206</v>
      </c>
      <c r="AH55">
        <v>220.53671914195459</v>
      </c>
      <c r="AI55">
        <v>191.26544138638863</v>
      </c>
      <c r="AJ55">
        <v>181.84809194586995</v>
      </c>
      <c r="AK55">
        <v>175.70650786369541</v>
      </c>
    </row>
    <row r="56" spans="1:37">
      <c r="A56" t="s">
        <v>93</v>
      </c>
      <c r="B56" t="s">
        <v>231</v>
      </c>
      <c r="E56">
        <v>49.197855193999999</v>
      </c>
      <c r="F56">
        <v>46.063416371999999</v>
      </c>
      <c r="G56">
        <v>44.443821350999997</v>
      </c>
      <c r="H56">
        <v>47.656377046000003</v>
      </c>
      <c r="I56">
        <v>47.071583513999997</v>
      </c>
      <c r="J56">
        <v>48.059012953</v>
      </c>
      <c r="K56">
        <v>51.567951778999998</v>
      </c>
      <c r="L56">
        <v>51.649105472000002</v>
      </c>
      <c r="M56">
        <v>55.006530965000003</v>
      </c>
      <c r="N56">
        <v>53.839403042000001</v>
      </c>
      <c r="O56">
        <v>55.477055095858127</v>
      </c>
      <c r="P56">
        <v>53.825463406988263</v>
      </c>
      <c r="Q56">
        <v>57.327069517349557</v>
      </c>
      <c r="R56">
        <v>62.538525711372152</v>
      </c>
      <c r="S56">
        <v>61.580101154176162</v>
      </c>
      <c r="T56">
        <v>62.875769802867495</v>
      </c>
      <c r="U56">
        <v>62.359160102371355</v>
      </c>
      <c r="V56">
        <v>60.750153827814515</v>
      </c>
      <c r="W56">
        <v>63.231346573657312</v>
      </c>
      <c r="X56">
        <v>58.169666982686273</v>
      </c>
      <c r="Y56">
        <v>57.013495581798104</v>
      </c>
      <c r="Z56">
        <v>50.416194660109156</v>
      </c>
      <c r="AA56">
        <v>50.184861469919376</v>
      </c>
      <c r="AB56">
        <v>50.090815399333074</v>
      </c>
      <c r="AC56">
        <v>59.731732642702951</v>
      </c>
      <c r="AD56">
        <v>53.836854969764204</v>
      </c>
      <c r="AE56">
        <v>55.80333144153321</v>
      </c>
      <c r="AF56">
        <v>62.732059562253482</v>
      </c>
      <c r="AG56">
        <v>58.363384811650334</v>
      </c>
      <c r="AH56">
        <v>69.812666621860558</v>
      </c>
      <c r="AI56">
        <v>56.406876556077989</v>
      </c>
      <c r="AJ56">
        <v>53.964909472424239</v>
      </c>
      <c r="AK56">
        <v>64.444715275458222</v>
      </c>
    </row>
    <row r="57" spans="1:37">
      <c r="A57" t="s">
        <v>94</v>
      </c>
      <c r="B57" t="s">
        <v>231</v>
      </c>
      <c r="X57">
        <v>20.48891434591922</v>
      </c>
    </row>
    <row r="58" spans="1:37">
      <c r="A58" t="s">
        <v>95</v>
      </c>
      <c r="B58" t="s">
        <v>231</v>
      </c>
      <c r="E58">
        <v>11.302943481</v>
      </c>
      <c r="F58">
        <v>12.000667321</v>
      </c>
      <c r="G58">
        <v>13.879986004999999</v>
      </c>
      <c r="H58">
        <v>14.324884694</v>
      </c>
      <c r="I58">
        <v>14.034293168</v>
      </c>
      <c r="J58">
        <v>15.387786989</v>
      </c>
      <c r="K58">
        <v>16.962490967000001</v>
      </c>
      <c r="L58">
        <v>17.940017774000001</v>
      </c>
      <c r="M58">
        <v>19.343069562</v>
      </c>
      <c r="N58">
        <v>21.326073485999999</v>
      </c>
      <c r="O58">
        <v>21.884802464747782</v>
      </c>
      <c r="P58">
        <v>21.607118454919359</v>
      </c>
      <c r="Q58">
        <v>22.19692667290623</v>
      </c>
      <c r="R58">
        <v>22.352891824521258</v>
      </c>
      <c r="S58">
        <v>23.051162065752901</v>
      </c>
      <c r="T58">
        <v>24.740371127984645</v>
      </c>
      <c r="U58">
        <v>26.047313914816261</v>
      </c>
      <c r="V58">
        <v>27.060125904949771</v>
      </c>
      <c r="W58">
        <v>28.455574418154626</v>
      </c>
      <c r="X58">
        <v>29.342647911928339</v>
      </c>
      <c r="Y58">
        <v>30.221921481060189</v>
      </c>
      <c r="Z58">
        <v>31.160959070435691</v>
      </c>
      <c r="AA58">
        <v>32.822838903831588</v>
      </c>
      <c r="AB58">
        <v>34.024000893280999</v>
      </c>
      <c r="AC58">
        <v>36.542302591134614</v>
      </c>
      <c r="AD58">
        <v>37.282782209516419</v>
      </c>
      <c r="AE58">
        <v>37.387418654851764</v>
      </c>
      <c r="AF58">
        <v>37.471310533060716</v>
      </c>
      <c r="AG58">
        <v>37.584346771992635</v>
      </c>
      <c r="AH58">
        <v>39.299698298591359</v>
      </c>
      <c r="AI58">
        <v>37.481252772154967</v>
      </c>
      <c r="AJ58">
        <v>35.035579964006217</v>
      </c>
      <c r="AK58">
        <v>36.529412379469001</v>
      </c>
    </row>
    <row r="59" spans="1:37">
      <c r="A59" t="s">
        <v>96</v>
      </c>
      <c r="B59" t="s">
        <v>231</v>
      </c>
      <c r="E59">
        <v>-81.539659169999993</v>
      </c>
      <c r="F59">
        <v>-88.626580450000006</v>
      </c>
      <c r="G59">
        <v>-85.062158461999999</v>
      </c>
      <c r="H59">
        <v>-72.834193388000003</v>
      </c>
      <c r="I59">
        <v>-85.726338486000003</v>
      </c>
      <c r="J59">
        <v>-72.777054414999995</v>
      </c>
      <c r="K59">
        <v>-73.687407875000005</v>
      </c>
      <c r="L59">
        <v>-70.587392097000006</v>
      </c>
      <c r="M59">
        <v>-76.466325871999999</v>
      </c>
      <c r="N59">
        <v>-74.471609813000001</v>
      </c>
      <c r="O59">
        <v>-64.240363312419561</v>
      </c>
      <c r="P59">
        <v>-63.352323337086943</v>
      </c>
      <c r="Q59">
        <v>-61.299688461585319</v>
      </c>
      <c r="R59">
        <v>-66.008075034347996</v>
      </c>
      <c r="S59">
        <v>-60.838444491109591</v>
      </c>
      <c r="T59">
        <v>-67.876549282000198</v>
      </c>
      <c r="U59">
        <v>-86.123539899370854</v>
      </c>
      <c r="V59">
        <v>-90.796152949200078</v>
      </c>
      <c r="W59">
        <v>-90.426749834704808</v>
      </c>
      <c r="X59">
        <v>-92.42696626270623</v>
      </c>
      <c r="Y59">
        <v>-103.50956190149363</v>
      </c>
      <c r="Z59">
        <v>-131.57660373804322</v>
      </c>
      <c r="AA59">
        <v>-130.29825684671289</v>
      </c>
      <c r="AB59">
        <v>-134.04515825987323</v>
      </c>
      <c r="AC59">
        <v>-122.68941891578322</v>
      </c>
      <c r="AD59">
        <v>-109.27148607970621</v>
      </c>
      <c r="AE59">
        <v>-106.48517951201038</v>
      </c>
      <c r="AF59">
        <v>-100.4014145252231</v>
      </c>
      <c r="AG59">
        <v>-98.013275889381802</v>
      </c>
      <c r="AH59">
        <v>-99.181648865643822</v>
      </c>
      <c r="AI59">
        <v>-86.947973124552576</v>
      </c>
      <c r="AJ59">
        <v>-84.937054768860946</v>
      </c>
      <c r="AK59">
        <v>-82.919275607743231</v>
      </c>
    </row>
    <row r="60" spans="1:37">
      <c r="A60" t="s">
        <v>242</v>
      </c>
      <c r="B60" t="s">
        <v>231</v>
      </c>
      <c r="E60">
        <v>-169.65511086999999</v>
      </c>
      <c r="F60">
        <v>-159.50136359999999</v>
      </c>
      <c r="G60">
        <v>-164.35483518999999</v>
      </c>
      <c r="H60">
        <v>-160.30921248000001</v>
      </c>
      <c r="I60">
        <v>-137.95615642000001</v>
      </c>
      <c r="J60">
        <v>-133.5753938</v>
      </c>
      <c r="K60">
        <v>-139.57854612</v>
      </c>
      <c r="L60">
        <v>-116.43417015</v>
      </c>
      <c r="M60">
        <v>-115.44765867</v>
      </c>
      <c r="N60">
        <v>-97.013529332000005</v>
      </c>
      <c r="O60">
        <v>-105.87187005709701</v>
      </c>
      <c r="P60">
        <v>-87.104962999308697</v>
      </c>
      <c r="Q60">
        <v>-84.661200805519101</v>
      </c>
      <c r="R60">
        <v>-95.80660050502668</v>
      </c>
      <c r="S60">
        <v>-87.443383361934863</v>
      </c>
      <c r="T60">
        <v>-80.216690538220291</v>
      </c>
      <c r="U60">
        <v>-76.905097738617684</v>
      </c>
      <c r="V60">
        <v>-74.323306037326077</v>
      </c>
      <c r="W60">
        <v>-64.067446333566551</v>
      </c>
      <c r="X60">
        <v>-60.408838169111476</v>
      </c>
      <c r="Y60">
        <v>-64.113705341178871</v>
      </c>
      <c r="Z60">
        <v>-64.580688618875996</v>
      </c>
      <c r="AA60">
        <v>-36.985008115296495</v>
      </c>
      <c r="AB60">
        <v>-33.641797856431239</v>
      </c>
      <c r="AC60">
        <v>-27.833804957784576</v>
      </c>
      <c r="AD60">
        <v>-32.565071304738787</v>
      </c>
      <c r="AE60">
        <v>-55.215546874525046</v>
      </c>
      <c r="AF60">
        <v>-53.597696432368203</v>
      </c>
      <c r="AG60">
        <v>-49.788758990509443</v>
      </c>
      <c r="AH60">
        <v>-27.242127434948621</v>
      </c>
      <c r="AI60">
        <v>-22.077372644289976</v>
      </c>
      <c r="AJ60">
        <v>-26.51937650085835</v>
      </c>
      <c r="AK60">
        <v>-32.494459276704852</v>
      </c>
    </row>
    <row r="61" spans="1:37">
      <c r="A61" t="s">
        <v>97</v>
      </c>
      <c r="B61" t="s">
        <v>231</v>
      </c>
      <c r="E61">
        <v>-448.23419641999999</v>
      </c>
      <c r="F61">
        <v>-20.159268323999999</v>
      </c>
      <c r="G61">
        <v>-20.173990137000001</v>
      </c>
      <c r="H61">
        <v>-17.338171975000002</v>
      </c>
      <c r="I61">
        <v>-17.665150208</v>
      </c>
      <c r="J61">
        <v>-19.769882597999999</v>
      </c>
      <c r="K61">
        <v>-24.938901053999999</v>
      </c>
      <c r="L61">
        <v>-103.50263405</v>
      </c>
      <c r="M61">
        <v>-283.8802728</v>
      </c>
      <c r="N61">
        <v>-476.94732694999999</v>
      </c>
      <c r="O61">
        <v>-403.30887331155515</v>
      </c>
      <c r="P61">
        <v>-344.92069376046419</v>
      </c>
      <c r="Q61">
        <v>-302.20522063550101</v>
      </c>
      <c r="R61">
        <v>-215.42366418730069</v>
      </c>
      <c r="S61">
        <v>-282.7131555557126</v>
      </c>
      <c r="T61">
        <v>-258.77067192674605</v>
      </c>
      <c r="U61">
        <v>-286.21367254295149</v>
      </c>
      <c r="V61">
        <v>-307.47135849695599</v>
      </c>
      <c r="W61">
        <v>-319.45232871243314</v>
      </c>
      <c r="X61">
        <v>-309.52116479380993</v>
      </c>
      <c r="Y61">
        <v>-274.59113458616093</v>
      </c>
      <c r="Z61">
        <v>-287.89286199792355</v>
      </c>
      <c r="AA61">
        <v>-290.00243316547591</v>
      </c>
      <c r="AB61">
        <v>-275.50503073248905</v>
      </c>
      <c r="AC61">
        <v>-307.67620216783365</v>
      </c>
      <c r="AD61">
        <v>-392.88619219625002</v>
      </c>
      <c r="AE61">
        <v>-451.10194704126167</v>
      </c>
      <c r="AF61">
        <v>-404.95884017248341</v>
      </c>
      <c r="AG61">
        <v>-362.54508301357885</v>
      </c>
      <c r="AH61">
        <v>-357.47164421788136</v>
      </c>
      <c r="AI61">
        <v>-340.43561649000395</v>
      </c>
      <c r="AJ61">
        <v>-287.42059859040017</v>
      </c>
      <c r="AK61">
        <v>-274.87736059498047</v>
      </c>
    </row>
    <row r="62" spans="1:37">
      <c r="A62" t="s">
        <v>98</v>
      </c>
      <c r="B62" t="s">
        <v>231</v>
      </c>
      <c r="E62">
        <v>71.097701744999995</v>
      </c>
      <c r="F62">
        <v>69.487863920999999</v>
      </c>
      <c r="G62">
        <v>68.717758962000005</v>
      </c>
      <c r="H62">
        <v>70.152874132999997</v>
      </c>
      <c r="I62">
        <v>67.420593463000003</v>
      </c>
      <c r="J62">
        <v>72.603378507000002</v>
      </c>
      <c r="K62">
        <v>74.14179944</v>
      </c>
      <c r="L62">
        <v>80.150816974999998</v>
      </c>
      <c r="M62">
        <v>84.413931996000002</v>
      </c>
      <c r="N62">
        <v>88.829432158000003</v>
      </c>
      <c r="O62">
        <v>89.25881255656347</v>
      </c>
      <c r="P62">
        <v>94.823809246583735</v>
      </c>
      <c r="Q62">
        <v>94.375340980132535</v>
      </c>
      <c r="R62">
        <v>95.119032441758833</v>
      </c>
      <c r="S62">
        <v>95.697261608934312</v>
      </c>
      <c r="T62">
        <v>94.964510841231245</v>
      </c>
      <c r="U62">
        <v>96.399128225410948</v>
      </c>
      <c r="V62">
        <v>94.211873871777968</v>
      </c>
      <c r="W62">
        <v>96.51952366341628</v>
      </c>
      <c r="X62">
        <v>92.739081159742227</v>
      </c>
      <c r="Y62">
        <v>92.123785943634132</v>
      </c>
      <c r="Z62">
        <v>95.524361380886575</v>
      </c>
      <c r="AA62">
        <v>89.722296390343246</v>
      </c>
      <c r="AB62">
        <v>94.599092814210579</v>
      </c>
      <c r="AC62">
        <v>91.279179110653132</v>
      </c>
      <c r="AD62">
        <v>95.231581426031667</v>
      </c>
      <c r="AE62">
        <v>74.225524098796939</v>
      </c>
      <c r="AF62">
        <v>71.404704589687583</v>
      </c>
      <c r="AG62">
        <v>73.328158038966663</v>
      </c>
      <c r="AH62">
        <v>75.413816050316143</v>
      </c>
      <c r="AI62">
        <v>74.191046817085862</v>
      </c>
      <c r="AJ62">
        <v>80.643782268617656</v>
      </c>
      <c r="AK62">
        <v>85.981529092296228</v>
      </c>
    </row>
    <row r="63" spans="1:37">
      <c r="A63" t="s">
        <v>99</v>
      </c>
      <c r="B63" t="s">
        <v>231</v>
      </c>
      <c r="E63">
        <v>99.455267345999999</v>
      </c>
      <c r="F63">
        <v>100.1725287</v>
      </c>
      <c r="G63">
        <v>104.38958565999999</v>
      </c>
      <c r="H63">
        <v>101.53034409999999</v>
      </c>
      <c r="I63">
        <v>91.87527867</v>
      </c>
      <c r="J63">
        <v>102.25543989000001</v>
      </c>
      <c r="K63">
        <v>93.890510030000002</v>
      </c>
      <c r="L63">
        <v>100.08579666999999</v>
      </c>
      <c r="M63">
        <v>105.55928294</v>
      </c>
      <c r="N63">
        <v>99.696879050999996</v>
      </c>
      <c r="O63">
        <v>99.63688047315587</v>
      </c>
      <c r="P63">
        <v>100.83993561990773</v>
      </c>
      <c r="Q63">
        <v>104.46871253530622</v>
      </c>
      <c r="R63">
        <v>101.11007541733746</v>
      </c>
      <c r="S63">
        <v>98.416843256545391</v>
      </c>
      <c r="T63">
        <v>96.634134846939361</v>
      </c>
      <c r="U63">
        <v>92.49316439282876</v>
      </c>
      <c r="V63">
        <v>94.052040344518304</v>
      </c>
      <c r="W63">
        <v>85.274149909813531</v>
      </c>
      <c r="X63">
        <v>90.162175000721277</v>
      </c>
      <c r="Y63">
        <v>88.287628929652513</v>
      </c>
      <c r="Z63">
        <v>80.952670785539667</v>
      </c>
      <c r="AA63">
        <v>95.569306754462588</v>
      </c>
      <c r="AB63">
        <v>84.458594614328447</v>
      </c>
      <c r="AC63">
        <v>76.574763533910527</v>
      </c>
      <c r="AD63">
        <v>76.798803912203795</v>
      </c>
      <c r="AE63">
        <v>68.574943760089553</v>
      </c>
      <c r="AF63">
        <v>74.122092881965571</v>
      </c>
      <c r="AG63">
        <v>68.004401404648377</v>
      </c>
      <c r="AH63">
        <v>70.734379347895015</v>
      </c>
      <c r="AI63">
        <v>43.340273574372048</v>
      </c>
      <c r="AJ63">
        <v>28.729307237751982</v>
      </c>
      <c r="AK63">
        <v>26.091560834086238</v>
      </c>
    </row>
    <row r="64" spans="1:37">
      <c r="A64" t="s">
        <v>100</v>
      </c>
      <c r="B64" t="s">
        <v>231</v>
      </c>
      <c r="E64">
        <v>86.834248435999996</v>
      </c>
      <c r="F64">
        <v>84.264303314000003</v>
      </c>
      <c r="G64">
        <v>86.425119142</v>
      </c>
      <c r="H64">
        <v>82.771744071000001</v>
      </c>
      <c r="I64">
        <v>83.121416820999997</v>
      </c>
      <c r="J64">
        <v>84.331860104</v>
      </c>
      <c r="K64">
        <v>84.106170566000003</v>
      </c>
      <c r="L64">
        <v>82.919472221999996</v>
      </c>
      <c r="M64">
        <v>84.200323646000001</v>
      </c>
      <c r="N64">
        <v>85.046412046</v>
      </c>
      <c r="O64">
        <v>88.867904089130263</v>
      </c>
      <c r="P64">
        <v>85.433535316529742</v>
      </c>
      <c r="Q64">
        <v>87.914858878113733</v>
      </c>
      <c r="R64">
        <v>85.364935329664078</v>
      </c>
      <c r="S64">
        <v>86.79242966645046</v>
      </c>
      <c r="T64">
        <v>85.723576889860141</v>
      </c>
      <c r="U64">
        <v>88.475701472461452</v>
      </c>
      <c r="V64">
        <v>85.67753037324988</v>
      </c>
      <c r="W64">
        <v>85.491305751846951</v>
      </c>
      <c r="X64">
        <v>83.30304458908688</v>
      </c>
      <c r="Y64">
        <v>85.461878650061777</v>
      </c>
      <c r="Z64">
        <v>84.122545800676363</v>
      </c>
      <c r="AA64">
        <v>81.839032372770703</v>
      </c>
      <c r="AB64">
        <v>79.294539491825617</v>
      </c>
      <c r="AC64">
        <v>78.38816137426214</v>
      </c>
      <c r="AD64">
        <v>79.587955114889468</v>
      </c>
      <c r="AE64">
        <v>80.485050654845054</v>
      </c>
      <c r="AF64">
        <v>81.178006449427158</v>
      </c>
      <c r="AG64">
        <v>80.970721722484129</v>
      </c>
      <c r="AH64">
        <v>82.227964030235896</v>
      </c>
      <c r="AI64">
        <v>76.869518660094897</v>
      </c>
      <c r="AJ64">
        <v>76.632978181849566</v>
      </c>
      <c r="AK64">
        <v>83.629034058098057</v>
      </c>
    </row>
    <row r="65" spans="1:37">
      <c r="A65" t="s">
        <v>101</v>
      </c>
      <c r="B65" t="s">
        <v>231</v>
      </c>
      <c r="E65">
        <v>95.953968399000004</v>
      </c>
      <c r="F65">
        <v>94.946144453000002</v>
      </c>
      <c r="G65">
        <v>93.954975587000007</v>
      </c>
      <c r="H65">
        <v>95.800384605000005</v>
      </c>
      <c r="I65">
        <v>97.756163572999995</v>
      </c>
      <c r="J65">
        <v>94.369170933000007</v>
      </c>
      <c r="K65">
        <v>90.276753600999996</v>
      </c>
      <c r="L65">
        <v>95.695950682000003</v>
      </c>
      <c r="M65">
        <v>94.522299434999994</v>
      </c>
      <c r="N65">
        <v>94.363845183999999</v>
      </c>
      <c r="O65">
        <v>103.32808973394427</v>
      </c>
      <c r="P65">
        <v>99.394548928894636</v>
      </c>
      <c r="Q65">
        <v>97.505622858584317</v>
      </c>
      <c r="R65">
        <v>101.82856835986023</v>
      </c>
      <c r="S65">
        <v>99.171379542889881</v>
      </c>
      <c r="W65">
        <v>105.1236249423184</v>
      </c>
      <c r="X65">
        <v>103.8380773535859</v>
      </c>
      <c r="Y65">
        <v>101.35446456943116</v>
      </c>
      <c r="Z65">
        <v>102.71021998295575</v>
      </c>
      <c r="AA65">
        <v>100.15704370080248</v>
      </c>
      <c r="AB65">
        <v>107.73715624682869</v>
      </c>
      <c r="AC65">
        <v>105.27247762890029</v>
      </c>
      <c r="AD65">
        <v>109.43720166783012</v>
      </c>
      <c r="AE65">
        <v>108.19121051198253</v>
      </c>
      <c r="AF65">
        <v>113.83416343847972</v>
      </c>
      <c r="AG65">
        <v>109.22993572536743</v>
      </c>
      <c r="AH65">
        <v>111.27757461366021</v>
      </c>
      <c r="AI65">
        <v>116.00564318521735</v>
      </c>
      <c r="AJ65">
        <v>116.92837004826279</v>
      </c>
      <c r="AK65">
        <v>112.57532343492211</v>
      </c>
    </row>
    <row r="66" spans="1:37">
      <c r="A66" t="s">
        <v>102</v>
      </c>
      <c r="B66" t="s">
        <v>231</v>
      </c>
      <c r="E66">
        <v>86.121143652000001</v>
      </c>
      <c r="F66">
        <v>84.557212497999998</v>
      </c>
      <c r="G66">
        <v>85.000238992000007</v>
      </c>
      <c r="H66">
        <v>83.673648391</v>
      </c>
      <c r="I66">
        <v>84.76452476</v>
      </c>
      <c r="J66">
        <v>82.858759769000002</v>
      </c>
      <c r="K66">
        <v>82.569729022999994</v>
      </c>
      <c r="L66">
        <v>81.783502694000006</v>
      </c>
      <c r="M66">
        <v>80.322079900000006</v>
      </c>
      <c r="N66">
        <v>81.110382525999995</v>
      </c>
      <c r="O66">
        <v>82.815835783833506</v>
      </c>
      <c r="P66">
        <v>81.201679168534014</v>
      </c>
      <c r="Q66">
        <v>82.988878417508232</v>
      </c>
      <c r="R66">
        <v>85.478896812439842</v>
      </c>
      <c r="S66">
        <v>83.774611112674549</v>
      </c>
      <c r="T66">
        <v>83.464931567477819</v>
      </c>
      <c r="U66">
        <v>82.365199049147932</v>
      </c>
      <c r="V66">
        <v>84.310771403655721</v>
      </c>
      <c r="W66">
        <v>84.214777032881599</v>
      </c>
      <c r="X66">
        <v>80.616339290114809</v>
      </c>
      <c r="Y66">
        <v>81.742534920621168</v>
      </c>
      <c r="Z66">
        <v>90.819597421706888</v>
      </c>
      <c r="AA66">
        <v>96.122219711163169</v>
      </c>
      <c r="AB66">
        <v>95.672976727254905</v>
      </c>
      <c r="AC66">
        <v>95.568427402689508</v>
      </c>
      <c r="AD66">
        <v>94.839626426699724</v>
      </c>
      <c r="AE66">
        <v>93.813281550920962</v>
      </c>
      <c r="AF66">
        <v>93.0886712405363</v>
      </c>
      <c r="AG66">
        <v>91.443739304540301</v>
      </c>
      <c r="AH66">
        <v>90.559032812018557</v>
      </c>
      <c r="AI66">
        <v>89.579603360739327</v>
      </c>
      <c r="AJ66">
        <v>88.681725938519662</v>
      </c>
      <c r="AK66">
        <v>89.970751634325651</v>
      </c>
    </row>
    <row r="67" spans="1:37">
      <c r="A67" t="s">
        <v>103</v>
      </c>
      <c r="B67" t="s">
        <v>231</v>
      </c>
      <c r="F67">
        <v>93.071102891999999</v>
      </c>
      <c r="G67">
        <v>101.45819852</v>
      </c>
      <c r="H67">
        <v>101.98325617</v>
      </c>
      <c r="K67">
        <v>102.34166562999999</v>
      </c>
      <c r="L67">
        <v>98.498741887999998</v>
      </c>
      <c r="M67">
        <v>102.39081991</v>
      </c>
      <c r="N67">
        <v>100.40493944000001</v>
      </c>
      <c r="O67">
        <v>97.987413974219436</v>
      </c>
      <c r="P67">
        <v>101.03526238546665</v>
      </c>
      <c r="R67">
        <v>100.35088367282872</v>
      </c>
      <c r="T67">
        <v>104.68741056608107</v>
      </c>
      <c r="U67">
        <v>100.81335944633018</v>
      </c>
      <c r="V67">
        <v>101.6752483383365</v>
      </c>
      <c r="W67">
        <v>101.45148865433218</v>
      </c>
      <c r="X67">
        <v>100.58797721107928</v>
      </c>
      <c r="Y67">
        <v>103.19681226672053</v>
      </c>
      <c r="Z67">
        <v>97.08793660667196</v>
      </c>
      <c r="AA67">
        <v>103.44625066186268</v>
      </c>
      <c r="AB67">
        <v>98.221687804666928</v>
      </c>
      <c r="AC67">
        <v>102.39351137903643</v>
      </c>
      <c r="AD67">
        <v>101.50264937165711</v>
      </c>
      <c r="AE67">
        <v>101.25610438224733</v>
      </c>
      <c r="AF67">
        <v>98.861658268438134</v>
      </c>
      <c r="AG67">
        <v>96.998786592636549</v>
      </c>
      <c r="AH67">
        <v>98.830744793505133</v>
      </c>
      <c r="AI67">
        <v>93.204106828796711</v>
      </c>
      <c r="AJ67">
        <v>92.33467410836478</v>
      </c>
      <c r="AK67">
        <v>96.35232793322956</v>
      </c>
    </row>
    <row r="68" spans="1:37">
      <c r="A68" t="s">
        <v>104</v>
      </c>
      <c r="B68" t="s">
        <v>231</v>
      </c>
      <c r="E68">
        <v>-22.629989705</v>
      </c>
      <c r="F68">
        <v>-21.473024516999999</v>
      </c>
      <c r="G68">
        <v>-12.571999962</v>
      </c>
      <c r="H68">
        <v>-19.800679347999999</v>
      </c>
      <c r="I68">
        <v>-21.818677779000001</v>
      </c>
      <c r="J68">
        <v>-21.707228764</v>
      </c>
      <c r="K68">
        <v>-39.909263496999998</v>
      </c>
      <c r="L68">
        <v>-65.377844727999999</v>
      </c>
      <c r="M68">
        <v>-64.101419867999994</v>
      </c>
      <c r="N68">
        <v>-86.427264483000002</v>
      </c>
      <c r="O68">
        <v>-120.09251015804377</v>
      </c>
      <c r="P68">
        <v>-134.33225850395627</v>
      </c>
      <c r="Q68">
        <v>-129.15433285630945</v>
      </c>
      <c r="R68">
        <v>-135.23348619074761</v>
      </c>
      <c r="S68">
        <v>-126.09710943844468</v>
      </c>
      <c r="T68">
        <v>-134.00547054220525</v>
      </c>
      <c r="U68">
        <v>-109.96655444587053</v>
      </c>
      <c r="V68">
        <v>-99.642336359940273</v>
      </c>
      <c r="W68">
        <v>-107.13312407314865</v>
      </c>
      <c r="X68">
        <v>-133.33151476613841</v>
      </c>
      <c r="Y68">
        <v>-123.5870217945785</v>
      </c>
      <c r="Z68">
        <v>-109.2681931095139</v>
      </c>
      <c r="AA68">
        <v>-119.07553701416786</v>
      </c>
      <c r="AB68">
        <v>-104.74399449238308</v>
      </c>
      <c r="AC68">
        <v>-144.96914007643045</v>
      </c>
      <c r="AD68">
        <v>-163.34709369978395</v>
      </c>
      <c r="AE68">
        <v>-138.72144814940168</v>
      </c>
      <c r="AF68">
        <v>-159.17985508134959</v>
      </c>
      <c r="AG68">
        <v>-138.05278473652288</v>
      </c>
      <c r="AH68">
        <v>-129.45109814824136</v>
      </c>
      <c r="AI68">
        <v>-140.24840882094381</v>
      </c>
      <c r="AJ68">
        <v>-129.43137801614452</v>
      </c>
      <c r="AK68">
        <v>-119.31063650970559</v>
      </c>
    </row>
    <row r="69" spans="1:37">
      <c r="A69" t="s">
        <v>105</v>
      </c>
      <c r="B69" t="s">
        <v>231</v>
      </c>
      <c r="E69">
        <v>20.783206346</v>
      </c>
      <c r="F69">
        <v>19.482995620000001</v>
      </c>
      <c r="G69">
        <v>19.459178367</v>
      </c>
      <c r="H69">
        <v>21.254485132999999</v>
      </c>
      <c r="I69">
        <v>21.387409341000001</v>
      </c>
      <c r="J69">
        <v>18.883969469</v>
      </c>
      <c r="K69">
        <v>17.962337035000001</v>
      </c>
      <c r="L69">
        <v>21.237226974999999</v>
      </c>
      <c r="M69">
        <v>24.169858595000001</v>
      </c>
      <c r="N69">
        <v>24.661428355000002</v>
      </c>
      <c r="O69">
        <v>25.669567632469864</v>
      </c>
      <c r="P69">
        <v>22.606308822768288</v>
      </c>
      <c r="Q69">
        <v>19.09897027522339</v>
      </c>
      <c r="R69">
        <v>16.738576175414593</v>
      </c>
      <c r="S69">
        <v>20.363705913855021</v>
      </c>
      <c r="T69">
        <v>20.12679080987261</v>
      </c>
      <c r="U69">
        <v>20.715357354973658</v>
      </c>
      <c r="V69">
        <v>20.275305248582669</v>
      </c>
      <c r="W69">
        <v>21.463409422360932</v>
      </c>
      <c r="X69">
        <v>22.574231310289456</v>
      </c>
      <c r="Y69">
        <v>22.488265264326532</v>
      </c>
      <c r="Z69">
        <v>22.922151584619385</v>
      </c>
      <c r="AA69">
        <v>20.868036363208748</v>
      </c>
      <c r="AB69">
        <v>20.294565472007477</v>
      </c>
      <c r="AC69">
        <v>21.170817551837789</v>
      </c>
      <c r="AD69">
        <v>21.515756821804551</v>
      </c>
      <c r="AE69">
        <v>22.170143894929705</v>
      </c>
      <c r="AF69">
        <v>23.1441579407064</v>
      </c>
      <c r="AG69">
        <v>23.11337671879194</v>
      </c>
      <c r="AH69">
        <v>22.909546251785017</v>
      </c>
      <c r="AI69">
        <v>21.128938720278363</v>
      </c>
      <c r="AJ69">
        <v>22.736970410501513</v>
      </c>
      <c r="AK69">
        <v>22.437621070324713</v>
      </c>
    </row>
    <row r="70" spans="1:37">
      <c r="A70" t="s">
        <v>243</v>
      </c>
      <c r="B70" t="s">
        <v>231</v>
      </c>
      <c r="E70">
        <v>76.631165667999994</v>
      </c>
      <c r="F70">
        <v>81.260821476999993</v>
      </c>
      <c r="G70">
        <v>85.958685325999994</v>
      </c>
      <c r="H70">
        <v>87.871917332999999</v>
      </c>
      <c r="I70">
        <v>92.420545476000001</v>
      </c>
      <c r="J70">
        <v>90.705336852000002</v>
      </c>
      <c r="K70">
        <v>92.702071911999994</v>
      </c>
      <c r="L70">
        <v>93.386281694999994</v>
      </c>
      <c r="M70">
        <v>89.383564942999996</v>
      </c>
      <c r="N70">
        <v>88.448233087999995</v>
      </c>
      <c r="O70">
        <v>88.862696569876093</v>
      </c>
      <c r="P70">
        <v>87.872744894592799</v>
      </c>
      <c r="Q70">
        <v>86.504119402985197</v>
      </c>
      <c r="R70">
        <v>87.342289824527953</v>
      </c>
      <c r="S70">
        <v>87.722490095986075</v>
      </c>
      <c r="T70">
        <v>83.43720308974072</v>
      </c>
      <c r="U70">
        <v>86.808836488940628</v>
      </c>
      <c r="V70">
        <v>85.362445932307978</v>
      </c>
      <c r="W70">
        <v>85.598356557747636</v>
      </c>
      <c r="X70">
        <v>86.266399716697236</v>
      </c>
      <c r="Y70">
        <v>88.080625462120125</v>
      </c>
      <c r="Z70">
        <v>87.230540520776941</v>
      </c>
      <c r="AA70">
        <v>86.546682885008323</v>
      </c>
      <c r="AB70">
        <v>88.080184992364607</v>
      </c>
      <c r="AC70">
        <v>86.8693911585965</v>
      </c>
      <c r="AD70">
        <v>86.730062810797719</v>
      </c>
      <c r="AE70">
        <v>86.937632092877124</v>
      </c>
      <c r="AF70">
        <v>88.471036646428985</v>
      </c>
      <c r="AG70">
        <v>89.469767899683589</v>
      </c>
      <c r="AH70">
        <v>88.156299076015927</v>
      </c>
      <c r="AI70">
        <v>84.51774110904914</v>
      </c>
      <c r="AJ70">
        <v>84.903526298587451</v>
      </c>
      <c r="AK70">
        <v>85.499785496121532</v>
      </c>
    </row>
    <row r="71" spans="1:37">
      <c r="A71" t="s">
        <v>107</v>
      </c>
      <c r="B71" t="s">
        <v>231</v>
      </c>
      <c r="E71">
        <v>-457.39811357000002</v>
      </c>
      <c r="F71">
        <v>-291.30822821999999</v>
      </c>
      <c r="G71">
        <v>-577.59390697000003</v>
      </c>
      <c r="H71">
        <v>-767.25961087999997</v>
      </c>
      <c r="I71">
        <v>-687.55317325999999</v>
      </c>
      <c r="J71">
        <v>-674.47262350000005</v>
      </c>
      <c r="K71">
        <v>-689.17939868999997</v>
      </c>
      <c r="L71">
        <v>-679.83750253000005</v>
      </c>
      <c r="M71">
        <v>-597.28862297000001</v>
      </c>
      <c r="N71">
        <v>-497.21743061000001</v>
      </c>
      <c r="O71">
        <v>-513.18094649729005</v>
      </c>
      <c r="P71">
        <v>-462.5712879599331</v>
      </c>
      <c r="Q71">
        <v>-401.25646861037427</v>
      </c>
      <c r="R71">
        <v>-460.65471481576407</v>
      </c>
      <c r="S71">
        <v>-452.24359168448041</v>
      </c>
      <c r="X71">
        <v>-341.33712976291434</v>
      </c>
      <c r="Y71">
        <v>-308.02156376770512</v>
      </c>
      <c r="Z71">
        <v>-370.74525952757455</v>
      </c>
      <c r="AA71">
        <v>-397.64210566788563</v>
      </c>
      <c r="AB71">
        <v>-399.28575806883043</v>
      </c>
      <c r="AC71">
        <v>-427.5232111939074</v>
      </c>
      <c r="AD71">
        <v>-356.9592795514468</v>
      </c>
      <c r="AE71">
        <v>-357.4311302782869</v>
      </c>
      <c r="AF71">
        <v>-316.19170085571631</v>
      </c>
      <c r="AG71">
        <v>-301.77313684953214</v>
      </c>
      <c r="AH71">
        <v>-338.02165504483031</v>
      </c>
      <c r="AI71">
        <v>-295.77309249847519</v>
      </c>
      <c r="AJ71">
        <v>-309.06919304075581</v>
      </c>
      <c r="AK71">
        <v>-283.0966245918691</v>
      </c>
    </row>
    <row r="72" spans="1:37">
      <c r="A72" t="s">
        <v>244</v>
      </c>
      <c r="B72" t="s">
        <v>231</v>
      </c>
      <c r="E72">
        <v>67.761808291999998</v>
      </c>
      <c r="F72">
        <v>65.182096485000002</v>
      </c>
      <c r="G72">
        <v>64.733222056000002</v>
      </c>
      <c r="H72">
        <v>59.647271537999998</v>
      </c>
      <c r="I72">
        <v>48.006701313000001</v>
      </c>
      <c r="J72">
        <v>52.707819919000002</v>
      </c>
      <c r="K72">
        <v>56.962803831999999</v>
      </c>
      <c r="L72">
        <v>48.003720862000002</v>
      </c>
      <c r="M72">
        <v>61.643669709000001</v>
      </c>
      <c r="N72">
        <v>45.981882085000002</v>
      </c>
      <c r="O72">
        <v>40.556019076460331</v>
      </c>
      <c r="P72">
        <v>38.173860047648247</v>
      </c>
      <c r="Q72">
        <v>53.872628298686585</v>
      </c>
      <c r="R72">
        <v>49.598895805543194</v>
      </c>
      <c r="S72">
        <v>49.65510112021645</v>
      </c>
      <c r="T72">
        <v>53.860002412791317</v>
      </c>
      <c r="U72">
        <v>60.864440819559206</v>
      </c>
      <c r="V72">
        <v>62.937085557172935</v>
      </c>
      <c r="W72">
        <v>74.60363064500271</v>
      </c>
      <c r="X72">
        <v>70.289159020900428</v>
      </c>
      <c r="Y72">
        <v>64.803296464974807</v>
      </c>
      <c r="Z72">
        <v>50.678249826829777</v>
      </c>
      <c r="AA72">
        <v>60.576417498223343</v>
      </c>
      <c r="AB72">
        <v>57.604438042112484</v>
      </c>
      <c r="AC72">
        <v>54.101898312221493</v>
      </c>
      <c r="AD72">
        <v>64.686260746446905</v>
      </c>
      <c r="AE72">
        <v>52.826682194937533</v>
      </c>
      <c r="AF72">
        <v>48.95522758894851</v>
      </c>
      <c r="AG72">
        <v>48.161932369175673</v>
      </c>
      <c r="AH72">
        <v>38.862477566883328</v>
      </c>
      <c r="AI72">
        <v>40.245142305044887</v>
      </c>
      <c r="AJ72">
        <v>40.614230631958897</v>
      </c>
      <c r="AK72">
        <v>33.781567030668633</v>
      </c>
    </row>
    <row r="73" spans="1:37">
      <c r="A73" t="s">
        <v>245</v>
      </c>
      <c r="B73" t="s">
        <v>231</v>
      </c>
      <c r="O73">
        <v>2.367512630190999</v>
      </c>
      <c r="P73">
        <v>3.3519948975976268</v>
      </c>
      <c r="Q73">
        <v>4.0382469241261276</v>
      </c>
      <c r="R73">
        <v>6.8439389692043218</v>
      </c>
      <c r="S73">
        <v>6.243364321412888</v>
      </c>
      <c r="T73">
        <v>6.427247219160269</v>
      </c>
      <c r="U73">
        <v>11.834231342428113</v>
      </c>
      <c r="V73">
        <v>14.385272022484783</v>
      </c>
      <c r="W73">
        <v>14.252697927609603</v>
      </c>
      <c r="X73">
        <v>18.987134311234986</v>
      </c>
      <c r="Y73">
        <v>3.4066732855826141</v>
      </c>
      <c r="Z73">
        <v>-9.5772081369475348</v>
      </c>
      <c r="AA73">
        <v>-5.8100149782136334</v>
      </c>
      <c r="AB73">
        <v>-8.6758286699976939</v>
      </c>
      <c r="AC73">
        <v>-5.3121913664252203</v>
      </c>
      <c r="AD73">
        <v>3.8541587719859787</v>
      </c>
      <c r="AE73">
        <v>-10.496566393750612</v>
      </c>
      <c r="AF73">
        <v>-18.444086724684258</v>
      </c>
      <c r="AG73">
        <v>-21.792894118625284</v>
      </c>
      <c r="AH73">
        <v>-20.588594919363423</v>
      </c>
      <c r="AI73">
        <v>-39.725538706733296</v>
      </c>
      <c r="AJ73">
        <v>-46.223622185999432</v>
      </c>
      <c r="AK73">
        <v>-49.021356106978246</v>
      </c>
    </row>
    <row r="74" spans="1:37">
      <c r="A74" t="s">
        <v>109</v>
      </c>
      <c r="B74" t="s">
        <v>231</v>
      </c>
      <c r="E74">
        <v>94.636943215000002</v>
      </c>
      <c r="F74">
        <v>88.042946522999998</v>
      </c>
      <c r="G74">
        <v>90.166485929999993</v>
      </c>
      <c r="H74">
        <v>74.262955419999997</v>
      </c>
      <c r="I74">
        <v>76.823295763999994</v>
      </c>
      <c r="J74">
        <v>73.098126835000002</v>
      </c>
      <c r="K74">
        <v>76.425564283</v>
      </c>
      <c r="L74">
        <v>61.626728755999999</v>
      </c>
      <c r="M74">
        <v>61.272116386999997</v>
      </c>
      <c r="N74">
        <v>56.421079175999999</v>
      </c>
      <c r="O74">
        <v>61.533715183206994</v>
      </c>
      <c r="P74">
        <v>62.508495053990629</v>
      </c>
      <c r="Q74">
        <v>62.190224369309391</v>
      </c>
      <c r="R74">
        <v>66.642181769981761</v>
      </c>
      <c r="S74">
        <v>73.367018042305077</v>
      </c>
      <c r="T74">
        <v>68.441760502096471</v>
      </c>
      <c r="U74">
        <v>70.48492471267582</v>
      </c>
      <c r="V74">
        <v>65.891797139556147</v>
      </c>
      <c r="W74">
        <v>62.733417344483875</v>
      </c>
      <c r="X74">
        <v>65.512285078917373</v>
      </c>
      <c r="Y74">
        <v>49.206391252291283</v>
      </c>
      <c r="Z74">
        <v>64.470192172815231</v>
      </c>
      <c r="AA74">
        <v>60.911111471633319</v>
      </c>
      <c r="AB74">
        <v>60.48006339213984</v>
      </c>
      <c r="AC74">
        <v>43.707388474046574</v>
      </c>
      <c r="AD74">
        <v>55.532959091061919</v>
      </c>
      <c r="AE74">
        <v>52.081848836622058</v>
      </c>
      <c r="AF74">
        <v>48.188683137625461</v>
      </c>
      <c r="AG74">
        <v>46.265424300395544</v>
      </c>
      <c r="AH74">
        <v>48.418636603277136</v>
      </c>
      <c r="AI74">
        <v>48.602753184695551</v>
      </c>
      <c r="AJ74">
        <v>41.023753121198347</v>
      </c>
      <c r="AK74">
        <v>40.397127165188117</v>
      </c>
    </row>
    <row r="75" spans="1:37">
      <c r="A75" t="s">
        <v>110</v>
      </c>
      <c r="B75" t="s">
        <v>231</v>
      </c>
      <c r="AB75">
        <v>100.19276299219209</v>
      </c>
      <c r="AF75">
        <v>100.79000811814132</v>
      </c>
      <c r="AG75">
        <v>100.73341863401828</v>
      </c>
      <c r="AH75">
        <v>100.20602776799544</v>
      </c>
      <c r="AI75">
        <v>97.532797135510137</v>
      </c>
      <c r="AJ75">
        <v>97.961751167903273</v>
      </c>
      <c r="AK75">
        <v>96.923460215067976</v>
      </c>
    </row>
    <row r="76" spans="1:37">
      <c r="A76" t="s">
        <v>113</v>
      </c>
      <c r="B76" t="s">
        <v>231</v>
      </c>
      <c r="E76">
        <v>-551.62303710000003</v>
      </c>
      <c r="F76">
        <v>-617.36571504000005</v>
      </c>
      <c r="G76">
        <v>-588.78192021999996</v>
      </c>
      <c r="H76">
        <v>-530.27236782</v>
      </c>
      <c r="I76">
        <v>-464.45638831000002</v>
      </c>
      <c r="J76">
        <v>-449.39526146999998</v>
      </c>
      <c r="K76">
        <v>-428.53267559</v>
      </c>
      <c r="L76">
        <v>-427.43311174000002</v>
      </c>
      <c r="M76">
        <v>-429.49892275000002</v>
      </c>
      <c r="N76">
        <v>-382.27393487000001</v>
      </c>
      <c r="O76">
        <v>-378.51031553856905</v>
      </c>
      <c r="P76">
        <v>-351.55116820985717</v>
      </c>
      <c r="Q76">
        <v>-337.41618132060933</v>
      </c>
      <c r="R76">
        <v>-368.64105395316545</v>
      </c>
      <c r="S76">
        <v>-419.06772433198762</v>
      </c>
      <c r="T76">
        <v>-436.82779867398523</v>
      </c>
      <c r="U76">
        <v>-534.2474900750027</v>
      </c>
      <c r="V76">
        <v>-645.47746554649677</v>
      </c>
      <c r="W76">
        <v>-562.96852999364205</v>
      </c>
      <c r="X76">
        <v>-466.66873245205187</v>
      </c>
      <c r="Y76">
        <v>-404.48369644959439</v>
      </c>
      <c r="Z76">
        <v>-95.193918678202309</v>
      </c>
      <c r="AA76">
        <v>-366.89178242327444</v>
      </c>
      <c r="AB76">
        <v>-282.82257397347115</v>
      </c>
      <c r="AC76">
        <v>-74.021661088120069</v>
      </c>
      <c r="AD76">
        <v>-78.202535341657637</v>
      </c>
      <c r="AE76">
        <v>-75.233248809507074</v>
      </c>
      <c r="AF76">
        <v>-172.41731692585566</v>
      </c>
      <c r="AG76">
        <v>-249.99634787412006</v>
      </c>
      <c r="AH76">
        <v>-228.66015864436676</v>
      </c>
      <c r="AI76">
        <v>-143.17726511904542</v>
      </c>
      <c r="AJ76">
        <v>-328.08093341662044</v>
      </c>
      <c r="AK76">
        <v>-249.72700792087167</v>
      </c>
    </row>
    <row r="77" spans="1:37">
      <c r="A77" t="s">
        <v>114</v>
      </c>
      <c r="B77" t="s">
        <v>231</v>
      </c>
      <c r="E77">
        <v>72.414444203000002</v>
      </c>
      <c r="F77">
        <v>72.040902970000005</v>
      </c>
      <c r="G77">
        <v>62.410411451999998</v>
      </c>
      <c r="H77">
        <v>57.610808683999998</v>
      </c>
      <c r="I77">
        <v>66.014888541999994</v>
      </c>
      <c r="J77">
        <v>63.912498868999997</v>
      </c>
      <c r="K77">
        <v>52.990871001999999</v>
      </c>
      <c r="L77">
        <v>55.497838049000002</v>
      </c>
      <c r="M77">
        <v>49.927668054000002</v>
      </c>
      <c r="N77">
        <v>53.475532121999997</v>
      </c>
      <c r="O77">
        <v>59.115735677279325</v>
      </c>
      <c r="P77">
        <v>46.784380618689895</v>
      </c>
      <c r="Q77">
        <v>41.681439496854047</v>
      </c>
      <c r="R77">
        <v>43.708001813909071</v>
      </c>
      <c r="S77">
        <v>46.614689150751701</v>
      </c>
      <c r="T77">
        <v>57.107176151703513</v>
      </c>
      <c r="U77">
        <v>62.382565208113519</v>
      </c>
      <c r="V77">
        <v>61.064011351069972</v>
      </c>
      <c r="W77">
        <v>57.900938370399743</v>
      </c>
      <c r="X77">
        <v>49.991009595213775</v>
      </c>
      <c r="Y77">
        <v>81.934338712518056</v>
      </c>
      <c r="Z77">
        <v>81.497450313807775</v>
      </c>
      <c r="AA77">
        <v>80.096410037262714</v>
      </c>
      <c r="AB77">
        <v>78.011984176499709</v>
      </c>
      <c r="AC77">
        <v>76.530231634996042</v>
      </c>
      <c r="AD77">
        <v>77.683549752736596</v>
      </c>
      <c r="AE77">
        <v>78.034927262484672</v>
      </c>
      <c r="AF77">
        <v>75.129197329921951</v>
      </c>
      <c r="AG77">
        <v>77.737570700915683</v>
      </c>
      <c r="AH77">
        <v>79.092857523903533</v>
      </c>
      <c r="AI77">
        <v>78.021757992390874</v>
      </c>
      <c r="AJ77">
        <v>76.555142731018847</v>
      </c>
      <c r="AK77">
        <v>76.166186019173651</v>
      </c>
    </row>
    <row r="78" spans="1:37">
      <c r="A78" t="s">
        <v>115</v>
      </c>
      <c r="B78" t="s">
        <v>231</v>
      </c>
      <c r="E78">
        <v>103.36422906999999</v>
      </c>
      <c r="F78">
        <v>102.31203194</v>
      </c>
      <c r="G78">
        <v>103.12528767000001</v>
      </c>
      <c r="H78">
        <v>101.83440432</v>
      </c>
      <c r="I78">
        <v>103.4061593</v>
      </c>
      <c r="J78">
        <v>103.58491997</v>
      </c>
      <c r="K78">
        <v>105.77401915999999</v>
      </c>
      <c r="L78">
        <v>106.44422586</v>
      </c>
      <c r="M78">
        <v>108.83553632</v>
      </c>
      <c r="N78">
        <v>107.3867367</v>
      </c>
      <c r="O78">
        <v>109.12135680182435</v>
      </c>
      <c r="P78">
        <v>106.94483015545092</v>
      </c>
      <c r="Q78">
        <v>108.71661382288846</v>
      </c>
      <c r="R78">
        <v>108.33992876929159</v>
      </c>
      <c r="S78">
        <v>107.58474270120664</v>
      </c>
      <c r="T78">
        <v>106.9725020419275</v>
      </c>
      <c r="U78">
        <v>107.40330578512416</v>
      </c>
      <c r="V78">
        <v>106.64376884536033</v>
      </c>
      <c r="W78">
        <v>107.5697301463171</v>
      </c>
      <c r="X78">
        <v>107.84771206366447</v>
      </c>
      <c r="Y78">
        <v>106.9598539527157</v>
      </c>
      <c r="Z78">
        <v>106.67661043295405</v>
      </c>
      <c r="AA78">
        <v>106.35829397135655</v>
      </c>
      <c r="AB78">
        <v>106.2290593363836</v>
      </c>
      <c r="AC78">
        <v>106.8874907937934</v>
      </c>
      <c r="AD78">
        <v>107.7451080831882</v>
      </c>
      <c r="AE78">
        <v>109.55505088737496</v>
      </c>
      <c r="AF78">
        <v>110.17268505595447</v>
      </c>
      <c r="AG78">
        <v>110.19238189735954</v>
      </c>
      <c r="AH78">
        <v>109.51477659908659</v>
      </c>
      <c r="AI78">
        <v>107.17546610907813</v>
      </c>
      <c r="AJ78">
        <v>108.46238974705622</v>
      </c>
      <c r="AK78">
        <v>110.29833124017688</v>
      </c>
    </row>
    <row r="79" spans="1:37">
      <c r="A79" t="s">
        <v>116</v>
      </c>
      <c r="B79" t="s">
        <v>231</v>
      </c>
      <c r="E79">
        <v>12.485438949000001</v>
      </c>
      <c r="F79">
        <v>13.378417364000001</v>
      </c>
      <c r="G79">
        <v>12.706497005999999</v>
      </c>
      <c r="H79">
        <v>12.677836496999999</v>
      </c>
      <c r="I79">
        <v>16.302336679</v>
      </c>
      <c r="J79">
        <v>13.051420603</v>
      </c>
      <c r="K79">
        <v>14.106296929999999</v>
      </c>
      <c r="L79">
        <v>14.964016822</v>
      </c>
      <c r="M79">
        <v>16.407091781999998</v>
      </c>
      <c r="N79">
        <v>15.360799496</v>
      </c>
      <c r="O79">
        <v>15.906687402799365</v>
      </c>
      <c r="P79">
        <v>15.313148254402629</v>
      </c>
      <c r="Q79">
        <v>11.381808951297472</v>
      </c>
      <c r="R79">
        <v>11.931268021548295</v>
      </c>
      <c r="S79">
        <v>11.639573832887921</v>
      </c>
      <c r="T79">
        <v>12.623091797525493</v>
      </c>
      <c r="AF79">
        <v>13.700649079973823</v>
      </c>
    </row>
    <row r="80" spans="1:37">
      <c r="A80" t="s">
        <v>118</v>
      </c>
      <c r="B80" t="s">
        <v>231</v>
      </c>
      <c r="E80">
        <v>-121.97081419</v>
      </c>
      <c r="F80">
        <v>-94.665639454000001</v>
      </c>
      <c r="G80">
        <v>-85.454065665000002</v>
      </c>
      <c r="H80">
        <v>-73.076015350000006</v>
      </c>
      <c r="I80">
        <v>-77.954782757000004</v>
      </c>
      <c r="J80">
        <v>-83.411516500000005</v>
      </c>
      <c r="K80">
        <v>-81.812192526000004</v>
      </c>
      <c r="L80">
        <v>-64.151045048</v>
      </c>
      <c r="M80">
        <v>-73.579514036999996</v>
      </c>
      <c r="N80">
        <v>-67.986309649000006</v>
      </c>
      <c r="O80">
        <v>-56.709048595361821</v>
      </c>
      <c r="P80">
        <v>-51.95574993666132</v>
      </c>
      <c r="Q80">
        <v>-52.479720493294792</v>
      </c>
      <c r="R80">
        <v>-50.441782965638815</v>
      </c>
      <c r="S80">
        <v>-48.078049729862549</v>
      </c>
      <c r="T80">
        <v>-43.778210191101586</v>
      </c>
      <c r="U80">
        <v>-38.718912436780769</v>
      </c>
      <c r="V80">
        <v>-29.753934130986281</v>
      </c>
      <c r="W80">
        <v>-25.481199287231927</v>
      </c>
      <c r="X80">
        <v>-26.477671830893417</v>
      </c>
      <c r="Y80">
        <v>-19.48408235782161</v>
      </c>
      <c r="Z80">
        <v>-9.8634794163422086</v>
      </c>
      <c r="AA80">
        <v>-10.728787524211103</v>
      </c>
      <c r="AB80">
        <v>-1.0219603843129812</v>
      </c>
      <c r="AC80">
        <v>-1.3167489679801825</v>
      </c>
      <c r="AD80">
        <v>-9.7860964379729332</v>
      </c>
      <c r="AE80">
        <v>-8.093858555371602</v>
      </c>
      <c r="AF80">
        <v>-9.4661971684031609</v>
      </c>
      <c r="AG80">
        <v>-2.3163284710038723</v>
      </c>
      <c r="AH80">
        <v>0.41944176997829941</v>
      </c>
      <c r="AI80">
        <v>1.4599273272105955</v>
      </c>
      <c r="AJ80">
        <v>-0.73979782068531064</v>
      </c>
      <c r="AK80">
        <v>-0.57872668604002186</v>
      </c>
    </row>
    <row r="81" spans="1:37">
      <c r="A81" t="s">
        <v>121</v>
      </c>
      <c r="B81" t="s">
        <v>231</v>
      </c>
      <c r="X81">
        <v>251.62294353045738</v>
      </c>
      <c r="Y81">
        <v>282.24368287610747</v>
      </c>
      <c r="Z81">
        <v>276.23509857863388</v>
      </c>
      <c r="AA81">
        <v>247.82984937396878</v>
      </c>
      <c r="AB81">
        <v>276.57985682547474</v>
      </c>
      <c r="AC81">
        <v>264.16369669411341</v>
      </c>
      <c r="AD81">
        <v>347.15181652874236</v>
      </c>
      <c r="AE81">
        <v>419.05849358974433</v>
      </c>
      <c r="AF81">
        <v>450.1814594270819</v>
      </c>
      <c r="AG81">
        <v>437.49649368863987</v>
      </c>
      <c r="AH81">
        <v>424.20782468493928</v>
      </c>
      <c r="AI81">
        <v>417.46273830155945</v>
      </c>
      <c r="AJ81">
        <v>376.5708488332761</v>
      </c>
      <c r="AK81">
        <v>389.55283799641774</v>
      </c>
    </row>
    <row r="82" spans="1:37">
      <c r="A82" t="s">
        <v>124</v>
      </c>
      <c r="B82" t="s">
        <v>231</v>
      </c>
      <c r="E82">
        <v>-56.184491563000002</v>
      </c>
      <c r="F82">
        <v>-55.67468375</v>
      </c>
      <c r="G82">
        <v>-53.579816098000002</v>
      </c>
      <c r="H82">
        <v>-53.696187391999999</v>
      </c>
      <c r="I82">
        <v>-48.441723162999999</v>
      </c>
      <c r="J82">
        <v>-52.170608815000001</v>
      </c>
      <c r="K82">
        <v>-55.940782589999998</v>
      </c>
      <c r="L82">
        <v>-56.451390261</v>
      </c>
      <c r="M82">
        <v>-52.515592509000001</v>
      </c>
      <c r="N82">
        <v>-46.802845302000001</v>
      </c>
      <c r="O82">
        <v>-47.587396683015257</v>
      </c>
      <c r="P82">
        <v>-47.579631524170566</v>
      </c>
      <c r="Q82">
        <v>-49.19681542772021</v>
      </c>
      <c r="R82">
        <v>-51.588828182438171</v>
      </c>
      <c r="S82">
        <v>-51.311260879277668</v>
      </c>
      <c r="T82">
        <v>-43.771855167486272</v>
      </c>
      <c r="U82">
        <v>-40.357074384768929</v>
      </c>
      <c r="V82">
        <v>-34.278330067303067</v>
      </c>
      <c r="W82">
        <v>-25.823200887849723</v>
      </c>
      <c r="X82">
        <v>-23.08671820632291</v>
      </c>
      <c r="Y82">
        <v>-22.451612423110291</v>
      </c>
      <c r="Z82">
        <v>-17.62941629463522</v>
      </c>
      <c r="AA82">
        <v>-11.711054039166987</v>
      </c>
      <c r="AB82">
        <v>-10.433447185025599</v>
      </c>
      <c r="AC82">
        <v>-7.8757256111197105</v>
      </c>
      <c r="AD82">
        <v>-0.83822344003325611</v>
      </c>
      <c r="AE82">
        <v>4.9338371530955598</v>
      </c>
      <c r="AF82">
        <v>11.434041926456883</v>
      </c>
      <c r="AG82">
        <v>16.791317915759578</v>
      </c>
      <c r="AH82">
        <v>18.299439714700004</v>
      </c>
      <c r="AI82">
        <v>10.889549662812312</v>
      </c>
      <c r="AJ82">
        <v>15.311755823442413</v>
      </c>
      <c r="AK82">
        <v>21.105076487945727</v>
      </c>
    </row>
    <row r="83" spans="1:37">
      <c r="A83" t="s">
        <v>246</v>
      </c>
      <c r="B83" t="s">
        <v>231</v>
      </c>
      <c r="E83">
        <v>99.963304523999994</v>
      </c>
      <c r="F83">
        <v>99.400263398000007</v>
      </c>
      <c r="G83">
        <v>98.160545033999995</v>
      </c>
      <c r="H83">
        <v>93.722115372999994</v>
      </c>
      <c r="J83">
        <v>99.483218520999998</v>
      </c>
      <c r="K83">
        <v>94.558303886999994</v>
      </c>
      <c r="L83">
        <v>100.50158558</v>
      </c>
      <c r="Q83">
        <v>96.871890211446498</v>
      </c>
      <c r="R83">
        <v>98.156413463725016</v>
      </c>
      <c r="S83">
        <v>96.68184775536767</v>
      </c>
      <c r="T83">
        <v>97.0851805154484</v>
      </c>
      <c r="U83">
        <v>96.522154395581623</v>
      </c>
      <c r="V83">
        <v>98.067376263216445</v>
      </c>
      <c r="W83">
        <v>97.117118401265714</v>
      </c>
      <c r="X83">
        <v>96.959355569389388</v>
      </c>
      <c r="Y83">
        <v>84.372537588806864</v>
      </c>
      <c r="Z83">
        <v>85.638972895502874</v>
      </c>
      <c r="AA83">
        <v>84.016208914903316</v>
      </c>
      <c r="AB83">
        <v>82.42634462046064</v>
      </c>
      <c r="AC83">
        <v>81.784688275058784</v>
      </c>
      <c r="AD83">
        <v>82.573869819132469</v>
      </c>
      <c r="AE83">
        <v>81.908130316241795</v>
      </c>
      <c r="AF83">
        <v>80.883146527394373</v>
      </c>
      <c r="AG83">
        <v>81.977512447202557</v>
      </c>
      <c r="AH83">
        <v>84.157587420737144</v>
      </c>
      <c r="AI83">
        <v>84.095856512921614</v>
      </c>
      <c r="AJ83">
        <v>83.750421084485197</v>
      </c>
      <c r="AK83">
        <v>86.563666060260005</v>
      </c>
    </row>
    <row r="84" spans="1:37">
      <c r="A84" t="s">
        <v>125</v>
      </c>
      <c r="B84" t="s">
        <v>231</v>
      </c>
      <c r="E84">
        <v>20.538466904</v>
      </c>
      <c r="F84">
        <v>14.415800625999999</v>
      </c>
      <c r="G84">
        <v>12.908653673</v>
      </c>
      <c r="J84">
        <v>18.033820733999999</v>
      </c>
      <c r="K84">
        <v>19.477495842</v>
      </c>
      <c r="L84">
        <v>20.468112188999999</v>
      </c>
      <c r="M84">
        <v>20.635646259000001</v>
      </c>
      <c r="N84">
        <v>19.373491881</v>
      </c>
      <c r="O84">
        <v>20.20956096365359</v>
      </c>
      <c r="P84">
        <v>20.012813733067603</v>
      </c>
      <c r="Q84">
        <v>19.525715752740876</v>
      </c>
      <c r="R84">
        <v>21.557376250645394</v>
      </c>
      <c r="S84">
        <v>22.820682484166753</v>
      </c>
      <c r="T84">
        <v>-29.702201404386379</v>
      </c>
      <c r="U84">
        <v>-30.653938288819738</v>
      </c>
      <c r="V84">
        <v>-42.201320244895086</v>
      </c>
      <c r="W84">
        <v>-58.498678149955005</v>
      </c>
      <c r="X84">
        <v>-117.29550889376594</v>
      </c>
      <c r="Y84">
        <v>-277.86145880957474</v>
      </c>
      <c r="Z84">
        <v>-247.8711953428359</v>
      </c>
      <c r="AA84">
        <v>-300.95080321826958</v>
      </c>
      <c r="AB84">
        <v>-231.99548245923606</v>
      </c>
      <c r="AC84">
        <v>-248.6561830205145</v>
      </c>
      <c r="AD84">
        <v>-210.64975749880296</v>
      </c>
      <c r="AE84">
        <v>-327.32472944486864</v>
      </c>
      <c r="AF84">
        <v>-374.49135949604107</v>
      </c>
      <c r="AG84">
        <v>-364.04722802095051</v>
      </c>
      <c r="AH84">
        <v>-269.08596406725928</v>
      </c>
      <c r="AI84">
        <v>-224.96555859900403</v>
      </c>
      <c r="AJ84">
        <v>-115.04008806531516</v>
      </c>
      <c r="AK84">
        <v>-226.427034086937</v>
      </c>
    </row>
    <row r="85" spans="1:37">
      <c r="A85" t="s">
        <v>127</v>
      </c>
      <c r="B85" t="s">
        <v>231</v>
      </c>
      <c r="E85">
        <v>85.346592388000005</v>
      </c>
      <c r="F85">
        <v>81.289360242000001</v>
      </c>
      <c r="G85">
        <v>88.061273632999999</v>
      </c>
      <c r="H85">
        <v>86.295837946999995</v>
      </c>
      <c r="I85">
        <v>87.460498873999995</v>
      </c>
      <c r="J85">
        <v>88.344630022999993</v>
      </c>
      <c r="K85">
        <v>84.649681064000006</v>
      </c>
      <c r="L85">
        <v>89.250383662000004</v>
      </c>
      <c r="M85">
        <v>89.337506254999994</v>
      </c>
      <c r="N85">
        <v>88.020803827999998</v>
      </c>
      <c r="O85">
        <v>90.137099134053528</v>
      </c>
      <c r="P85">
        <v>94.801272640279123</v>
      </c>
      <c r="Q85">
        <v>88.157465932270796</v>
      </c>
      <c r="R85">
        <v>91.416251778094136</v>
      </c>
      <c r="S85">
        <v>83.343073924209108</v>
      </c>
      <c r="T85">
        <v>86.819269873984823</v>
      </c>
      <c r="U85">
        <v>87.458484745038348</v>
      </c>
      <c r="V85">
        <v>91.897611079766961</v>
      </c>
      <c r="W85">
        <v>89.618583864090198</v>
      </c>
      <c r="X85">
        <v>93.605032434922919</v>
      </c>
      <c r="Y85">
        <v>95.927096894179215</v>
      </c>
      <c r="Z85">
        <v>95.435532836866528</v>
      </c>
      <c r="AA85">
        <v>103.80375398236885</v>
      </c>
      <c r="AB85">
        <v>99.661035969975231</v>
      </c>
      <c r="AC85">
        <v>102.78751819258093</v>
      </c>
      <c r="AD85">
        <v>96.036652939570544</v>
      </c>
      <c r="AE85">
        <v>94.925096630784495</v>
      </c>
      <c r="AF85">
        <v>95.127932316967915</v>
      </c>
      <c r="AG85">
        <v>96.286828337830315</v>
      </c>
      <c r="AH85">
        <v>92.42728367577827</v>
      </c>
      <c r="AI85">
        <v>90.732170337365915</v>
      </c>
      <c r="AJ85">
        <v>91.355701036551906</v>
      </c>
      <c r="AK85">
        <v>94.00201185039306</v>
      </c>
    </row>
    <row r="86" spans="1:37">
      <c r="A86" t="s">
        <v>128</v>
      </c>
      <c r="B86" t="s">
        <v>231</v>
      </c>
      <c r="E86">
        <v>6.3472753650999998</v>
      </c>
      <c r="F86">
        <v>5.8572650668000001</v>
      </c>
      <c r="G86">
        <v>6.3294344431000003</v>
      </c>
      <c r="H86">
        <v>6.6983519388000001</v>
      </c>
      <c r="I86">
        <v>6.3539642671000003</v>
      </c>
      <c r="J86">
        <v>6.3365483054</v>
      </c>
      <c r="K86">
        <v>6.0480286846000002</v>
      </c>
      <c r="L86">
        <v>6.2508430581000001</v>
      </c>
      <c r="M86">
        <v>1.3040930838</v>
      </c>
      <c r="N86">
        <v>-2.1277342543</v>
      </c>
      <c r="O86">
        <v>-0.26945569948704323</v>
      </c>
      <c r="P86">
        <v>0.92847807443641495</v>
      </c>
      <c r="Q86">
        <v>-0.95383441434566896</v>
      </c>
      <c r="R86">
        <v>5.2835993753033703</v>
      </c>
      <c r="S86">
        <v>-7.3911153023022109</v>
      </c>
      <c r="T86">
        <v>-18.029179887215466</v>
      </c>
      <c r="U86">
        <v>-20.990519891609992</v>
      </c>
      <c r="V86">
        <v>-25.031740506853652</v>
      </c>
      <c r="W86">
        <v>-27.671038936691509</v>
      </c>
      <c r="X86">
        <v>-25.20916988904704</v>
      </c>
      <c r="Y86">
        <v>-28.806133983234112</v>
      </c>
      <c r="Z86">
        <v>-21.51367190159386</v>
      </c>
      <c r="AA86">
        <v>-32.040177322516158</v>
      </c>
      <c r="AB86">
        <v>-38.854846709988969</v>
      </c>
      <c r="AC86">
        <v>-44.254345483451644</v>
      </c>
      <c r="AD86">
        <v>-44.355366186391677</v>
      </c>
      <c r="AE86">
        <v>-73.747220953949622</v>
      </c>
      <c r="AF86">
        <v>-123.05939354123487</v>
      </c>
      <c r="AG86">
        <v>-110.81296099027769</v>
      </c>
      <c r="AH86">
        <v>-82.456795142661051</v>
      </c>
      <c r="AI86">
        <v>-63.540992656208125</v>
      </c>
      <c r="AJ86">
        <v>-74.3114353674017</v>
      </c>
      <c r="AK86">
        <v>-106.35242725574527</v>
      </c>
    </row>
    <row r="87" spans="1:37">
      <c r="A87" t="s">
        <v>129</v>
      </c>
      <c r="B87" t="s">
        <v>231</v>
      </c>
      <c r="E87">
        <v>8.4524805122999994E-2</v>
      </c>
      <c r="F87">
        <v>0.82114091060000005</v>
      </c>
      <c r="G87">
        <v>1.6627738482000001</v>
      </c>
      <c r="H87">
        <v>2.6476284071</v>
      </c>
      <c r="I87">
        <v>3.3470125371999999</v>
      </c>
      <c r="J87">
        <v>5.5721155596000003</v>
      </c>
      <c r="K87">
        <v>5.7181379821</v>
      </c>
      <c r="L87">
        <v>7.8396447973000001</v>
      </c>
      <c r="M87">
        <v>2.2855306184000002</v>
      </c>
      <c r="N87">
        <v>-9.3477072403000001</v>
      </c>
      <c r="O87">
        <v>-20.456743646211542</v>
      </c>
      <c r="P87">
        <v>-26.110850951233328</v>
      </c>
      <c r="Q87">
        <v>-28.807260378414785</v>
      </c>
      <c r="R87">
        <v>-30.947553599386101</v>
      </c>
      <c r="S87">
        <v>-36.293517218251424</v>
      </c>
      <c r="T87">
        <v>-49.471923659526254</v>
      </c>
      <c r="U87">
        <v>-49.464237729303065</v>
      </c>
      <c r="V87">
        <v>-50.241826836027435</v>
      </c>
      <c r="W87">
        <v>-49.932816075629091</v>
      </c>
      <c r="X87">
        <v>-54.236065595924018</v>
      </c>
      <c r="Y87">
        <v>-63.347748958191261</v>
      </c>
      <c r="Z87">
        <v>-60.709039660169218</v>
      </c>
      <c r="AA87">
        <v>-48.016472614514925</v>
      </c>
      <c r="AB87">
        <v>-41.595193913249474</v>
      </c>
      <c r="AC87">
        <v>-43.45112982197378</v>
      </c>
      <c r="AD87">
        <v>-49.93888371502355</v>
      </c>
      <c r="AE87">
        <v>-45.853432968333884</v>
      </c>
      <c r="AF87">
        <v>-26.825719199969157</v>
      </c>
      <c r="AG87">
        <v>-21.452960321720596</v>
      </c>
      <c r="AH87">
        <v>-23.663232736540326</v>
      </c>
      <c r="AI87">
        <v>-21.885312227038938</v>
      </c>
      <c r="AJ87">
        <v>-26.92513676681466</v>
      </c>
      <c r="AK87">
        <v>-19.025954239222024</v>
      </c>
    </row>
    <row r="88" spans="1:37">
      <c r="A88" t="s">
        <v>130</v>
      </c>
      <c r="B88" t="s">
        <v>231</v>
      </c>
      <c r="F88">
        <v>59.924636264999997</v>
      </c>
      <c r="G88">
        <v>64.244836206000002</v>
      </c>
      <c r="H88">
        <v>68.731265676000007</v>
      </c>
      <c r="I88">
        <v>74.847725850000003</v>
      </c>
      <c r="J88">
        <v>71.046602446999998</v>
      </c>
      <c r="K88">
        <v>75.759707031000005</v>
      </c>
      <c r="L88">
        <v>77.463382156999998</v>
      </c>
      <c r="M88">
        <v>74.896911939999995</v>
      </c>
      <c r="N88">
        <v>73.330563441999999</v>
      </c>
      <c r="O88">
        <v>68.65702243991349</v>
      </c>
      <c r="P88">
        <v>72.802618074785713</v>
      </c>
      <c r="Q88">
        <v>68.935097668556907</v>
      </c>
      <c r="R88">
        <v>70.740397777598773</v>
      </c>
      <c r="S88">
        <v>69.030212607236351</v>
      </c>
      <c r="T88">
        <v>69.125961787844531</v>
      </c>
      <c r="U88">
        <v>70.023358422008414</v>
      </c>
      <c r="V88">
        <v>69.304678481699995</v>
      </c>
      <c r="W88">
        <v>70.101236999200168</v>
      </c>
      <c r="X88">
        <v>70.965973086727104</v>
      </c>
      <c r="Y88">
        <v>75.532560275943339</v>
      </c>
      <c r="Z88">
        <v>75.646124942876824</v>
      </c>
      <c r="AA88">
        <v>73.554204098935116</v>
      </c>
      <c r="AB88">
        <v>76.675505887552475</v>
      </c>
      <c r="AC88">
        <v>74.664035756461274</v>
      </c>
      <c r="AD88">
        <v>77.541284918552776</v>
      </c>
      <c r="AE88">
        <v>76.78571428571405</v>
      </c>
      <c r="AF88">
        <v>73.892938526938806</v>
      </c>
      <c r="AG88">
        <v>77.542121162329352</v>
      </c>
      <c r="AH88">
        <v>71.534119417962756</v>
      </c>
      <c r="AI88">
        <v>63.897132829234323</v>
      </c>
      <c r="AJ88">
        <v>65.491419656786292</v>
      </c>
      <c r="AK88">
        <v>60.499898540171834</v>
      </c>
    </row>
    <row r="89" spans="1:37">
      <c r="A89" t="s">
        <v>132</v>
      </c>
      <c r="B89" t="s">
        <v>231</v>
      </c>
      <c r="E89">
        <v>5.2688677688999999</v>
      </c>
      <c r="F89">
        <v>6.3190490459999999</v>
      </c>
      <c r="G89">
        <v>6.7546377919999996</v>
      </c>
      <c r="H89">
        <v>7.1969020411000004</v>
      </c>
      <c r="I89">
        <v>8.4646297824999994</v>
      </c>
      <c r="J89">
        <v>9.0698195714000001</v>
      </c>
      <c r="K89">
        <v>9.3498858626000008</v>
      </c>
      <c r="L89">
        <v>10.454839186999999</v>
      </c>
      <c r="M89">
        <v>10.799976381</v>
      </c>
      <c r="N89">
        <v>13.324378276999999</v>
      </c>
      <c r="O89">
        <v>12.653015540134541</v>
      </c>
      <c r="P89">
        <v>12.868031812206462</v>
      </c>
      <c r="Q89">
        <v>10.586417054687686</v>
      </c>
      <c r="R89">
        <v>10.982509935355052</v>
      </c>
      <c r="S89">
        <v>10.424270936413429</v>
      </c>
      <c r="T89">
        <v>11.432225197707059</v>
      </c>
      <c r="U89">
        <v>9.5447697956877864</v>
      </c>
      <c r="V89">
        <v>9.5066808973543306</v>
      </c>
      <c r="W89">
        <v>10.691647723469799</v>
      </c>
      <c r="X89">
        <v>12.104064226236623</v>
      </c>
      <c r="Y89">
        <v>13.851962226812159</v>
      </c>
      <c r="Z89">
        <v>14.391169758456257</v>
      </c>
      <c r="AA89">
        <v>17.198087168322527</v>
      </c>
      <c r="AB89">
        <v>16.926274672170383</v>
      </c>
      <c r="AC89">
        <v>18.539766833671738</v>
      </c>
      <c r="AD89">
        <v>16.842349008829476</v>
      </c>
      <c r="AE89">
        <v>23.063470874691529</v>
      </c>
      <c r="AF89">
        <v>25.907525078899845</v>
      </c>
      <c r="AG89">
        <v>28.056569266167241</v>
      </c>
      <c r="AH89">
        <v>26.828448648121565</v>
      </c>
      <c r="AI89">
        <v>29.159632958307043</v>
      </c>
      <c r="AJ89">
        <v>29.261225341338449</v>
      </c>
      <c r="AK89">
        <v>27.413724871847105</v>
      </c>
    </row>
    <row r="90" spans="1:37">
      <c r="A90" t="s">
        <v>133</v>
      </c>
      <c r="B90" t="s">
        <v>231</v>
      </c>
      <c r="E90">
        <v>27.678141186000001</v>
      </c>
      <c r="F90">
        <v>22.16757707</v>
      </c>
      <c r="G90">
        <v>22.516557207000002</v>
      </c>
      <c r="H90">
        <v>20.922640919999999</v>
      </c>
      <c r="I90">
        <v>26.409312858</v>
      </c>
      <c r="J90">
        <v>24.395004234999998</v>
      </c>
      <c r="K90">
        <v>20.840695714999999</v>
      </c>
      <c r="L90">
        <v>31.224106724999999</v>
      </c>
      <c r="M90">
        <v>34.670530908000003</v>
      </c>
      <c r="N90">
        <v>37.587955997000002</v>
      </c>
      <c r="O90">
        <v>46.482049388496684</v>
      </c>
      <c r="P90">
        <v>42.009290856459508</v>
      </c>
      <c r="Q90">
        <v>42.74943997005429</v>
      </c>
      <c r="R90">
        <v>46.518875095760727</v>
      </c>
      <c r="S90">
        <v>39.061266979456406</v>
      </c>
      <c r="T90">
        <v>46.542741457226825</v>
      </c>
      <c r="U90">
        <v>48.125329579958091</v>
      </c>
      <c r="V90">
        <v>47.041386684021639</v>
      </c>
      <c r="W90">
        <v>41.978997535806428</v>
      </c>
      <c r="X90">
        <v>41.843164506082402</v>
      </c>
      <c r="Y90">
        <v>34.041784091371689</v>
      </c>
      <c r="Z90">
        <v>36.308396413233901</v>
      </c>
      <c r="AA90">
        <v>37.264810025515857</v>
      </c>
      <c r="AB90">
        <v>28.843921447429917</v>
      </c>
      <c r="AC90">
        <v>38.135037450302093</v>
      </c>
      <c r="AD90">
        <v>58.819996608432049</v>
      </c>
      <c r="AE90">
        <v>55.488296077467503</v>
      </c>
      <c r="AF90">
        <v>62.324861799398626</v>
      </c>
      <c r="AG90">
        <v>71.684892827564823</v>
      </c>
      <c r="AH90">
        <v>78.254490110402074</v>
      </c>
      <c r="AI90">
        <v>81.760382337753214</v>
      </c>
      <c r="AJ90">
        <v>69.946221812948863</v>
      </c>
      <c r="AK90">
        <v>99.358765273544279</v>
      </c>
    </row>
    <row r="91" spans="1:37">
      <c r="A91" t="s">
        <v>135</v>
      </c>
      <c r="B91" t="s">
        <v>231</v>
      </c>
      <c r="E91">
        <v>16.313417691000001</v>
      </c>
      <c r="F91">
        <v>14.34341981</v>
      </c>
      <c r="G91">
        <v>14.851991909000001</v>
      </c>
      <c r="H91">
        <v>14.211229478</v>
      </c>
      <c r="I91">
        <v>18.724220468999999</v>
      </c>
      <c r="J91">
        <v>20.321389297</v>
      </c>
      <c r="K91">
        <v>18.046032887999999</v>
      </c>
      <c r="L91">
        <v>16.110218543999999</v>
      </c>
      <c r="M91">
        <v>21.453777683999999</v>
      </c>
      <c r="N91">
        <v>19.847201986999998</v>
      </c>
      <c r="O91">
        <v>19.547953065619957</v>
      </c>
      <c r="P91">
        <v>19.148230645675866</v>
      </c>
      <c r="Q91">
        <v>21.606475454877156</v>
      </c>
      <c r="R91">
        <v>26.111646236539372</v>
      </c>
      <c r="S91">
        <v>30.557269033202118</v>
      </c>
      <c r="T91">
        <v>29.205299328082408</v>
      </c>
      <c r="U91">
        <v>28.433016029300134</v>
      </c>
      <c r="V91">
        <v>25.305340798380964</v>
      </c>
      <c r="W91">
        <v>16.853235106314635</v>
      </c>
      <c r="X91">
        <v>19.515838423817158</v>
      </c>
      <c r="Y91">
        <v>16.103318141565392</v>
      </c>
      <c r="Z91">
        <v>19.082206005020819</v>
      </c>
      <c r="AA91">
        <v>19.907115570103748</v>
      </c>
      <c r="AB91">
        <v>24.358241513578072</v>
      </c>
      <c r="AC91">
        <v>22.429508003071291</v>
      </c>
      <c r="AD91">
        <v>23.878274786211175</v>
      </c>
      <c r="AE91">
        <v>28.760950534937162</v>
      </c>
      <c r="AF91">
        <v>28.825977977637425</v>
      </c>
      <c r="AG91">
        <v>33.517885290758272</v>
      </c>
      <c r="AH91">
        <v>31.844273155669246</v>
      </c>
      <c r="AI91">
        <v>30.645786551782088</v>
      </c>
      <c r="AJ91">
        <v>29.393245082152479</v>
      </c>
      <c r="AK91">
        <v>28.821420857268841</v>
      </c>
    </row>
    <row r="92" spans="1:37">
      <c r="A92" t="s">
        <v>136</v>
      </c>
      <c r="B92" t="s">
        <v>231</v>
      </c>
      <c r="E92">
        <v>31.656447527000001</v>
      </c>
      <c r="F92">
        <v>29.798573556000001</v>
      </c>
      <c r="G92">
        <v>34.392365435999999</v>
      </c>
      <c r="H92">
        <v>34.036817376999998</v>
      </c>
      <c r="I92">
        <v>31.384931708</v>
      </c>
      <c r="J92">
        <v>38.649683684999999</v>
      </c>
      <c r="K92">
        <v>40.810687277</v>
      </c>
      <c r="L92">
        <v>40.585391997999999</v>
      </c>
      <c r="M92">
        <v>46.72639015</v>
      </c>
      <c r="N92">
        <v>45.418349962999997</v>
      </c>
      <c r="O92">
        <v>46.0536194558223</v>
      </c>
      <c r="P92">
        <v>50.26557173262011</v>
      </c>
      <c r="Q92">
        <v>48.441486307108633</v>
      </c>
      <c r="R92">
        <v>51.529343426092225</v>
      </c>
      <c r="S92">
        <v>47.838319180238962</v>
      </c>
      <c r="T92">
        <v>47.799466486006068</v>
      </c>
      <c r="U92">
        <v>49.548120097818646</v>
      </c>
      <c r="V92">
        <v>50.359058486727356</v>
      </c>
      <c r="W92">
        <v>45.01384041400884</v>
      </c>
      <c r="X92">
        <v>47.617357352027526</v>
      </c>
      <c r="Y92">
        <v>43.561333375302944</v>
      </c>
      <c r="Z92">
        <v>51.18070092772102</v>
      </c>
      <c r="AA92">
        <v>43.830999592993827</v>
      </c>
      <c r="AB92">
        <v>42.735675956378714</v>
      </c>
      <c r="AC92">
        <v>39.831060001207625</v>
      </c>
      <c r="AD92">
        <v>46.190711964249566</v>
      </c>
      <c r="AE92">
        <v>43.17138333058211</v>
      </c>
      <c r="AF92">
        <v>44.457334210368842</v>
      </c>
      <c r="AG92">
        <v>41.014279574578808</v>
      </c>
      <c r="AH92">
        <v>44.588333064289621</v>
      </c>
      <c r="AI92">
        <v>40.605879533670795</v>
      </c>
      <c r="AJ92">
        <v>41.809653720056467</v>
      </c>
      <c r="AK92">
        <v>46.491018243554763</v>
      </c>
    </row>
    <row r="93" spans="1:37">
      <c r="A93" t="s">
        <v>137</v>
      </c>
      <c r="B93" t="s">
        <v>231</v>
      </c>
      <c r="S93">
        <v>14.121005360997016</v>
      </c>
      <c r="T93">
        <v>13.254439500186017</v>
      </c>
      <c r="U93">
        <v>13.097375968265027</v>
      </c>
      <c r="V93">
        <v>15.84398272171447</v>
      </c>
      <c r="W93">
        <v>15.243805445090283</v>
      </c>
      <c r="X93">
        <v>17.743276001385201</v>
      </c>
      <c r="Y93">
        <v>20.023350221184472</v>
      </c>
      <c r="AA93">
        <v>-0.13978718965159639</v>
      </c>
      <c r="AB93">
        <v>-4.0978007330889632</v>
      </c>
      <c r="AC93">
        <v>-3.8387480027858705</v>
      </c>
      <c r="AD93">
        <v>-0.33491397702296916</v>
      </c>
      <c r="AE93">
        <v>-2.7524588110004267</v>
      </c>
      <c r="AF93">
        <v>-8.3574134471618997</v>
      </c>
      <c r="AG93">
        <v>-4.3116913736700955</v>
      </c>
      <c r="AH93">
        <v>-2.6244967079606143</v>
      </c>
      <c r="AI93">
        <v>-3.4118160017440551</v>
      </c>
      <c r="AJ93">
        <v>-2.6656384551121381</v>
      </c>
      <c r="AK93">
        <v>5.405578524427872</v>
      </c>
    </row>
    <row r="94" spans="1:37">
      <c r="A94" t="s">
        <v>138</v>
      </c>
      <c r="B94" t="s">
        <v>231</v>
      </c>
      <c r="E94">
        <v>-284.44628082000003</v>
      </c>
      <c r="F94">
        <v>-276.5519415</v>
      </c>
      <c r="G94">
        <v>-270.61030648000002</v>
      </c>
      <c r="H94">
        <v>-274.48214471</v>
      </c>
      <c r="I94">
        <v>-314.28653157999997</v>
      </c>
      <c r="J94">
        <v>-318.81529740000002</v>
      </c>
      <c r="K94">
        <v>-328.64645177</v>
      </c>
      <c r="L94">
        <v>-333.39961626000002</v>
      </c>
      <c r="M94">
        <v>-302.14153754</v>
      </c>
      <c r="N94">
        <v>-297.51269966000001</v>
      </c>
      <c r="O94">
        <v>-317.89004275187648</v>
      </c>
      <c r="P94">
        <v>-314.40166280806176</v>
      </c>
      <c r="Q94">
        <v>-261.48516131881223</v>
      </c>
      <c r="R94">
        <v>-284.289425148183</v>
      </c>
      <c r="S94">
        <v>-323.22385803285243</v>
      </c>
      <c r="T94">
        <v>-288.28095970765924</v>
      </c>
      <c r="U94">
        <v>-294.18594364214584</v>
      </c>
      <c r="V94">
        <v>-295.57471359741561</v>
      </c>
      <c r="W94">
        <v>-257.74780976352423</v>
      </c>
      <c r="X94">
        <v>-270.90824688282703</v>
      </c>
      <c r="Y94">
        <v>-225.73812918336696</v>
      </c>
      <c r="Z94">
        <v>-184.42508251118625</v>
      </c>
      <c r="AA94">
        <v>-200.6992969791111</v>
      </c>
      <c r="AB94">
        <v>-169.48946829135957</v>
      </c>
      <c r="AC94">
        <v>-167.99706687675899</v>
      </c>
      <c r="AD94">
        <v>-184.44918725477589</v>
      </c>
      <c r="AE94">
        <v>-139.57654572671254</v>
      </c>
      <c r="AF94">
        <v>-151.92704473520905</v>
      </c>
      <c r="AG94">
        <v>-170.33823904496515</v>
      </c>
      <c r="AH94">
        <v>-145.3426255202863</v>
      </c>
      <c r="AI94">
        <v>-111.87801822445425</v>
      </c>
      <c r="AJ94">
        <v>-82.297075761826051</v>
      </c>
      <c r="AK94">
        <v>-66.288101185604063</v>
      </c>
    </row>
    <row r="95" spans="1:37">
      <c r="A95" t="s">
        <v>139</v>
      </c>
      <c r="B95" t="s">
        <v>231</v>
      </c>
      <c r="E95">
        <v>48.877661216</v>
      </c>
      <c r="F95">
        <v>50.096422527000001</v>
      </c>
      <c r="G95">
        <v>44.645273107999998</v>
      </c>
      <c r="H95">
        <v>46.963559263999997</v>
      </c>
      <c r="I95">
        <v>34.960786585999998</v>
      </c>
      <c r="J95">
        <v>41.8396294</v>
      </c>
      <c r="K95">
        <v>44.006823013999998</v>
      </c>
      <c r="L95">
        <v>41.83735154</v>
      </c>
      <c r="M95">
        <v>42.888086045999998</v>
      </c>
      <c r="N95">
        <v>36.8445173</v>
      </c>
      <c r="O95">
        <v>41.160144324174432</v>
      </c>
      <c r="P95">
        <v>39.07304412309994</v>
      </c>
      <c r="Q95">
        <v>46.721605836656813</v>
      </c>
      <c r="R95">
        <v>39.117964348704525</v>
      </c>
      <c r="S95">
        <v>42.085627070886346</v>
      </c>
      <c r="T95">
        <v>42.906543204818107</v>
      </c>
      <c r="U95">
        <v>44.673960330631623</v>
      </c>
      <c r="V95">
        <v>47.557413219801596</v>
      </c>
      <c r="W95">
        <v>46.315648761922645</v>
      </c>
      <c r="X95">
        <v>45.176692080022271</v>
      </c>
      <c r="Y95">
        <v>44.19451977307137</v>
      </c>
      <c r="Z95">
        <v>45.412407620236536</v>
      </c>
      <c r="AA95">
        <v>48.392146839406472</v>
      </c>
      <c r="AB95">
        <v>46.878742708450218</v>
      </c>
      <c r="AC95">
        <v>51.765227413777737</v>
      </c>
      <c r="AD95">
        <v>52.524407252440575</v>
      </c>
      <c r="AE95">
        <v>59.178789092041399</v>
      </c>
      <c r="AF95">
        <v>56.809794490599039</v>
      </c>
      <c r="AG95">
        <v>58.439149533055236</v>
      </c>
      <c r="AH95">
        <v>58.955710403102287</v>
      </c>
      <c r="AI95">
        <v>63.933757772897003</v>
      </c>
      <c r="AJ95">
        <v>68.121872766261561</v>
      </c>
      <c r="AK95">
        <v>63.879687292964263</v>
      </c>
    </row>
    <row r="96" spans="1:37">
      <c r="A96" t="s">
        <v>140</v>
      </c>
      <c r="B96" t="s">
        <v>231</v>
      </c>
      <c r="E96">
        <v>-454.24517231999999</v>
      </c>
      <c r="F96">
        <v>-501.87321878</v>
      </c>
      <c r="G96">
        <v>-558.65743081000005</v>
      </c>
      <c r="H96">
        <v>-552.27694389999999</v>
      </c>
      <c r="I96">
        <v>-633.72899094000002</v>
      </c>
      <c r="J96">
        <v>-680.49960365000004</v>
      </c>
      <c r="K96">
        <v>-799.91983098000003</v>
      </c>
      <c r="L96">
        <v>-779.50194739000005</v>
      </c>
      <c r="M96">
        <v>-716.28230216999998</v>
      </c>
      <c r="N96">
        <v>-691.64210422999997</v>
      </c>
      <c r="O96">
        <v>-765.54739368291268</v>
      </c>
      <c r="P96">
        <v>-747.38890587122921</v>
      </c>
      <c r="Q96">
        <v>-837.88545623421237</v>
      </c>
      <c r="R96">
        <v>-761.19180728372794</v>
      </c>
      <c r="S96">
        <v>-726.1806870119409</v>
      </c>
      <c r="T96">
        <v>-689.30758949919573</v>
      </c>
      <c r="U96">
        <v>-652.14191814460696</v>
      </c>
      <c r="V96">
        <v>-679.34678634379839</v>
      </c>
      <c r="W96">
        <v>-615.65290481535737</v>
      </c>
      <c r="X96">
        <v>-626.35898049539276</v>
      </c>
      <c r="Y96">
        <v>-557.91524900410548</v>
      </c>
      <c r="Z96">
        <v>-620.25788515591341</v>
      </c>
      <c r="AA96">
        <v>-598.42420794356008</v>
      </c>
      <c r="AB96">
        <v>-535.34114624640972</v>
      </c>
      <c r="AC96">
        <v>-596.99925618777752</v>
      </c>
      <c r="AD96">
        <v>-719.20853791636728</v>
      </c>
      <c r="AE96">
        <v>-647.76328840333383</v>
      </c>
      <c r="AF96">
        <v>-626.86075519173369</v>
      </c>
      <c r="AG96">
        <v>-597.26522673697343</v>
      </c>
      <c r="AH96">
        <v>-596.95878837444548</v>
      </c>
      <c r="AI96">
        <v>-648.65905639539028</v>
      </c>
      <c r="AJ96">
        <v>-647.63254529301025</v>
      </c>
      <c r="AK96">
        <v>-746.71936558060156</v>
      </c>
    </row>
    <row r="97" spans="1:37">
      <c r="A97" t="s">
        <v>141</v>
      </c>
      <c r="B97" t="s">
        <v>231</v>
      </c>
      <c r="E97">
        <v>-798.27240492999999</v>
      </c>
      <c r="F97">
        <v>-589.99346749999995</v>
      </c>
      <c r="G97">
        <v>-676.03584927999998</v>
      </c>
      <c r="H97">
        <v>-631.76487487999998</v>
      </c>
      <c r="I97">
        <v>-663.40322733999994</v>
      </c>
      <c r="J97">
        <v>-693.13909701</v>
      </c>
      <c r="K97">
        <v>-699.92577145999996</v>
      </c>
      <c r="L97">
        <v>-664.78817615000003</v>
      </c>
      <c r="M97">
        <v>-662.62564500999997</v>
      </c>
      <c r="N97">
        <v>-662.02957923999998</v>
      </c>
      <c r="O97">
        <v>-700.15191227941682</v>
      </c>
      <c r="P97">
        <v>-744.48860044934872</v>
      </c>
      <c r="Q97">
        <v>-665.29666646047497</v>
      </c>
      <c r="R97">
        <v>-604.85881822793647</v>
      </c>
      <c r="S97">
        <v>-557.40762358255745</v>
      </c>
      <c r="T97">
        <v>-498.39559952390829</v>
      </c>
      <c r="U97">
        <v>-290.34127126563493</v>
      </c>
      <c r="V97">
        <v>-233.66640184842166</v>
      </c>
      <c r="W97">
        <v>-270.02228968614992</v>
      </c>
      <c r="X97">
        <v>-286.98173030187627</v>
      </c>
      <c r="Y97">
        <v>-253.01941715117451</v>
      </c>
      <c r="Z97">
        <v>-211.23261753033833</v>
      </c>
      <c r="AA97">
        <v>-199.35386785231418</v>
      </c>
      <c r="AB97">
        <v>-205.44031307313878</v>
      </c>
      <c r="AC97">
        <v>-199.82528162166909</v>
      </c>
      <c r="AD97">
        <v>-200.50497685798931</v>
      </c>
      <c r="AE97">
        <v>-217.04404972000893</v>
      </c>
      <c r="AF97">
        <v>-191.67009823570206</v>
      </c>
      <c r="AG97">
        <v>-209.92023554503481</v>
      </c>
      <c r="AH97">
        <v>-240.70024022854827</v>
      </c>
      <c r="AI97">
        <v>-204.88040965845994</v>
      </c>
      <c r="AJ97">
        <v>-202.89829275950072</v>
      </c>
      <c r="AK97">
        <v>-213.62941633089343</v>
      </c>
    </row>
    <row r="98" spans="1:37">
      <c r="A98" t="s">
        <v>142</v>
      </c>
      <c r="B98" t="s">
        <v>231</v>
      </c>
      <c r="E98">
        <v>21.467513078</v>
      </c>
      <c r="F98">
        <v>19.805820613000002</v>
      </c>
      <c r="G98">
        <v>20.923647038999999</v>
      </c>
      <c r="H98">
        <v>22.430913327999999</v>
      </c>
      <c r="I98">
        <v>24.817230862999999</v>
      </c>
      <c r="J98">
        <v>24.393647496</v>
      </c>
      <c r="K98">
        <v>25.924860782</v>
      </c>
      <c r="L98">
        <v>27.383793534999999</v>
      </c>
      <c r="M98">
        <v>26.998435113999999</v>
      </c>
      <c r="N98">
        <v>27.179212038999999</v>
      </c>
      <c r="O98">
        <v>27.075243964497027</v>
      </c>
      <c r="P98">
        <v>25.155585453449341</v>
      </c>
      <c r="Q98">
        <v>24.391055188242028</v>
      </c>
      <c r="R98">
        <v>20.797357192740883</v>
      </c>
      <c r="S98">
        <v>21.055165016928161</v>
      </c>
      <c r="T98">
        <v>20.489384666250977</v>
      </c>
      <c r="U98">
        <v>23.105739464700743</v>
      </c>
      <c r="V98">
        <v>24.287001946297153</v>
      </c>
      <c r="W98">
        <v>24.519869132165727</v>
      </c>
      <c r="X98">
        <v>23.89825153146279</v>
      </c>
      <c r="Y98">
        <v>24.1654977748004</v>
      </c>
      <c r="Z98">
        <v>23.033536213432228</v>
      </c>
      <c r="AA98">
        <v>23.090167161435819</v>
      </c>
      <c r="AB98">
        <v>23.742630155401528</v>
      </c>
      <c r="AC98">
        <v>26.345437117087052</v>
      </c>
      <c r="AD98">
        <v>29.004592555598911</v>
      </c>
      <c r="AE98">
        <v>33.382098877097476</v>
      </c>
      <c r="AF98">
        <v>39.147840912663177</v>
      </c>
      <c r="AG98">
        <v>35.525705969300944</v>
      </c>
      <c r="AH98">
        <v>33.516243302154521</v>
      </c>
      <c r="AI98">
        <v>38.953723693575505</v>
      </c>
      <c r="AJ98">
        <v>41.584820308334471</v>
      </c>
      <c r="AK98">
        <v>39.792550938867635</v>
      </c>
    </row>
    <row r="99" spans="1:37">
      <c r="A99" t="s">
        <v>143</v>
      </c>
      <c r="B99" t="s">
        <v>231</v>
      </c>
      <c r="E99">
        <v>166.54011438000001</v>
      </c>
      <c r="F99">
        <v>175.20440837000001</v>
      </c>
      <c r="G99">
        <v>171.56380159</v>
      </c>
      <c r="H99">
        <v>173.10241855999999</v>
      </c>
      <c r="I99">
        <v>177.97411739</v>
      </c>
      <c r="J99">
        <v>172.64705173999999</v>
      </c>
      <c r="K99">
        <v>172.26490335</v>
      </c>
      <c r="L99">
        <v>184.77533020999999</v>
      </c>
      <c r="M99">
        <v>176.67942493999999</v>
      </c>
      <c r="N99">
        <v>173.99928012999999</v>
      </c>
      <c r="O99">
        <v>188.80384407038071</v>
      </c>
      <c r="P99">
        <v>185.45703334005822</v>
      </c>
      <c r="Q99">
        <v>181.94618695593425</v>
      </c>
      <c r="R99">
        <v>189.55368193069256</v>
      </c>
      <c r="S99">
        <v>179.17788251299737</v>
      </c>
      <c r="T99">
        <v>165.92880414693064</v>
      </c>
      <c r="U99">
        <v>173.2030004612358</v>
      </c>
      <c r="V99">
        <v>151.30009474374643</v>
      </c>
      <c r="W99">
        <v>192.90197073500812</v>
      </c>
      <c r="X99">
        <v>169.4527952268551</v>
      </c>
      <c r="Y99">
        <v>167.29346271847632</v>
      </c>
      <c r="Z99">
        <v>163.95340865890981</v>
      </c>
      <c r="AA99">
        <v>168.5817233699687</v>
      </c>
      <c r="AB99">
        <v>168.37659546635263</v>
      </c>
      <c r="AC99">
        <v>163.60962883908425</v>
      </c>
      <c r="AD99">
        <v>170.01176885959774</v>
      </c>
      <c r="AE99">
        <v>182.57014908451902</v>
      </c>
      <c r="AF99">
        <v>194.35969264346861</v>
      </c>
      <c r="AG99">
        <v>194.97222299768291</v>
      </c>
      <c r="AH99">
        <v>203.13480688173286</v>
      </c>
      <c r="AI99">
        <v>148.02802838498016</v>
      </c>
      <c r="AJ99">
        <v>152.64129365142671</v>
      </c>
      <c r="AK99">
        <v>171.18649261506414</v>
      </c>
    </row>
    <row r="100" spans="1:37">
      <c r="A100" t="s">
        <v>145</v>
      </c>
      <c r="B100" t="s">
        <v>231</v>
      </c>
      <c r="E100">
        <v>-48.129264917999997</v>
      </c>
      <c r="F100">
        <v>-53.747647368999999</v>
      </c>
      <c r="G100">
        <v>-43.523782165999997</v>
      </c>
      <c r="H100">
        <v>-49.216253012000003</v>
      </c>
      <c r="I100">
        <v>-48.660779691000002</v>
      </c>
      <c r="J100">
        <v>-55.409001504000003</v>
      </c>
      <c r="K100">
        <v>-60.965121265999997</v>
      </c>
      <c r="L100">
        <v>-61.156508785</v>
      </c>
      <c r="M100">
        <v>-58.285593980999998</v>
      </c>
      <c r="N100">
        <v>-64.535634646999995</v>
      </c>
      <c r="O100">
        <v>-75.676645669096402</v>
      </c>
      <c r="P100">
        <v>-56.179289778778376</v>
      </c>
      <c r="Q100">
        <v>-60.76744285880735</v>
      </c>
      <c r="R100">
        <v>-67.471824477597792</v>
      </c>
      <c r="S100">
        <v>-64.943663815155574</v>
      </c>
      <c r="T100">
        <v>-66.251393114250419</v>
      </c>
      <c r="U100">
        <v>-70.339949139165768</v>
      </c>
      <c r="V100">
        <v>-71.048751240726745</v>
      </c>
      <c r="W100">
        <v>-64.930089201149428</v>
      </c>
      <c r="X100">
        <v>-56.127565267961629</v>
      </c>
      <c r="Y100">
        <v>-48.295734167995406</v>
      </c>
      <c r="Z100">
        <v>-51.173512967852076</v>
      </c>
      <c r="AA100">
        <v>-50.643718791952871</v>
      </c>
      <c r="AB100">
        <v>-50.842853795352674</v>
      </c>
      <c r="AC100">
        <v>-34.50882764806579</v>
      </c>
      <c r="AD100">
        <v>-27.079080723785538</v>
      </c>
      <c r="AE100">
        <v>-26.953159798314523</v>
      </c>
      <c r="AF100">
        <v>-18.440096941221015</v>
      </c>
      <c r="AG100">
        <v>-12.475058757786503</v>
      </c>
      <c r="AH100">
        <v>-1.476952053772485</v>
      </c>
      <c r="AI100">
        <v>0.79933451550398826</v>
      </c>
      <c r="AJ100">
        <v>10.279967861831917</v>
      </c>
      <c r="AK100">
        <v>5.6514977348029056</v>
      </c>
    </row>
    <row r="101" spans="1:37">
      <c r="A101" t="s">
        <v>146</v>
      </c>
      <c r="B101" t="s">
        <v>231</v>
      </c>
      <c r="E101">
        <v>-5.7938087165000001</v>
      </c>
      <c r="F101">
        <v>0.64180967317000004</v>
      </c>
      <c r="G101">
        <v>5.7094800515000002E-2</v>
      </c>
      <c r="H101">
        <v>-0.39413709031999999</v>
      </c>
      <c r="I101">
        <v>4.3473609545</v>
      </c>
      <c r="J101">
        <v>16.589529688999999</v>
      </c>
      <c r="K101">
        <v>15.623817666000001</v>
      </c>
      <c r="L101">
        <v>21.720579437000001</v>
      </c>
      <c r="M101">
        <v>20.588025819999999</v>
      </c>
      <c r="N101">
        <v>17.077563484999999</v>
      </c>
      <c r="O101">
        <v>24.960248447205018</v>
      </c>
      <c r="P101">
        <v>20.564140551085821</v>
      </c>
      <c r="Q101">
        <v>22.721314356644196</v>
      </c>
      <c r="R101">
        <v>25.663876824426353</v>
      </c>
      <c r="S101">
        <v>27.512106589449804</v>
      </c>
      <c r="T101">
        <v>20.827047954473354</v>
      </c>
      <c r="U101">
        <v>24.088667556983943</v>
      </c>
      <c r="V101">
        <v>24.412710859593858</v>
      </c>
      <c r="W101">
        <v>20.864661116560825</v>
      </c>
      <c r="X101">
        <v>15.252632489075282</v>
      </c>
      <c r="Y101">
        <v>1.6024559379048078</v>
      </c>
      <c r="Z101">
        <v>-10.553162051356143</v>
      </c>
      <c r="AA101">
        <v>-11.281775508468751</v>
      </c>
      <c r="AB101">
        <v>-11.941656664318273</v>
      </c>
      <c r="AC101">
        <v>-7.9170244979749134</v>
      </c>
      <c r="AD101">
        <v>-0.6660777403805771</v>
      </c>
      <c r="AE101">
        <v>0.64543114152085512</v>
      </c>
      <c r="AF101">
        <v>2.0606972651108788</v>
      </c>
      <c r="AG101">
        <v>4.9153863494817331</v>
      </c>
      <c r="AH101">
        <v>4.6886379350081144</v>
      </c>
      <c r="AI101">
        <v>-2.7025169377802545</v>
      </c>
      <c r="AJ101">
        <v>11.606393567399794</v>
      </c>
      <c r="AK101">
        <v>12.185965103062049</v>
      </c>
    </row>
    <row r="102" spans="1:37">
      <c r="A102" t="s">
        <v>147</v>
      </c>
      <c r="B102" t="s">
        <v>231</v>
      </c>
      <c r="E102">
        <v>41.872729929000002</v>
      </c>
      <c r="F102">
        <v>42.467706558000003</v>
      </c>
      <c r="G102">
        <v>47.727446884999999</v>
      </c>
      <c r="H102">
        <v>45.722867762</v>
      </c>
      <c r="I102">
        <v>49.701042802000003</v>
      </c>
      <c r="J102">
        <v>55.410224782999997</v>
      </c>
      <c r="K102">
        <v>55.944183762000002</v>
      </c>
      <c r="L102">
        <v>57.994961992</v>
      </c>
      <c r="M102">
        <v>55.476349266</v>
      </c>
      <c r="N102">
        <v>51.906793266999998</v>
      </c>
      <c r="O102">
        <v>51.710093409860093</v>
      </c>
      <c r="P102">
        <v>55.573808419036439</v>
      </c>
      <c r="Q102">
        <v>48.160251284616265</v>
      </c>
      <c r="R102">
        <v>47.521649185114292</v>
      </c>
      <c r="S102">
        <v>49.650500240413535</v>
      </c>
      <c r="T102">
        <v>44.757892501460077</v>
      </c>
      <c r="U102">
        <v>45.342071774469574</v>
      </c>
      <c r="V102">
        <v>43.315633229531599</v>
      </c>
      <c r="W102">
        <v>42.760361286566926</v>
      </c>
      <c r="X102">
        <v>37.443933646067777</v>
      </c>
      <c r="Y102">
        <v>42.625348221427515</v>
      </c>
      <c r="Z102">
        <v>41.605734189291944</v>
      </c>
      <c r="AA102">
        <v>42.906825216277198</v>
      </c>
      <c r="AB102">
        <v>43.979780576177461</v>
      </c>
      <c r="AC102">
        <v>43.839258261069823</v>
      </c>
      <c r="AD102">
        <v>49.336726463003252</v>
      </c>
      <c r="AE102">
        <v>47.820837440645406</v>
      </c>
      <c r="AF102">
        <v>49.810038195224863</v>
      </c>
      <c r="AG102">
        <v>54.074363804279422</v>
      </c>
      <c r="AH102">
        <v>48.61614489163567</v>
      </c>
      <c r="AI102">
        <v>47.017452515142779</v>
      </c>
      <c r="AJ102">
        <v>49.905762543882403</v>
      </c>
      <c r="AK102">
        <v>54.425076766777366</v>
      </c>
    </row>
    <row r="103" spans="1:37">
      <c r="A103" t="s">
        <v>148</v>
      </c>
      <c r="B103" t="s">
        <v>231</v>
      </c>
      <c r="E103">
        <v>0.84501535443999998</v>
      </c>
      <c r="F103">
        <v>1.2153428433</v>
      </c>
      <c r="G103">
        <v>1.6059966254</v>
      </c>
      <c r="H103">
        <v>2.6258669417</v>
      </c>
      <c r="I103">
        <v>7.4877978696999997E-2</v>
      </c>
      <c r="J103">
        <v>-0.2097877759</v>
      </c>
      <c r="K103">
        <v>5.4222013026999996</v>
      </c>
      <c r="L103">
        <v>6.5663769876</v>
      </c>
      <c r="M103">
        <v>8.5486613927999997</v>
      </c>
      <c r="N103">
        <v>9.9828320427000001</v>
      </c>
      <c r="O103">
        <v>10.781624339549056</v>
      </c>
      <c r="P103">
        <v>10.507973195044277</v>
      </c>
      <c r="Q103">
        <v>11.49147153965062</v>
      </c>
      <c r="R103">
        <v>13.359715147988471</v>
      </c>
      <c r="S103">
        <v>14.770820283603495</v>
      </c>
      <c r="T103">
        <v>17.813950305458366</v>
      </c>
      <c r="U103">
        <v>20.284824614024572</v>
      </c>
      <c r="V103">
        <v>25.971775559822397</v>
      </c>
      <c r="W103">
        <v>31.044927557127515</v>
      </c>
      <c r="X103">
        <v>32.154654316930632</v>
      </c>
      <c r="Y103">
        <v>31.951586215844408</v>
      </c>
      <c r="Z103">
        <v>34.236730739574455</v>
      </c>
      <c r="AA103">
        <v>31.702374037802745</v>
      </c>
      <c r="AB103">
        <v>26.50121090839896</v>
      </c>
      <c r="AC103">
        <v>29.678576617454723</v>
      </c>
      <c r="AD103">
        <v>30.153207478042699</v>
      </c>
      <c r="AE103">
        <v>31.160931061847698</v>
      </c>
      <c r="AF103">
        <v>38.822389080005685</v>
      </c>
      <c r="AG103">
        <v>44.070054771994307</v>
      </c>
      <c r="AH103">
        <v>45.881670996217302</v>
      </c>
      <c r="AI103">
        <v>43.049474369463944</v>
      </c>
      <c r="AJ103">
        <v>41.101111617352373</v>
      </c>
      <c r="AK103">
        <v>46.84187551016479</v>
      </c>
    </row>
    <row r="104" spans="1:37">
      <c r="A104" t="s">
        <v>149</v>
      </c>
      <c r="B104" t="s">
        <v>231</v>
      </c>
      <c r="E104">
        <v>88.852087546999996</v>
      </c>
      <c r="F104">
        <v>87.586215635000002</v>
      </c>
      <c r="G104">
        <v>89.278587610000002</v>
      </c>
      <c r="H104">
        <v>87.282459055000004</v>
      </c>
      <c r="I104">
        <v>85.670227277999999</v>
      </c>
      <c r="J104">
        <v>89.970144875000003</v>
      </c>
      <c r="K104">
        <v>84.773319923000003</v>
      </c>
      <c r="L104">
        <v>88.225127861999994</v>
      </c>
      <c r="M104">
        <v>87.788568298000001</v>
      </c>
      <c r="N104">
        <v>92.158170455000004</v>
      </c>
      <c r="O104">
        <v>89.690745677285705</v>
      </c>
      <c r="P104">
        <v>88.776344222824804</v>
      </c>
      <c r="Q104">
        <v>87.593768619570426</v>
      </c>
      <c r="R104">
        <v>89.57513128820807</v>
      </c>
      <c r="S104">
        <v>88.203857004116031</v>
      </c>
      <c r="T104">
        <v>92.727477884094895</v>
      </c>
      <c r="U104">
        <v>88.656192313827859</v>
      </c>
      <c r="V104">
        <v>85.816299685336816</v>
      </c>
      <c r="W104">
        <v>88.410394778609799</v>
      </c>
      <c r="X104">
        <v>85.746317186397945</v>
      </c>
      <c r="Y104">
        <v>79.499156927373789</v>
      </c>
      <c r="Z104">
        <v>82.809857049366613</v>
      </c>
      <c r="AA104">
        <v>85.121335835983629</v>
      </c>
      <c r="AB104">
        <v>78.782430915898857</v>
      </c>
      <c r="AC104">
        <v>77.438952845558063</v>
      </c>
      <c r="AD104">
        <v>84.277321667739386</v>
      </c>
      <c r="AE104">
        <v>80.59114218092563</v>
      </c>
      <c r="AF104">
        <v>87.173643659744769</v>
      </c>
      <c r="AG104">
        <v>85.338974317251314</v>
      </c>
      <c r="AH104">
        <v>84.356547159682876</v>
      </c>
      <c r="AI104">
        <v>71.509190239740434</v>
      </c>
      <c r="AJ104">
        <v>73.744124062785744</v>
      </c>
      <c r="AK104">
        <v>81.512795438510693</v>
      </c>
    </row>
    <row r="105" spans="1:37">
      <c r="A105" t="s">
        <v>151</v>
      </c>
      <c r="B105" t="s">
        <v>231</v>
      </c>
      <c r="E105">
        <v>-314.26748844999997</v>
      </c>
      <c r="F105">
        <v>-281.04507790999997</v>
      </c>
      <c r="G105">
        <v>-295.32695803000001</v>
      </c>
      <c r="I105">
        <v>-261.51760941999999</v>
      </c>
      <c r="J105">
        <v>-251.83264937000001</v>
      </c>
      <c r="K105">
        <v>-261.17707467999998</v>
      </c>
      <c r="L105">
        <v>-286.21957543000002</v>
      </c>
      <c r="M105">
        <v>-342.02146699000002</v>
      </c>
      <c r="N105">
        <v>-388.73334204999998</v>
      </c>
      <c r="O105">
        <v>-461.04477285645646</v>
      </c>
      <c r="P105">
        <v>-428.99090517087996</v>
      </c>
      <c r="Q105">
        <v>-370.53705102911823</v>
      </c>
      <c r="S105">
        <v>-403.47844151378524</v>
      </c>
      <c r="T105">
        <v>-433.20172146037493</v>
      </c>
      <c r="U105">
        <v>-404.59305203053316</v>
      </c>
      <c r="V105">
        <v>-398.62681570512206</v>
      </c>
      <c r="W105">
        <v>-485.96177624576791</v>
      </c>
      <c r="X105">
        <v>-484.92192158157638</v>
      </c>
      <c r="Y105">
        <v>-552.96498258637234</v>
      </c>
      <c r="Z105">
        <v>-668.9880449361184</v>
      </c>
      <c r="AA105">
        <v>-491.8255935319807</v>
      </c>
      <c r="AB105">
        <v>-467.43220577420811</v>
      </c>
      <c r="AC105">
        <v>-480.74539270072563</v>
      </c>
      <c r="AD105">
        <v>-479.50576095449458</v>
      </c>
      <c r="AE105">
        <v>-495.96525530641554</v>
      </c>
      <c r="AF105">
        <v>-420.58165962390052</v>
      </c>
      <c r="AG105">
        <v>-427.39610242530478</v>
      </c>
      <c r="AH105">
        <v>-420.35295766299964</v>
      </c>
      <c r="AI105">
        <v>-421.51976015889812</v>
      </c>
      <c r="AJ105">
        <v>-407.47887731529852</v>
      </c>
      <c r="AK105">
        <v>-396.07257493623888</v>
      </c>
    </row>
    <row r="106" spans="1:37">
      <c r="A106" t="s">
        <v>247</v>
      </c>
      <c r="B106" t="s">
        <v>231</v>
      </c>
      <c r="E106">
        <v>-46.920672678999999</v>
      </c>
      <c r="F106">
        <v>-39.71503448</v>
      </c>
      <c r="G106">
        <v>-41.601983595999997</v>
      </c>
      <c r="H106">
        <v>-38.973342383000002</v>
      </c>
      <c r="I106">
        <v>-47.787546536999997</v>
      </c>
      <c r="J106">
        <v>-49.465178971999997</v>
      </c>
      <c r="K106">
        <v>-53.036644953</v>
      </c>
      <c r="L106">
        <v>-56.417773895000003</v>
      </c>
      <c r="M106">
        <v>-58.909681327000001</v>
      </c>
      <c r="N106">
        <v>-57.793686002999998</v>
      </c>
      <c r="O106">
        <v>-56.4420863609392</v>
      </c>
      <c r="P106">
        <v>-59.079651515200595</v>
      </c>
      <c r="Q106">
        <v>-66.177123672541271</v>
      </c>
      <c r="R106">
        <v>-70.988044156665453</v>
      </c>
      <c r="S106">
        <v>-79.431619668047688</v>
      </c>
      <c r="T106">
        <v>-82.750550784900085</v>
      </c>
      <c r="U106">
        <v>-80.257890946370821</v>
      </c>
      <c r="V106">
        <v>-82.114664377199603</v>
      </c>
      <c r="W106">
        <v>-77.954941846646491</v>
      </c>
      <c r="X106">
        <v>-83.144693473754742</v>
      </c>
      <c r="Y106">
        <v>-82.91332675902278</v>
      </c>
      <c r="Z106">
        <v>-80.53987974683875</v>
      </c>
      <c r="AA106">
        <v>-80.1643740294964</v>
      </c>
      <c r="AB106">
        <v>-86.66912111980038</v>
      </c>
      <c r="AC106">
        <v>-83.491415114843605</v>
      </c>
      <c r="AD106">
        <v>-89.862052506098308</v>
      </c>
      <c r="AE106">
        <v>-90.278647621813164</v>
      </c>
      <c r="AF106">
        <v>-91.767026435367043</v>
      </c>
      <c r="AG106">
        <v>-91.985534343255111</v>
      </c>
      <c r="AH106">
        <v>-99.051703216378513</v>
      </c>
      <c r="AI106">
        <v>-90.05135864410056</v>
      </c>
      <c r="AJ106">
        <v>-80.509243770552303</v>
      </c>
      <c r="AK106">
        <v>-75.137535844997444</v>
      </c>
    </row>
    <row r="107" spans="1:37">
      <c r="A107" t="s">
        <v>153</v>
      </c>
      <c r="B107" t="s">
        <v>231</v>
      </c>
      <c r="E107">
        <v>2.9346395614</v>
      </c>
      <c r="F107">
        <v>2.8158622550999999</v>
      </c>
      <c r="G107">
        <v>3.0739835471000001</v>
      </c>
      <c r="H107">
        <v>3.2906348677000001</v>
      </c>
      <c r="I107">
        <v>3.1305616205</v>
      </c>
      <c r="J107">
        <v>2.7335474612000001</v>
      </c>
      <c r="K107">
        <v>2.6236211082000001</v>
      </c>
      <c r="L107">
        <v>2.3179750191999999</v>
      </c>
      <c r="M107">
        <v>4.1672880416</v>
      </c>
      <c r="N107">
        <v>4.1525607268</v>
      </c>
      <c r="O107">
        <v>6.8657871541487889</v>
      </c>
      <c r="P107">
        <v>6.929653410904975</v>
      </c>
      <c r="Q107">
        <v>8.0936743984996564</v>
      </c>
      <c r="R107">
        <v>7.0300113647524265</v>
      </c>
      <c r="S107">
        <v>6.7887712324069236</v>
      </c>
      <c r="T107">
        <v>7.7749395099368552</v>
      </c>
      <c r="U107">
        <v>7.6254748537926105</v>
      </c>
      <c r="V107">
        <v>7.0398722247003542</v>
      </c>
      <c r="W107">
        <v>6.8519116552701984</v>
      </c>
      <c r="X107">
        <v>6.7631802000338972</v>
      </c>
      <c r="Y107">
        <v>6.7149034380305466</v>
      </c>
      <c r="Z107">
        <v>7.1914761960010702</v>
      </c>
      <c r="AA107">
        <v>7.7870077465314838</v>
      </c>
      <c r="AC107">
        <v>8.4576639373612608</v>
      </c>
      <c r="AD107">
        <v>9.1290513498151</v>
      </c>
      <c r="AE107">
        <v>9.0707926354913955</v>
      </c>
      <c r="AF107">
        <v>9.8555380775836685</v>
      </c>
      <c r="AG107">
        <v>10.017959306577197</v>
      </c>
      <c r="AH107">
        <v>9.9944033851674128</v>
      </c>
      <c r="AI107">
        <v>8.4853991312470338</v>
      </c>
      <c r="AJ107">
        <v>9.2388086722087177</v>
      </c>
      <c r="AK107">
        <v>10.579322638146165</v>
      </c>
    </row>
    <row r="108" spans="1:37">
      <c r="A108" t="s">
        <v>159</v>
      </c>
      <c r="B108" t="s">
        <v>231</v>
      </c>
      <c r="E108">
        <v>-529.26598497999998</v>
      </c>
      <c r="F108">
        <v>-580.33800801999996</v>
      </c>
      <c r="G108">
        <v>-514.51556069000003</v>
      </c>
      <c r="H108">
        <v>-485.23206789</v>
      </c>
      <c r="I108">
        <v>-444.92005344</v>
      </c>
      <c r="J108">
        <v>-448.54090757</v>
      </c>
      <c r="K108">
        <v>-418.28799268</v>
      </c>
      <c r="L108">
        <v>-433.37056667000002</v>
      </c>
      <c r="M108">
        <v>-416.64961686999999</v>
      </c>
      <c r="N108">
        <v>-368.92630129000003</v>
      </c>
      <c r="O108">
        <v>-348.21374516254707</v>
      </c>
      <c r="P108">
        <v>-325.78322828474455</v>
      </c>
      <c r="Q108">
        <v>-251.37459095310194</v>
      </c>
      <c r="R108">
        <v>-304.05689802256325</v>
      </c>
      <c r="S108">
        <v>-327.81289044644086</v>
      </c>
      <c r="T108">
        <v>-327.78579329972024</v>
      </c>
      <c r="U108">
        <v>-294.22078876189937</v>
      </c>
      <c r="V108">
        <v>-260.34311988803205</v>
      </c>
      <c r="W108">
        <v>-247.60532937585182</v>
      </c>
      <c r="X108">
        <v>-197.27652500342575</v>
      </c>
      <c r="Y108">
        <v>-174.57205115940272</v>
      </c>
      <c r="Z108">
        <v>-194.47914683417338</v>
      </c>
      <c r="AA108">
        <v>-198.4047467667105</v>
      </c>
      <c r="AB108">
        <v>-196.87181363546702</v>
      </c>
      <c r="AC108">
        <v>-172.63516772149532</v>
      </c>
      <c r="AD108">
        <v>-175.63038695829511</v>
      </c>
      <c r="AE108">
        <v>-188.31337845139518</v>
      </c>
      <c r="AF108">
        <v>-170.01284446788969</v>
      </c>
      <c r="AG108">
        <v>-186.86996583685652</v>
      </c>
      <c r="AH108">
        <v>-177.71540547339274</v>
      </c>
      <c r="AI108">
        <v>-167.39180232896916</v>
      </c>
      <c r="AJ108">
        <v>-159.98847299623711</v>
      </c>
      <c r="AK108">
        <v>-178.20044881220139</v>
      </c>
    </row>
    <row r="109" spans="1:37">
      <c r="A109" t="s">
        <v>160</v>
      </c>
      <c r="B109" t="s">
        <v>231</v>
      </c>
      <c r="E109">
        <v>50.200388031000003</v>
      </c>
      <c r="F109">
        <v>48.735694512000002</v>
      </c>
      <c r="G109">
        <v>55.072424857000001</v>
      </c>
      <c r="H109">
        <v>49.676715428999998</v>
      </c>
      <c r="I109">
        <v>59.746389096000001</v>
      </c>
      <c r="J109">
        <v>49.730421976000002</v>
      </c>
      <c r="K109">
        <v>53.723224668999997</v>
      </c>
      <c r="L109">
        <v>54.019057502999999</v>
      </c>
      <c r="M109">
        <v>59.660252186000001</v>
      </c>
      <c r="N109">
        <v>61.252184966999998</v>
      </c>
      <c r="O109">
        <v>63.7566980737436</v>
      </c>
      <c r="P109">
        <v>65.819203833394752</v>
      </c>
      <c r="Q109">
        <v>57.56621004566189</v>
      </c>
      <c r="R109">
        <v>66.462291334045005</v>
      </c>
      <c r="S109">
        <v>64.284833321587016</v>
      </c>
      <c r="T109">
        <v>71.029544964416573</v>
      </c>
      <c r="U109">
        <v>72.008734375268872</v>
      </c>
      <c r="V109">
        <v>67.826782358351181</v>
      </c>
      <c r="W109">
        <v>69.704454215255197</v>
      </c>
      <c r="X109">
        <v>49.745567280142836</v>
      </c>
      <c r="Y109">
        <v>53.034808465978799</v>
      </c>
      <c r="Z109">
        <v>52.862840257983692</v>
      </c>
      <c r="AA109">
        <v>51.244563379278908</v>
      </c>
      <c r="AB109">
        <v>58.479859129585407</v>
      </c>
      <c r="AC109">
        <v>59.995141518097704</v>
      </c>
      <c r="AD109">
        <v>68.981072972734466</v>
      </c>
      <c r="AE109">
        <v>68.359502554197192</v>
      </c>
      <c r="AF109">
        <v>63.923477913296381</v>
      </c>
      <c r="AG109">
        <v>70.323978098795976</v>
      </c>
      <c r="AH109">
        <v>70.184381619564363</v>
      </c>
      <c r="AI109">
        <v>62.067549480856719</v>
      </c>
      <c r="AJ109">
        <v>66.428571428571402</v>
      </c>
      <c r="AK109">
        <v>69.386391667808567</v>
      </c>
    </row>
    <row r="110" spans="1:37">
      <c r="A110" t="s">
        <v>164</v>
      </c>
      <c r="B110" t="s">
        <v>231</v>
      </c>
      <c r="E110">
        <v>212.74438497</v>
      </c>
      <c r="F110">
        <v>203.46466595999999</v>
      </c>
      <c r="G110">
        <v>197.82151292</v>
      </c>
      <c r="H110">
        <v>185.55660492999999</v>
      </c>
      <c r="I110">
        <v>161.60581732</v>
      </c>
      <c r="J110">
        <v>171.86469848999999</v>
      </c>
      <c r="K110">
        <v>182.08338947999999</v>
      </c>
      <c r="L110">
        <v>191.25203705999999</v>
      </c>
      <c r="M110">
        <v>196.62921483</v>
      </c>
      <c r="N110">
        <v>217.73547633999999</v>
      </c>
      <c r="O110">
        <v>218.72947353741563</v>
      </c>
      <c r="P110">
        <v>208.6645729347766</v>
      </c>
      <c r="Q110">
        <v>207.59861227614013</v>
      </c>
      <c r="R110">
        <v>189.5370245884495</v>
      </c>
      <c r="S110">
        <v>190.07586273938</v>
      </c>
      <c r="T110">
        <v>236.27546931746443</v>
      </c>
      <c r="U110">
        <v>239.46272377691398</v>
      </c>
      <c r="V110">
        <v>271.31642706043823</v>
      </c>
      <c r="W110">
        <v>262.21598685330275</v>
      </c>
      <c r="X110">
        <v>256.85251366380919</v>
      </c>
      <c r="Y110">
        <v>278.36489282559018</v>
      </c>
      <c r="Z110">
        <v>318.37002090526153</v>
      </c>
      <c r="AA110">
        <v>288.09121518500029</v>
      </c>
      <c r="AB110">
        <v>267.27657671940477</v>
      </c>
      <c r="AC110">
        <v>275.18979316070261</v>
      </c>
      <c r="AD110">
        <v>277.40575786733228</v>
      </c>
      <c r="AE110">
        <v>274.26026136975491</v>
      </c>
      <c r="AF110">
        <v>275.90382665079437</v>
      </c>
      <c r="AG110">
        <v>273.79318042301452</v>
      </c>
      <c r="AH110">
        <v>269.8153069239583</v>
      </c>
      <c r="AI110">
        <v>264.42945791352861</v>
      </c>
      <c r="AJ110">
        <v>248.66823608171745</v>
      </c>
      <c r="AK110">
        <v>258.42538047494605</v>
      </c>
    </row>
    <row r="111" spans="1:37">
      <c r="A111" t="s">
        <v>248</v>
      </c>
      <c r="B111" t="s">
        <v>231</v>
      </c>
      <c r="E111">
        <v>76.969490644999993</v>
      </c>
      <c r="F111">
        <v>72.875324039999995</v>
      </c>
      <c r="G111">
        <v>74.669512522000005</v>
      </c>
      <c r="H111">
        <v>68.786555508000006</v>
      </c>
      <c r="I111">
        <v>68.134052709000002</v>
      </c>
      <c r="J111">
        <v>68.946900978000002</v>
      </c>
      <c r="K111">
        <v>73.235257202</v>
      </c>
      <c r="L111">
        <v>72.998296310000001</v>
      </c>
      <c r="M111">
        <v>70.683096465000006</v>
      </c>
      <c r="N111">
        <v>66.127513454999999</v>
      </c>
      <c r="O111">
        <v>65.004711266657708</v>
      </c>
      <c r="P111">
        <v>62.260757867694274</v>
      </c>
      <c r="Q111">
        <v>64.199498423489416</v>
      </c>
      <c r="R111">
        <v>64.631125747198936</v>
      </c>
      <c r="S111">
        <v>67.871620258732719</v>
      </c>
      <c r="T111">
        <v>65.557958559804234</v>
      </c>
      <c r="U111">
        <v>64.040005945028767</v>
      </c>
      <c r="V111">
        <v>69.162526377200834</v>
      </c>
      <c r="W111">
        <v>65.39786073114719</v>
      </c>
      <c r="X111">
        <v>67.234188873178795</v>
      </c>
      <c r="Y111">
        <v>61.280218952637014</v>
      </c>
      <c r="Z111">
        <v>62.56626814133859</v>
      </c>
      <c r="AA111">
        <v>58.138868278526864</v>
      </c>
      <c r="AB111">
        <v>57.600480667087808</v>
      </c>
      <c r="AC111">
        <v>59.795325486892139</v>
      </c>
      <c r="AD111">
        <v>57.357967927220919</v>
      </c>
      <c r="AE111">
        <v>57.48943503170922</v>
      </c>
      <c r="AF111">
        <v>61.830301586040662</v>
      </c>
      <c r="AG111">
        <v>60.789205094881652</v>
      </c>
      <c r="AH111">
        <v>69.472895888014207</v>
      </c>
      <c r="AI111">
        <v>55.860893853942827</v>
      </c>
      <c r="AJ111">
        <v>51.94048498529741</v>
      </c>
      <c r="AK111">
        <v>68.887281982226938</v>
      </c>
    </row>
    <row r="112" spans="1:37">
      <c r="A112" t="s">
        <v>166</v>
      </c>
      <c r="B112" t="s">
        <v>231</v>
      </c>
      <c r="E112">
        <v>45.891634353000001</v>
      </c>
      <c r="F112">
        <v>42.242865309999999</v>
      </c>
      <c r="G112">
        <v>41.882608896999997</v>
      </c>
      <c r="H112">
        <v>48.279440729999997</v>
      </c>
      <c r="I112">
        <v>49.204832985000003</v>
      </c>
      <c r="J112">
        <v>50.945282640000002</v>
      </c>
      <c r="K112">
        <v>55.384597954</v>
      </c>
      <c r="L112">
        <v>55.373582218999999</v>
      </c>
      <c r="M112">
        <v>52.413144217999999</v>
      </c>
      <c r="N112">
        <v>55.881238578000001</v>
      </c>
      <c r="O112">
        <v>51.783341812365812</v>
      </c>
      <c r="P112">
        <v>48.845523867202587</v>
      </c>
      <c r="Q112">
        <v>49.691394087688145</v>
      </c>
      <c r="R112">
        <v>52.397955043414768</v>
      </c>
      <c r="S112">
        <v>51.260653350731481</v>
      </c>
      <c r="T112">
        <v>50.862334218348025</v>
      </c>
      <c r="U112">
        <v>51.145206003250188</v>
      </c>
      <c r="V112">
        <v>51.244766875939185</v>
      </c>
      <c r="W112">
        <v>54.162804743139816</v>
      </c>
      <c r="X112">
        <v>48.293017784605361</v>
      </c>
      <c r="Y112">
        <v>48.69576232375492</v>
      </c>
      <c r="Z112">
        <v>47.77729037708562</v>
      </c>
      <c r="AA112">
        <v>51.511878318344436</v>
      </c>
      <c r="AB112">
        <v>47.306769583811359</v>
      </c>
      <c r="AC112">
        <v>44.82459970366974</v>
      </c>
      <c r="AD112">
        <v>49.081050145612103</v>
      </c>
      <c r="AE112">
        <v>49.1781653352419</v>
      </c>
      <c r="AF112">
        <v>51.10194480901329</v>
      </c>
      <c r="AG112">
        <v>52.200395026662726</v>
      </c>
      <c r="AH112">
        <v>52.849156926782058</v>
      </c>
      <c r="AI112">
        <v>45.795357790693444</v>
      </c>
      <c r="AJ112">
        <v>48.716220842447441</v>
      </c>
      <c r="AK112">
        <v>53.547084069679386</v>
      </c>
    </row>
    <row r="113" spans="1:37">
      <c r="A113" t="s">
        <v>169</v>
      </c>
      <c r="B113" t="s">
        <v>231</v>
      </c>
      <c r="E113">
        <v>-24.761342156000001</v>
      </c>
      <c r="F113">
        <v>-23.831108421</v>
      </c>
      <c r="G113">
        <v>-27.324400551</v>
      </c>
      <c r="H113">
        <v>-27.750114161999999</v>
      </c>
      <c r="I113">
        <v>-27.179267678999999</v>
      </c>
      <c r="J113">
        <v>-26.308915644999999</v>
      </c>
      <c r="K113">
        <v>-24.098976602</v>
      </c>
      <c r="L113">
        <v>-27.313216825000001</v>
      </c>
      <c r="M113">
        <v>-21.341987758999998</v>
      </c>
      <c r="N113">
        <v>-27.777482505999998</v>
      </c>
      <c r="O113">
        <v>-29.524436745480841</v>
      </c>
      <c r="P113">
        <v>-32.810317135330699</v>
      </c>
      <c r="Q113">
        <v>-36.169746969627127</v>
      </c>
      <c r="R113">
        <v>-28.723757185150451</v>
      </c>
      <c r="S113">
        <v>-22.997044550518673</v>
      </c>
      <c r="T113">
        <v>-26.214474711714399</v>
      </c>
      <c r="U113">
        <v>-23.424009931907374</v>
      </c>
      <c r="V113">
        <v>-14.336004026952942</v>
      </c>
      <c r="W113">
        <v>-7.7959520670234959</v>
      </c>
      <c r="X113">
        <v>-2.2174621876346521</v>
      </c>
      <c r="Y113">
        <v>-13.629651613221217</v>
      </c>
      <c r="Z113">
        <v>-11.555057709898874</v>
      </c>
      <c r="AA113">
        <v>-18.062255755680546</v>
      </c>
      <c r="AB113">
        <v>-18.689102742310045</v>
      </c>
      <c r="AC113">
        <v>-12.779222948154692</v>
      </c>
      <c r="AD113">
        <v>-17.665793507982521</v>
      </c>
      <c r="AE113">
        <v>-14.306626924833365</v>
      </c>
      <c r="AF113">
        <v>-15.426843809106893</v>
      </c>
      <c r="AG113">
        <v>-17.081621348413172</v>
      </c>
      <c r="AH113">
        <v>-13.280382915354775</v>
      </c>
      <c r="AI113">
        <v>-19.099244499046794</v>
      </c>
      <c r="AJ113">
        <v>-9.8830627951418748</v>
      </c>
      <c r="AK113">
        <v>-14.148424912824462</v>
      </c>
    </row>
    <row r="114" spans="1:37">
      <c r="A114" t="s">
        <v>171</v>
      </c>
      <c r="B114" t="s">
        <v>231</v>
      </c>
      <c r="E114">
        <v>67.023663145</v>
      </c>
      <c r="F114">
        <v>67.664283146000002</v>
      </c>
      <c r="G114">
        <v>70.851296117999993</v>
      </c>
      <c r="H114">
        <v>69.802924066000003</v>
      </c>
      <c r="I114">
        <v>71.856986950000007</v>
      </c>
      <c r="J114">
        <v>75.464612828</v>
      </c>
      <c r="K114">
        <v>75.310976656999998</v>
      </c>
      <c r="L114">
        <v>76.851232435</v>
      </c>
      <c r="M114">
        <v>80.040006462999997</v>
      </c>
      <c r="N114">
        <v>82.129657523000006</v>
      </c>
      <c r="O114">
        <v>82.140732295395424</v>
      </c>
      <c r="P114">
        <v>80.32503124931695</v>
      </c>
      <c r="Q114">
        <v>84.296817553553609</v>
      </c>
      <c r="R114">
        <v>82.226095677587239</v>
      </c>
      <c r="S114">
        <v>83.297796963546546</v>
      </c>
      <c r="T114">
        <v>87.688527549989047</v>
      </c>
      <c r="U114">
        <v>87.580913733382687</v>
      </c>
      <c r="V114">
        <v>86.040683918047023</v>
      </c>
      <c r="W114">
        <v>88.433526205869853</v>
      </c>
      <c r="X114">
        <v>86.485656102408512</v>
      </c>
      <c r="Y114">
        <v>83.533124140275234</v>
      </c>
      <c r="Z114">
        <v>83.474380591938228</v>
      </c>
      <c r="AA114">
        <v>79.85456749728742</v>
      </c>
      <c r="AB114">
        <v>76.656959630221152</v>
      </c>
      <c r="AC114">
        <v>80.050802328007876</v>
      </c>
      <c r="AD114">
        <v>80.035880803165085</v>
      </c>
      <c r="AE114">
        <v>78.882497022763857</v>
      </c>
      <c r="AF114">
        <v>80.854627604649622</v>
      </c>
      <c r="AG114">
        <v>81.00753247166071</v>
      </c>
      <c r="AH114">
        <v>82.914057950379032</v>
      </c>
      <c r="AI114">
        <v>73.477419196638138</v>
      </c>
      <c r="AJ114">
        <v>75.470720198839288</v>
      </c>
      <c r="AK114">
        <v>82.867492343185774</v>
      </c>
    </row>
    <row r="115" spans="1:37">
      <c r="A115" t="s">
        <v>172</v>
      </c>
      <c r="B115" t="s">
        <v>231</v>
      </c>
      <c r="E115">
        <v>30.860979907000001</v>
      </c>
      <c r="F115">
        <v>29.889155680999998</v>
      </c>
      <c r="G115">
        <v>30.112304443999999</v>
      </c>
      <c r="H115">
        <v>35.116637558000001</v>
      </c>
      <c r="I115">
        <v>36.257713293000002</v>
      </c>
      <c r="J115">
        <v>40.240366834</v>
      </c>
      <c r="K115">
        <v>41.523595616999998</v>
      </c>
      <c r="L115">
        <v>42.040793932</v>
      </c>
      <c r="M115">
        <v>42.633203461000001</v>
      </c>
      <c r="N115">
        <v>42.699600072999999</v>
      </c>
      <c r="O115">
        <v>45.937581565308172</v>
      </c>
      <c r="P115">
        <v>44.534145089557192</v>
      </c>
      <c r="Q115">
        <v>48.160254505409974</v>
      </c>
      <c r="R115">
        <v>42.590116854822774</v>
      </c>
      <c r="S115">
        <v>46.059735768440454</v>
      </c>
      <c r="T115">
        <v>47.270440518581808</v>
      </c>
      <c r="U115">
        <v>46.498046289527807</v>
      </c>
      <c r="V115">
        <v>47.141199226305567</v>
      </c>
      <c r="W115">
        <v>46.968593500478015</v>
      </c>
      <c r="Y115">
        <v>41.914122744742826</v>
      </c>
      <c r="Z115">
        <v>54.489881448439014</v>
      </c>
      <c r="AB115">
        <v>54.464639687719263</v>
      </c>
      <c r="AC115">
        <v>58.754386006421697</v>
      </c>
      <c r="AD115">
        <v>56.856902100713469</v>
      </c>
      <c r="AE115">
        <v>62.152495967883958</v>
      </c>
      <c r="AG115">
        <v>68.595711291402665</v>
      </c>
      <c r="AI115">
        <v>61.232431003308854</v>
      </c>
      <c r="AJ115">
        <v>59.429451416043847</v>
      </c>
      <c r="AK115">
        <v>60.039580294375625</v>
      </c>
    </row>
    <row r="116" spans="1:37">
      <c r="A116" t="s">
        <v>174</v>
      </c>
      <c r="B116" t="s">
        <v>231</v>
      </c>
      <c r="O116">
        <v>-17.488841907446542</v>
      </c>
      <c r="P116">
        <v>-16.258804734587262</v>
      </c>
      <c r="Q116">
        <v>-48.519646512556861</v>
      </c>
      <c r="R116">
        <v>-32.154431449908536</v>
      </c>
      <c r="S116">
        <v>-14.904998288257401</v>
      </c>
      <c r="T116">
        <v>-4.0264445523474368</v>
      </c>
      <c r="U116">
        <v>-20.440726540412907</v>
      </c>
      <c r="V116">
        <v>-41.620707700978343</v>
      </c>
      <c r="W116">
        <v>-45.555555555555486</v>
      </c>
      <c r="X116">
        <v>-44.246451223195407</v>
      </c>
      <c r="Y116">
        <v>-19.373915279295481</v>
      </c>
      <c r="Z116">
        <v>3.3541581319130924</v>
      </c>
      <c r="AA116">
        <v>-10.477250172916724</v>
      </c>
      <c r="AB116">
        <v>9.5518001469506739</v>
      </c>
      <c r="AC116">
        <v>14.568951491062968</v>
      </c>
      <c r="AD116">
        <v>4.5300702941942248</v>
      </c>
      <c r="AE116">
        <v>13.792049648557796</v>
      </c>
      <c r="AF116">
        <v>7.6422642638151022</v>
      </c>
      <c r="AG116">
        <v>1.626016260162658</v>
      </c>
      <c r="AH116">
        <v>13.968745728734788</v>
      </c>
      <c r="AI116">
        <v>12.907473720688484</v>
      </c>
      <c r="AJ116">
        <v>14.486257735711636</v>
      </c>
      <c r="AK116">
        <v>17.10053563162645</v>
      </c>
    </row>
    <row r="117" spans="1:37">
      <c r="A117" t="s">
        <v>175</v>
      </c>
      <c r="B117" t="s">
        <v>231</v>
      </c>
      <c r="E117">
        <v>38.870071078999999</v>
      </c>
      <c r="F117">
        <v>36.400993851000003</v>
      </c>
      <c r="G117">
        <v>38.046121300999999</v>
      </c>
      <c r="H117">
        <v>39.643464848999997</v>
      </c>
      <c r="I117">
        <v>41.272099273999999</v>
      </c>
      <c r="J117">
        <v>38.597601863000001</v>
      </c>
      <c r="K117">
        <v>41.365896780999996</v>
      </c>
      <c r="L117">
        <v>39.470490007999999</v>
      </c>
      <c r="M117">
        <v>39.002282598000001</v>
      </c>
      <c r="N117">
        <v>36.268836766</v>
      </c>
      <c r="O117">
        <v>40.501877194379283</v>
      </c>
      <c r="P117">
        <v>38.0106007366646</v>
      </c>
      <c r="Q117">
        <v>38.397844869162469</v>
      </c>
      <c r="R117">
        <v>44.909781951129652</v>
      </c>
      <c r="S117">
        <v>38.571467977319443</v>
      </c>
      <c r="T117">
        <v>39.45640389628619</v>
      </c>
      <c r="U117">
        <v>39.794338851226115</v>
      </c>
      <c r="V117">
        <v>38.297306104195194</v>
      </c>
      <c r="W117">
        <v>40.070157710491195</v>
      </c>
      <c r="X117">
        <v>39.489956513496793</v>
      </c>
      <c r="Y117">
        <v>39.083837672561359</v>
      </c>
      <c r="Z117">
        <v>38.457691251090111</v>
      </c>
      <c r="AA117">
        <v>31.471102414804474</v>
      </c>
      <c r="AB117">
        <v>34.004638592358262</v>
      </c>
      <c r="AC117">
        <v>34.103610634804816</v>
      </c>
      <c r="AD117">
        <v>32.883202401172035</v>
      </c>
      <c r="AE117">
        <v>35.363706031227352</v>
      </c>
      <c r="AF117">
        <v>28.696523139465302</v>
      </c>
      <c r="AG117">
        <v>30.746568757662867</v>
      </c>
      <c r="AH117">
        <v>32.019703476000679</v>
      </c>
      <c r="AI117">
        <v>34.441751388461142</v>
      </c>
      <c r="AJ117">
        <v>22.54978448395121</v>
      </c>
      <c r="AK117">
        <v>28.699891486425361</v>
      </c>
    </row>
    <row r="118" spans="1:37">
      <c r="A118" t="s">
        <v>176</v>
      </c>
      <c r="B118" t="s">
        <v>231</v>
      </c>
      <c r="E118">
        <v>61.687885188000003</v>
      </c>
      <c r="F118">
        <v>61.234038263999999</v>
      </c>
      <c r="G118">
        <v>60.651976013000002</v>
      </c>
      <c r="H118">
        <v>56.442988878999998</v>
      </c>
      <c r="I118">
        <v>56.655031082999997</v>
      </c>
      <c r="J118">
        <v>57.395963448000003</v>
      </c>
      <c r="K118">
        <v>61.357413323999999</v>
      </c>
      <c r="L118">
        <v>59.688977547999997</v>
      </c>
      <c r="M118">
        <v>61.204205154999997</v>
      </c>
      <c r="N118">
        <v>55.935678600999999</v>
      </c>
      <c r="O118">
        <v>56.694552844514654</v>
      </c>
      <c r="P118">
        <v>57.876085415359</v>
      </c>
      <c r="Q118">
        <v>58.521032641235436</v>
      </c>
      <c r="R118">
        <v>57.144255371407141</v>
      </c>
      <c r="S118">
        <v>58.548011953305576</v>
      </c>
      <c r="T118">
        <v>63.055530099593092</v>
      </c>
      <c r="U118">
        <v>59.856357577793688</v>
      </c>
      <c r="V118">
        <v>55.195103775230066</v>
      </c>
      <c r="W118">
        <v>58.008805243660625</v>
      </c>
      <c r="X118">
        <v>58.354448994870765</v>
      </c>
      <c r="Y118">
        <v>57.467803826986639</v>
      </c>
      <c r="Z118">
        <v>57.080010476252028</v>
      </c>
      <c r="AA118">
        <v>57.419394275665233</v>
      </c>
      <c r="AB118">
        <v>57.3949322962644</v>
      </c>
      <c r="AC118">
        <v>53.850165750109412</v>
      </c>
      <c r="AD118">
        <v>56.434566014097911</v>
      </c>
      <c r="AE118">
        <v>60.14777019549615</v>
      </c>
      <c r="AF118">
        <v>60.582980525404651</v>
      </c>
      <c r="AG118">
        <v>54.039611976550361</v>
      </c>
      <c r="AH118">
        <v>55.403219910216926</v>
      </c>
      <c r="AI118">
        <v>50.532674761103415</v>
      </c>
      <c r="AJ118">
        <v>52.438553071063424</v>
      </c>
      <c r="AK118">
        <v>51.733847641465346</v>
      </c>
    </row>
    <row r="119" spans="1:37">
      <c r="A119" t="s">
        <v>249</v>
      </c>
      <c r="B119" t="s">
        <v>231</v>
      </c>
      <c r="E119">
        <v>-106.40192973000001</v>
      </c>
      <c r="F119">
        <v>-125.34782235</v>
      </c>
      <c r="G119">
        <v>-138.83897189999999</v>
      </c>
      <c r="H119">
        <v>-145.64016193</v>
      </c>
      <c r="I119">
        <v>-162.58642472</v>
      </c>
      <c r="J119">
        <v>-161.38621681000001</v>
      </c>
      <c r="K119">
        <v>-147.76127776000001</v>
      </c>
      <c r="L119">
        <v>-136.71540515000001</v>
      </c>
      <c r="M119">
        <v>-118.38967708</v>
      </c>
      <c r="N119">
        <v>-124.35041258</v>
      </c>
      <c r="O119">
        <v>-115.26976754254363</v>
      </c>
      <c r="P119">
        <v>-133.38146303232162</v>
      </c>
      <c r="Q119">
        <v>-153.82476084364046</v>
      </c>
      <c r="R119">
        <v>-109.60894161189731</v>
      </c>
      <c r="S119">
        <v>-68.483796248337441</v>
      </c>
      <c r="T119">
        <v>-33.804203257766019</v>
      </c>
      <c r="U119">
        <v>-8.1774178945950649</v>
      </c>
      <c r="V119">
        <v>-4.1810512592517641</v>
      </c>
      <c r="W119">
        <v>-5.4614244060833022</v>
      </c>
      <c r="X119">
        <v>-11.945458122646988</v>
      </c>
      <c r="Y119">
        <v>-20.175630085334255</v>
      </c>
      <c r="Z119">
        <v>-13.986617169052085</v>
      </c>
      <c r="AA119">
        <v>15.500234922102827</v>
      </c>
      <c r="AB119">
        <v>43.056420524867747</v>
      </c>
      <c r="AC119">
        <v>57.928538622646485</v>
      </c>
      <c r="AD119">
        <v>59.683706035248754</v>
      </c>
      <c r="AE119">
        <v>61.743239153436782</v>
      </c>
      <c r="AF119">
        <v>66.515361091899663</v>
      </c>
      <c r="AG119">
        <v>65.508508736570988</v>
      </c>
      <c r="AH119">
        <v>63.098756878274941</v>
      </c>
      <c r="AI119">
        <v>60.118774577698034</v>
      </c>
      <c r="AJ119">
        <v>58.276152993497575</v>
      </c>
      <c r="AK119">
        <v>61.271501860979747</v>
      </c>
    </row>
    <row r="120" spans="1:37">
      <c r="A120" t="s">
        <v>177</v>
      </c>
      <c r="B120" t="s">
        <v>231</v>
      </c>
      <c r="E120">
        <v>62.131125410999999</v>
      </c>
      <c r="F120">
        <v>64.146562037999999</v>
      </c>
      <c r="G120">
        <v>58.803387270999998</v>
      </c>
      <c r="H120">
        <v>48.096857790999998</v>
      </c>
      <c r="I120">
        <v>38.423139321999997</v>
      </c>
      <c r="J120">
        <v>40.514196769000002</v>
      </c>
      <c r="K120">
        <v>37.545447469999999</v>
      </c>
      <c r="L120">
        <v>42.130569624000003</v>
      </c>
      <c r="M120">
        <v>43.859034764</v>
      </c>
      <c r="N120">
        <v>38.475985188999999</v>
      </c>
      <c r="O120">
        <v>41.303067020909836</v>
      </c>
      <c r="P120">
        <v>39.451959139082419</v>
      </c>
      <c r="Q120">
        <v>36.267585866184824</v>
      </c>
      <c r="R120">
        <v>32.560650463829994</v>
      </c>
      <c r="S120">
        <v>36.648329258353861</v>
      </c>
      <c r="T120">
        <v>34.424823925691392</v>
      </c>
      <c r="U120">
        <v>37.895976874950492</v>
      </c>
      <c r="V120">
        <v>39.386838327235736</v>
      </c>
      <c r="W120">
        <v>40.607995639096373</v>
      </c>
      <c r="X120">
        <v>31.095477612107675</v>
      </c>
      <c r="Y120">
        <v>30.495971194590197</v>
      </c>
      <c r="Z120">
        <v>30.967106343385666</v>
      </c>
      <c r="AA120">
        <v>29.976550023247821</v>
      </c>
      <c r="AB120">
        <v>27.986251801679181</v>
      </c>
      <c r="AC120">
        <v>32.11150585537326</v>
      </c>
      <c r="AD120">
        <v>31.027337281184682</v>
      </c>
      <c r="AE120">
        <v>29.661436420333597</v>
      </c>
      <c r="AF120">
        <v>24.178073429704476</v>
      </c>
      <c r="AG120">
        <v>25.220670720906767</v>
      </c>
      <c r="AH120">
        <v>28.436336106961491</v>
      </c>
      <c r="AI120">
        <v>31.847877874154097</v>
      </c>
      <c r="AJ120">
        <v>30.395913154533737</v>
      </c>
      <c r="AK120">
        <v>28.045014066895963</v>
      </c>
    </row>
    <row r="121" spans="1:37">
      <c r="A121" t="s">
        <v>250</v>
      </c>
      <c r="B121" t="s">
        <v>231</v>
      </c>
      <c r="E121">
        <v>9.9470100741999996</v>
      </c>
      <c r="F121">
        <v>9.6293094131999997</v>
      </c>
      <c r="G121">
        <v>8.4547599018999993</v>
      </c>
      <c r="H121">
        <v>8.4241700947999991</v>
      </c>
      <c r="I121">
        <v>7.0679583136000002</v>
      </c>
      <c r="J121">
        <v>9.5139577847000005</v>
      </c>
      <c r="K121">
        <v>8.7879644864999999</v>
      </c>
      <c r="L121">
        <v>8.3546261573000002</v>
      </c>
      <c r="M121">
        <v>7.1361504215</v>
      </c>
      <c r="N121">
        <v>5.9344554359000004</v>
      </c>
      <c r="AA121">
        <v>13.130326525429023</v>
      </c>
      <c r="AB121">
        <v>14.049806702344208</v>
      </c>
      <c r="AC121">
        <v>13.033991718601834</v>
      </c>
      <c r="AD121">
        <v>14.637670854504984</v>
      </c>
      <c r="AE121">
        <v>14.079126468685294</v>
      </c>
      <c r="AF121">
        <v>12.901648003380497</v>
      </c>
      <c r="AG121">
        <v>12.790612470264042</v>
      </c>
      <c r="AH121">
        <v>13.136835463866909</v>
      </c>
      <c r="AI121">
        <v>12.952305728449501</v>
      </c>
      <c r="AJ121">
        <v>13.717529034604677</v>
      </c>
      <c r="AK121">
        <v>12.933856252021311</v>
      </c>
    </row>
    <row r="122" spans="1:37">
      <c r="A122" t="s">
        <v>178</v>
      </c>
      <c r="B122" t="s">
        <v>231</v>
      </c>
      <c r="E122">
        <v>42.099353512</v>
      </c>
      <c r="F122">
        <v>39.427977384000002</v>
      </c>
      <c r="G122">
        <v>42.753324337000002</v>
      </c>
      <c r="H122">
        <v>47.852860661999998</v>
      </c>
      <c r="I122">
        <v>49.285609923999999</v>
      </c>
      <c r="J122">
        <v>51.590189743000003</v>
      </c>
      <c r="K122">
        <v>52.661333032999998</v>
      </c>
      <c r="L122">
        <v>48.585108079000001</v>
      </c>
      <c r="M122">
        <v>44.857762073000004</v>
      </c>
      <c r="N122">
        <v>45.048513686</v>
      </c>
      <c r="O122">
        <v>44.132796054372733</v>
      </c>
      <c r="P122">
        <v>46.561742714641255</v>
      </c>
      <c r="Q122">
        <v>46.996289989386383</v>
      </c>
      <c r="R122">
        <v>47.966894989053699</v>
      </c>
      <c r="S122">
        <v>50.592533714573015</v>
      </c>
      <c r="T122">
        <v>48.065275981103866</v>
      </c>
      <c r="U122">
        <v>47.209967127094224</v>
      </c>
      <c r="V122">
        <v>46.387332679283212</v>
      </c>
      <c r="W122">
        <v>44.113420834225543</v>
      </c>
      <c r="X122">
        <v>44.682078203347317</v>
      </c>
      <c r="Y122">
        <v>43.659469263271028</v>
      </c>
      <c r="Z122">
        <v>44.481232102307089</v>
      </c>
      <c r="AA122">
        <v>43.682552247000409</v>
      </c>
      <c r="AB122">
        <v>43.040541705382637</v>
      </c>
      <c r="AC122">
        <v>44.024030705901978</v>
      </c>
      <c r="AD122">
        <v>46.319396253969906</v>
      </c>
      <c r="AE122">
        <v>45.714933892383769</v>
      </c>
      <c r="AF122">
        <v>47.657786298513159</v>
      </c>
      <c r="AG122">
        <v>51.100778106984734</v>
      </c>
      <c r="AH122">
        <v>48.631211775079578</v>
      </c>
      <c r="AI122">
        <v>51.239003390431492</v>
      </c>
      <c r="AJ122">
        <v>53.49746174783553</v>
      </c>
      <c r="AK122">
        <v>57.124518567832673</v>
      </c>
    </row>
    <row r="123" spans="1:37">
      <c r="A123" t="s">
        <v>179</v>
      </c>
      <c r="B123" t="s">
        <v>231</v>
      </c>
      <c r="AF123">
        <v>15.142196616637912</v>
      </c>
      <c r="AG123">
        <v>18.04039934989552</v>
      </c>
    </row>
    <row r="124" spans="1:37">
      <c r="A124" t="s">
        <v>181</v>
      </c>
      <c r="B124" t="s">
        <v>231</v>
      </c>
      <c r="E124">
        <v>-106.64451827000001</v>
      </c>
      <c r="F124">
        <v>-99.256411593999999</v>
      </c>
      <c r="G124">
        <v>-86.906178589999996</v>
      </c>
      <c r="H124">
        <v>-90.742032574999996</v>
      </c>
      <c r="I124">
        <v>-99.495593692</v>
      </c>
      <c r="J124">
        <v>-103.84056525</v>
      </c>
      <c r="K124">
        <v>-69.807533011999993</v>
      </c>
      <c r="L124">
        <v>-65.759829834000001</v>
      </c>
      <c r="M124">
        <v>-69.074344640000007</v>
      </c>
      <c r="N124">
        <v>-68.866081664000006</v>
      </c>
      <c r="O124">
        <v>-85.390074988234389</v>
      </c>
      <c r="P124">
        <v>-73.961494237967713</v>
      </c>
      <c r="Q124">
        <v>-86.142229473017011</v>
      </c>
      <c r="R124">
        <v>-117.11049974152463</v>
      </c>
      <c r="S124">
        <v>-126.05280867192918</v>
      </c>
      <c r="T124">
        <v>-109.99151977259322</v>
      </c>
      <c r="U124">
        <v>-120.31326975977549</v>
      </c>
      <c r="V124">
        <v>-110.39454097396796</v>
      </c>
      <c r="W124">
        <v>-116.00407629000912</v>
      </c>
      <c r="X124">
        <v>-119.02587460373697</v>
      </c>
      <c r="Y124">
        <v>-111.99453532127902</v>
      </c>
      <c r="Z124">
        <v>-102.18963239482737</v>
      </c>
      <c r="AA124">
        <v>-103.33020782760025</v>
      </c>
      <c r="AB124">
        <v>-103.14765731448954</v>
      </c>
      <c r="AC124">
        <v>-99.566113342713408</v>
      </c>
      <c r="AD124">
        <v>-90.986208330445365</v>
      </c>
      <c r="AE124">
        <v>-87.849451217229117</v>
      </c>
      <c r="AF124">
        <v>-89.042772067442883</v>
      </c>
      <c r="AG124">
        <v>-98.612004910146027</v>
      </c>
      <c r="AH124">
        <v>-99.982964296236617</v>
      </c>
      <c r="AI124">
        <v>-98.195479911531606</v>
      </c>
      <c r="AJ124">
        <v>-66.662360302586805</v>
      </c>
      <c r="AK124">
        <v>-75.457332287731333</v>
      </c>
    </row>
    <row r="125" spans="1:37">
      <c r="A125" t="s">
        <v>182</v>
      </c>
      <c r="B125" t="s">
        <v>231</v>
      </c>
      <c r="E125">
        <v>-17.528893781000001</v>
      </c>
      <c r="F125">
        <v>-31.456303107</v>
      </c>
      <c r="G125">
        <v>-25.724205652999999</v>
      </c>
      <c r="H125">
        <v>-6.9031211998000002</v>
      </c>
      <c r="I125">
        <v>4.3759271914999998</v>
      </c>
      <c r="J125">
        <v>2.0621780418000002</v>
      </c>
      <c r="K125">
        <v>-0.53572764095000003</v>
      </c>
      <c r="L125">
        <v>0.57894576151999999</v>
      </c>
      <c r="M125">
        <v>-0.92789389095999997</v>
      </c>
      <c r="N125">
        <v>8.5110635357</v>
      </c>
      <c r="O125">
        <v>11.133847406046641</v>
      </c>
      <c r="P125">
        <v>21.359397695211719</v>
      </c>
      <c r="Q125">
        <v>20.193835884395376</v>
      </c>
      <c r="R125">
        <v>24.904728614139749</v>
      </c>
      <c r="S125">
        <v>23.558411360006211</v>
      </c>
      <c r="T125">
        <v>21.248068383531511</v>
      </c>
      <c r="U125">
        <v>27.251021237928658</v>
      </c>
      <c r="V125">
        <v>15.437965172039297</v>
      </c>
      <c r="W125">
        <v>23.514420701972153</v>
      </c>
      <c r="X125">
        <v>19.068418705685104</v>
      </c>
      <c r="Y125">
        <v>20.132780853557914</v>
      </c>
      <c r="Z125">
        <v>25.565583370998361</v>
      </c>
      <c r="AA125">
        <v>29.382199490161128</v>
      </c>
      <c r="AB125">
        <v>33.200005498055063</v>
      </c>
      <c r="AC125">
        <v>39.150723285114189</v>
      </c>
      <c r="AD125">
        <v>45.182604490652729</v>
      </c>
      <c r="AE125">
        <v>47.554804607773193</v>
      </c>
      <c r="AF125">
        <v>52.36213842779528</v>
      </c>
      <c r="AG125">
        <v>54.461076282766598</v>
      </c>
      <c r="AH125">
        <v>57.840137781614231</v>
      </c>
      <c r="AI125">
        <v>55.323617755033837</v>
      </c>
      <c r="AJ125">
        <v>53.307189058867891</v>
      </c>
      <c r="AK125">
        <v>53.14002890084025</v>
      </c>
    </row>
    <row r="126" spans="1:37">
      <c r="A126" t="s">
        <v>183</v>
      </c>
      <c r="B126" t="s">
        <v>231</v>
      </c>
      <c r="E126">
        <v>54.005242469999999</v>
      </c>
      <c r="F126">
        <v>48.229235535000001</v>
      </c>
      <c r="G126">
        <v>50.820959100000003</v>
      </c>
      <c r="H126">
        <v>55.731459002000001</v>
      </c>
      <c r="I126">
        <v>56.176441812999997</v>
      </c>
      <c r="J126">
        <v>59.678968507</v>
      </c>
      <c r="K126">
        <v>60.941078074000004</v>
      </c>
      <c r="L126">
        <v>60.650405669000001</v>
      </c>
      <c r="M126">
        <v>60.647696234000001</v>
      </c>
      <c r="N126">
        <v>61.449515449000003</v>
      </c>
      <c r="O126">
        <v>66.411898025334239</v>
      </c>
      <c r="P126">
        <v>65.382773078247538</v>
      </c>
      <c r="Q126">
        <v>68.809836714274851</v>
      </c>
      <c r="R126">
        <v>71.801463468236363</v>
      </c>
      <c r="S126">
        <v>71.997265823234287</v>
      </c>
      <c r="T126">
        <v>73.604816595094718</v>
      </c>
      <c r="U126">
        <v>74.197948417094779</v>
      </c>
      <c r="V126">
        <v>75.597795071552454</v>
      </c>
      <c r="W126">
        <v>73.674154543883688</v>
      </c>
      <c r="X126">
        <v>71.599383127891628</v>
      </c>
      <c r="Y126">
        <v>71.811367593083133</v>
      </c>
      <c r="Z126">
        <v>72.345524335656805</v>
      </c>
      <c r="AA126">
        <v>76.50451534511906</v>
      </c>
      <c r="AB126">
        <v>76.708202648865765</v>
      </c>
      <c r="AC126">
        <v>78.733472872236959</v>
      </c>
      <c r="AD126">
        <v>80.444319676982673</v>
      </c>
      <c r="AE126">
        <v>77.287818114288726</v>
      </c>
      <c r="AF126">
        <v>79.1725104847079</v>
      </c>
      <c r="AG126">
        <v>75.83164799125457</v>
      </c>
      <c r="AH126">
        <v>72.197363294463642</v>
      </c>
      <c r="AI126">
        <v>71.333002679208619</v>
      </c>
      <c r="AJ126">
        <v>72.124712150237428</v>
      </c>
      <c r="AK126">
        <v>72.704129716298979</v>
      </c>
    </row>
    <row r="127" spans="1:37">
      <c r="A127" t="s">
        <v>184</v>
      </c>
      <c r="B127" t="s">
        <v>231</v>
      </c>
      <c r="E127">
        <v>-316.41787369999997</v>
      </c>
      <c r="F127">
        <v>-387.73254136000003</v>
      </c>
      <c r="G127">
        <v>-367.29581158000002</v>
      </c>
      <c r="H127">
        <v>-444.96713318000002</v>
      </c>
      <c r="I127">
        <v>-145.24571039</v>
      </c>
      <c r="J127">
        <v>-138.32327287999999</v>
      </c>
      <c r="K127">
        <v>-172.76750955</v>
      </c>
      <c r="L127">
        <v>-63.125195646000002</v>
      </c>
      <c r="M127">
        <v>-42.157038438000001</v>
      </c>
      <c r="N127">
        <v>-75.291113315000004</v>
      </c>
      <c r="O127">
        <v>-206.72999305110943</v>
      </c>
      <c r="P127">
        <v>-273.24830765098784</v>
      </c>
      <c r="Q127">
        <v>-374.67677822848628</v>
      </c>
      <c r="R127">
        <v>-279.51171370776763</v>
      </c>
      <c r="S127">
        <v>-215.21433267501808</v>
      </c>
      <c r="T127">
        <v>-240.60093474600416</v>
      </c>
      <c r="U127">
        <v>-224.48405494830897</v>
      </c>
      <c r="V127">
        <v>-256.62884666080578</v>
      </c>
      <c r="W127">
        <v>-198.58809434921395</v>
      </c>
      <c r="X127">
        <v>-104.2814851288947</v>
      </c>
      <c r="Y127">
        <v>-105.87146132323959</v>
      </c>
      <c r="Z127">
        <v>-163.93411330229128</v>
      </c>
      <c r="AA127">
        <v>-174.89415074798816</v>
      </c>
      <c r="AB127">
        <v>-223.97446489839319</v>
      </c>
      <c r="AC127">
        <v>-239.45832753684763</v>
      </c>
      <c r="AD127">
        <v>-249.24805743870942</v>
      </c>
      <c r="AE127">
        <v>-236.06303397009674</v>
      </c>
      <c r="AF127">
        <v>-230.67380495554028</v>
      </c>
      <c r="AG127">
        <v>-246.80537438311191</v>
      </c>
      <c r="AH127">
        <v>-242.60681687190478</v>
      </c>
      <c r="AI127">
        <v>-228.30746249926568</v>
      </c>
      <c r="AJ127">
        <v>-114.79952721780798</v>
      </c>
      <c r="AK127">
        <v>-109.77721144360426</v>
      </c>
    </row>
    <row r="128" spans="1:37">
      <c r="A128" t="s">
        <v>186</v>
      </c>
      <c r="B128" t="s">
        <v>231</v>
      </c>
      <c r="E128">
        <v>3.5747371268000001</v>
      </c>
      <c r="F128">
        <v>3.5774275984999999</v>
      </c>
      <c r="G128">
        <v>3.4050320453</v>
      </c>
      <c r="H128">
        <v>3.3590179484</v>
      </c>
      <c r="I128">
        <v>2.9584448269000001</v>
      </c>
      <c r="J128">
        <v>3.8005109149999998</v>
      </c>
      <c r="K128">
        <v>3.8715412138</v>
      </c>
      <c r="L128">
        <v>3.7904493691000001</v>
      </c>
      <c r="M128">
        <v>4.4467128564999996</v>
      </c>
      <c r="N128">
        <v>4.5407962991000002</v>
      </c>
      <c r="O128">
        <v>4.9063598100166095</v>
      </c>
      <c r="P128">
        <v>4.9906002819915436</v>
      </c>
      <c r="Q128">
        <v>4.8208687755703332</v>
      </c>
      <c r="R128">
        <v>4.8117447737997114</v>
      </c>
      <c r="S128">
        <v>4.808105771537452</v>
      </c>
      <c r="T128">
        <v>5.79200850011323</v>
      </c>
      <c r="U128">
        <v>6.7794789714213435</v>
      </c>
      <c r="V128">
        <v>8.1251814835045657</v>
      </c>
      <c r="W128">
        <v>7.9447973696016323</v>
      </c>
      <c r="X128">
        <v>8.3825066779934474</v>
      </c>
      <c r="Y128">
        <v>8.8804961409701448</v>
      </c>
      <c r="Z128">
        <v>9.3267075026022308</v>
      </c>
      <c r="AA128">
        <v>9.0619392808440757</v>
      </c>
      <c r="AB128">
        <v>8.6496795551524173</v>
      </c>
      <c r="AC128">
        <v>8.9032599717374623</v>
      </c>
      <c r="AD128">
        <v>9.1693117471325802</v>
      </c>
      <c r="AE128">
        <v>22.048033191957263</v>
      </c>
      <c r="AF128">
        <v>21.775113394867873</v>
      </c>
      <c r="AG128">
        <v>22.122221200134945</v>
      </c>
      <c r="AH128">
        <v>22.000514697541956</v>
      </c>
      <c r="AI128">
        <v>24.099111827456294</v>
      </c>
      <c r="AJ128">
        <v>21.084564896651944</v>
      </c>
      <c r="AK128">
        <v>20.489515022751593</v>
      </c>
    </row>
    <row r="129" spans="1:37">
      <c r="A129" t="s">
        <v>187</v>
      </c>
      <c r="B129" t="s">
        <v>231</v>
      </c>
      <c r="E129">
        <v>47.986381029999997</v>
      </c>
      <c r="F129">
        <v>53.698125308000002</v>
      </c>
      <c r="G129">
        <v>50.906167312000001</v>
      </c>
      <c r="H129">
        <v>46.438919098</v>
      </c>
      <c r="I129">
        <v>45.533533847000001</v>
      </c>
      <c r="J129">
        <v>50.246837030999998</v>
      </c>
      <c r="K129">
        <v>51.087389946000002</v>
      </c>
      <c r="L129">
        <v>48.121509942000003</v>
      </c>
      <c r="M129">
        <v>45.208545190999999</v>
      </c>
      <c r="N129">
        <v>44.289971928999996</v>
      </c>
      <c r="O129">
        <v>43.071632366297052</v>
      </c>
      <c r="P129">
        <v>43.282336474546966</v>
      </c>
      <c r="Q129">
        <v>43.630879888551206</v>
      </c>
      <c r="R129">
        <v>46.5528104358729</v>
      </c>
      <c r="S129">
        <v>45.327294531925155</v>
      </c>
      <c r="T129">
        <v>42.352433084731175</v>
      </c>
      <c r="U129">
        <v>41.505757722563047</v>
      </c>
      <c r="V129">
        <v>40.99757203782611</v>
      </c>
      <c r="W129">
        <v>42.520468194142566</v>
      </c>
      <c r="X129">
        <v>36.167115382928948</v>
      </c>
      <c r="Y129">
        <v>31.652516532853507</v>
      </c>
      <c r="Z129">
        <v>37.684141907909677</v>
      </c>
      <c r="AA129">
        <v>31.427445048661962</v>
      </c>
      <c r="AB129">
        <v>27.032994151373313</v>
      </c>
      <c r="AC129">
        <v>25.962079834188401</v>
      </c>
      <c r="AD129">
        <v>32.313830984676208</v>
      </c>
      <c r="AE129">
        <v>30.213600597443346</v>
      </c>
      <c r="AF129">
        <v>37.078787053102161</v>
      </c>
      <c r="AG129">
        <v>34.570702201746585</v>
      </c>
      <c r="AH129">
        <v>36.781686617143286</v>
      </c>
      <c r="AI129">
        <v>34.053118980487262</v>
      </c>
      <c r="AJ129">
        <v>33.452499860452257</v>
      </c>
      <c r="AK129">
        <v>23.369063561263552</v>
      </c>
    </row>
    <row r="130" spans="1:37">
      <c r="A130" t="s">
        <v>188</v>
      </c>
      <c r="B130" t="s">
        <v>231</v>
      </c>
      <c r="E130">
        <v>-395.23444135</v>
      </c>
      <c r="F130">
        <v>-388.98490518</v>
      </c>
      <c r="G130">
        <v>-443.58652487000001</v>
      </c>
      <c r="H130">
        <v>-404.28690231000002</v>
      </c>
      <c r="I130">
        <v>-360.28126927</v>
      </c>
      <c r="J130">
        <v>-345.73716374000003</v>
      </c>
      <c r="K130">
        <v>-332.87149267000001</v>
      </c>
      <c r="L130">
        <v>-333.10469433999998</v>
      </c>
      <c r="M130">
        <v>-333.75935842000001</v>
      </c>
      <c r="N130">
        <v>-307.24139802000002</v>
      </c>
      <c r="O130">
        <v>-362.47492603753375</v>
      </c>
      <c r="P130">
        <v>-237.17347791104868</v>
      </c>
      <c r="Q130">
        <v>-227.23777060924283</v>
      </c>
      <c r="R130">
        <v>-262.63590940876685</v>
      </c>
      <c r="S130">
        <v>-282.90208358204552</v>
      </c>
      <c r="T130">
        <v>-271.87726033046567</v>
      </c>
      <c r="U130">
        <v>-275.29788983198119</v>
      </c>
      <c r="V130">
        <v>-239.14352627887359</v>
      </c>
      <c r="W130">
        <v>-189.03742917780065</v>
      </c>
      <c r="X130">
        <v>-151.93670398978804</v>
      </c>
      <c r="Y130">
        <v>-174.85885204195711</v>
      </c>
      <c r="Z130">
        <v>-203.92595438378916</v>
      </c>
      <c r="AA130">
        <v>-204.39262731240467</v>
      </c>
      <c r="AB130">
        <v>-197.72354241488708</v>
      </c>
      <c r="AC130">
        <v>-153.25070732420832</v>
      </c>
      <c r="AD130">
        <v>-144.95633524369799</v>
      </c>
      <c r="AE130">
        <v>-138.13006039823912</v>
      </c>
      <c r="AF130">
        <v>-163.56273581106834</v>
      </c>
      <c r="AG130">
        <v>-159.72570013496596</v>
      </c>
      <c r="AH130">
        <v>-157.25158809757821</v>
      </c>
      <c r="AI130">
        <v>-166.67630449514343</v>
      </c>
      <c r="AJ130">
        <v>-148.77930035727562</v>
      </c>
      <c r="AK130">
        <v>-171.48237132999171</v>
      </c>
    </row>
    <row r="131" spans="1:37">
      <c r="A131" t="s">
        <v>189</v>
      </c>
      <c r="B131" t="s">
        <v>231</v>
      </c>
      <c r="E131">
        <v>2.2985418273999998</v>
      </c>
      <c r="F131">
        <v>5.2191516477000004</v>
      </c>
      <c r="G131">
        <v>3.9884812506</v>
      </c>
      <c r="H131">
        <v>-1.8242056376000002E-2</v>
      </c>
      <c r="I131">
        <v>-14.504904115</v>
      </c>
      <c r="J131">
        <v>-17.461250259</v>
      </c>
      <c r="K131">
        <v>-15.370134094000001</v>
      </c>
      <c r="L131">
        <v>-16.180302226999999</v>
      </c>
      <c r="M131">
        <v>-17.296336466</v>
      </c>
      <c r="N131">
        <v>-21.665911287</v>
      </c>
      <c r="O131">
        <v>-18.099044384115086</v>
      </c>
      <c r="P131">
        <v>-10.111062008242728</v>
      </c>
      <c r="Q131">
        <v>-12.630993980947308</v>
      </c>
      <c r="R131">
        <v>-6.3366661046153014</v>
      </c>
      <c r="S131">
        <v>4.7746456623893261</v>
      </c>
      <c r="T131">
        <v>14.192444886201436</v>
      </c>
      <c r="U131">
        <v>22.497019229322621</v>
      </c>
      <c r="V131">
        <v>21.822700315363111</v>
      </c>
      <c r="W131">
        <v>28.165397461804254</v>
      </c>
      <c r="X131">
        <v>28.866279066221388</v>
      </c>
      <c r="Y131">
        <v>30.84692471420874</v>
      </c>
      <c r="Z131">
        <v>39.473361120665352</v>
      </c>
      <c r="AA131">
        <v>46.005590965831104</v>
      </c>
      <c r="AB131">
        <v>50.608331751493161</v>
      </c>
      <c r="AC131">
        <v>49.743168051165945</v>
      </c>
      <c r="AD131">
        <v>40.277567835742836</v>
      </c>
      <c r="AE131">
        <v>37.954330335376625</v>
      </c>
      <c r="AF131">
        <v>38.030465484696904</v>
      </c>
      <c r="AG131">
        <v>38.167224918992993</v>
      </c>
      <c r="AH131">
        <v>36.535601100354782</v>
      </c>
      <c r="AI131">
        <v>28.499438066392734</v>
      </c>
      <c r="AJ131">
        <v>38.92158140621833</v>
      </c>
      <c r="AK131">
        <v>39.179142897038503</v>
      </c>
    </row>
    <row r="132" spans="1:37">
      <c r="A132" t="s">
        <v>190</v>
      </c>
      <c r="B132" t="s">
        <v>231</v>
      </c>
      <c r="E132">
        <v>17.858737354999999</v>
      </c>
      <c r="F132">
        <v>16.694893253</v>
      </c>
      <c r="G132">
        <v>18.125230714000001</v>
      </c>
      <c r="H132">
        <v>20.872721751</v>
      </c>
      <c r="I132">
        <v>22.009049126000001</v>
      </c>
      <c r="J132">
        <v>20.971019584</v>
      </c>
      <c r="K132">
        <v>22.070379102</v>
      </c>
      <c r="L132">
        <v>23.691867340000002</v>
      </c>
      <c r="M132">
        <v>25.151158841000001</v>
      </c>
      <c r="N132">
        <v>25.888034009999998</v>
      </c>
      <c r="O132">
        <v>26.679145429818462</v>
      </c>
      <c r="P132">
        <v>28.915968541413051</v>
      </c>
      <c r="Q132">
        <v>27.896306132711057</v>
      </c>
      <c r="R132">
        <v>29.268584123476749</v>
      </c>
      <c r="S132">
        <v>30.935350143290314</v>
      </c>
      <c r="T132">
        <v>31.758492486663521</v>
      </c>
      <c r="U132">
        <v>31.773794331703208</v>
      </c>
      <c r="V132">
        <v>30.550728728074571</v>
      </c>
      <c r="W132">
        <v>27.918412758453272</v>
      </c>
      <c r="X132">
        <v>25.912001699386288</v>
      </c>
      <c r="Y132">
        <v>24.085021873746808</v>
      </c>
      <c r="Z132">
        <v>20.679912702337859</v>
      </c>
      <c r="AA132">
        <v>17.518452859975039</v>
      </c>
      <c r="AB132">
        <v>14.433080826160847</v>
      </c>
      <c r="AC132">
        <v>11.695701879002842</v>
      </c>
      <c r="AD132">
        <v>11.738944672511039</v>
      </c>
      <c r="AE132">
        <v>12.299777354408356</v>
      </c>
      <c r="AF132">
        <v>8.1003481346789261</v>
      </c>
      <c r="AG132">
        <v>3.5920721166135374</v>
      </c>
      <c r="AH132">
        <v>-0.89871636880805517</v>
      </c>
      <c r="AI132">
        <v>-3.9655132596338007</v>
      </c>
      <c r="AJ132">
        <v>-4.1899310161273773</v>
      </c>
      <c r="AK132">
        <v>-6.4950386323404885</v>
      </c>
    </row>
    <row r="133" spans="1:37">
      <c r="A133" t="s">
        <v>191</v>
      </c>
      <c r="B133" t="s">
        <v>231</v>
      </c>
      <c r="E133">
        <v>52.267394328000002</v>
      </c>
      <c r="F133">
        <v>64.175058473999997</v>
      </c>
      <c r="G133">
        <v>62.628973262000002</v>
      </c>
      <c r="H133">
        <v>54.577411263999998</v>
      </c>
      <c r="I133">
        <v>63.801521403999999</v>
      </c>
      <c r="J133">
        <v>79.358851586</v>
      </c>
      <c r="K133">
        <v>74.049641088000001</v>
      </c>
      <c r="L133">
        <v>73.248254474000007</v>
      </c>
      <c r="M133">
        <v>66.271760154999996</v>
      </c>
      <c r="N133">
        <v>81.688873150000006</v>
      </c>
      <c r="O133">
        <v>74.34551341350587</v>
      </c>
      <c r="P133">
        <v>67.960364784286128</v>
      </c>
      <c r="Q133">
        <v>54.775856049669066</v>
      </c>
      <c r="R133">
        <v>71.973361637376541</v>
      </c>
      <c r="S133">
        <v>85.531085846753214</v>
      </c>
      <c r="T133">
        <v>73.392858558865896</v>
      </c>
      <c r="U133">
        <v>84.23853681779876</v>
      </c>
      <c r="V133">
        <v>67.386429637471849</v>
      </c>
      <c r="W133">
        <v>72.403085813545559</v>
      </c>
      <c r="X133">
        <v>75.050319167289487</v>
      </c>
      <c r="Y133">
        <v>62.735218207414242</v>
      </c>
      <c r="Z133">
        <v>64.447424341553926</v>
      </c>
      <c r="AA133">
        <v>72.068377807738344</v>
      </c>
      <c r="AB133">
        <v>55.385595260903941</v>
      </c>
      <c r="AC133">
        <v>49.837312680445542</v>
      </c>
      <c r="AD133">
        <v>48.128947568678228</v>
      </c>
      <c r="AE133">
        <v>44.324390832987781</v>
      </c>
      <c r="AF133">
        <v>39.290939419071726</v>
      </c>
      <c r="AG133">
        <v>43.921568627450903</v>
      </c>
      <c r="AH133">
        <v>38.909067679053727</v>
      </c>
      <c r="AI133">
        <v>44.751994641193981</v>
      </c>
      <c r="AJ133">
        <v>41.977879151934417</v>
      </c>
      <c r="AK133">
        <v>46.206893564302746</v>
      </c>
    </row>
    <row r="134" spans="1:37">
      <c r="A134" t="s">
        <v>192</v>
      </c>
      <c r="B134" t="s">
        <v>231</v>
      </c>
      <c r="E134">
        <v>18.447635817999998</v>
      </c>
      <c r="F134">
        <v>18.560309272000001</v>
      </c>
      <c r="G134">
        <v>9.9555715161999991</v>
      </c>
      <c r="H134">
        <v>8.8398567368999998</v>
      </c>
      <c r="I134">
        <v>0.24887921856</v>
      </c>
      <c r="J134">
        <v>-9.3299858168000007</v>
      </c>
      <c r="K134">
        <v>-11.138707157000001</v>
      </c>
      <c r="L134">
        <v>-15.428522423</v>
      </c>
      <c r="M134">
        <v>-9.9295220060999991</v>
      </c>
      <c r="N134">
        <v>-8.5330229586000002</v>
      </c>
      <c r="O134">
        <v>-9.1354616511515037</v>
      </c>
      <c r="P134">
        <v>-8.9724121057586128</v>
      </c>
      <c r="Q134">
        <v>-6.1636006315271681</v>
      </c>
      <c r="R134">
        <v>-10.307003802843084</v>
      </c>
      <c r="S134">
        <v>-14.336595918615593</v>
      </c>
      <c r="T134">
        <v>-19.532870736623671</v>
      </c>
      <c r="U134">
        <v>-20.656549051189888</v>
      </c>
      <c r="V134">
        <v>-23.100342009409154</v>
      </c>
      <c r="W134">
        <v>-23.499184822651127</v>
      </c>
      <c r="X134">
        <v>-30.140065352345584</v>
      </c>
      <c r="Y134">
        <v>-20.085149090140654</v>
      </c>
      <c r="Z134">
        <v>-13.138748759510404</v>
      </c>
      <c r="AA134">
        <v>-25.594654783178484</v>
      </c>
      <c r="AB134">
        <v>-20.738619627137599</v>
      </c>
      <c r="AC134">
        <v>-18.504602272654854</v>
      </c>
      <c r="AD134">
        <v>-21.651598440376944</v>
      </c>
      <c r="AE134">
        <v>-19.2502939633838</v>
      </c>
      <c r="AF134">
        <v>-15.470892031150077</v>
      </c>
      <c r="AG134">
        <v>-25.341537383662565</v>
      </c>
      <c r="AH134">
        <v>-19.679856666711824</v>
      </c>
      <c r="AI134">
        <v>1.0193148856809726</v>
      </c>
      <c r="AJ134">
        <v>0.72105291720101072</v>
      </c>
      <c r="AK134">
        <v>1.5475895409820224</v>
      </c>
    </row>
    <row r="135" spans="1:37">
      <c r="A135" t="s">
        <v>251</v>
      </c>
      <c r="B135" t="s">
        <v>231</v>
      </c>
      <c r="E135">
        <v>-257.32888356000001</v>
      </c>
      <c r="K135">
        <v>-322.43510859000003</v>
      </c>
      <c r="M135">
        <v>-331.61118240000002</v>
      </c>
      <c r="N135">
        <v>-262.25008728</v>
      </c>
      <c r="O135">
        <v>-270.15944402681458</v>
      </c>
      <c r="P135">
        <v>-304.793764322681</v>
      </c>
      <c r="Q135">
        <v>-208.93847262600249</v>
      </c>
      <c r="R135">
        <v>-212.92982766879737</v>
      </c>
      <c r="S135">
        <v>-257.81143971868568</v>
      </c>
      <c r="T135">
        <v>-261.53271758931106</v>
      </c>
      <c r="U135">
        <v>-245.82583534264711</v>
      </c>
      <c r="V135">
        <v>-230.35722670712127</v>
      </c>
      <c r="W135">
        <v>-237.60457465596426</v>
      </c>
      <c r="X135">
        <v>-220.74489799754224</v>
      </c>
      <c r="Y135">
        <v>-166.82027095999803</v>
      </c>
      <c r="Z135">
        <v>-200.44193216855035</v>
      </c>
      <c r="AA135">
        <v>-189.70843846958053</v>
      </c>
      <c r="AB135">
        <v>-160.45088939911571</v>
      </c>
      <c r="AC135">
        <v>-190.94256301978004</v>
      </c>
      <c r="AD135">
        <v>-186.84588086810089</v>
      </c>
      <c r="AE135">
        <v>-188.12413274497749</v>
      </c>
      <c r="AF135">
        <v>-170.10467735524134</v>
      </c>
      <c r="AG135">
        <v>-176.98470245449369</v>
      </c>
      <c r="AH135">
        <v>-114.74842035231445</v>
      </c>
      <c r="AI135">
        <v>-86.895778459386605</v>
      </c>
      <c r="AJ135">
        <v>-74.673734521410893</v>
      </c>
      <c r="AK135">
        <v>-73.908471335791859</v>
      </c>
    </row>
    <row r="136" spans="1:37">
      <c r="A136" t="s">
        <v>252</v>
      </c>
      <c r="B136" t="s">
        <v>231</v>
      </c>
      <c r="E136">
        <v>-0.93929785913999997</v>
      </c>
      <c r="F136">
        <v>-11.116283731999999</v>
      </c>
      <c r="G136">
        <v>-17.279715561</v>
      </c>
      <c r="H136">
        <v>-14.065189290999999</v>
      </c>
      <c r="I136">
        <v>-17.529813717</v>
      </c>
      <c r="J136">
        <v>-21.530594539999999</v>
      </c>
      <c r="K136">
        <v>-23.759196495000001</v>
      </c>
      <c r="L136">
        <v>-24.626983031000002</v>
      </c>
      <c r="M136">
        <v>-29.349582669</v>
      </c>
      <c r="N136">
        <v>-36.771811341000003</v>
      </c>
      <c r="O136">
        <v>-33.98820515974392</v>
      </c>
      <c r="P136">
        <v>-35.879499744385868</v>
      </c>
      <c r="Q136">
        <v>-32.27726378409664</v>
      </c>
      <c r="R136">
        <v>-29.245663546583135</v>
      </c>
      <c r="S136">
        <v>-41.123530683475032</v>
      </c>
      <c r="T136">
        <v>-41.563199509511882</v>
      </c>
      <c r="U136">
        <v>-51.52277360036652</v>
      </c>
      <c r="V136">
        <v>-42.310352258564613</v>
      </c>
      <c r="W136">
        <v>-21.803981693834871</v>
      </c>
      <c r="X136">
        <v>-26.047105253467173</v>
      </c>
      <c r="Y136">
        <v>-12.627070946170447</v>
      </c>
      <c r="Z136">
        <v>-9.6798696759882432</v>
      </c>
      <c r="AA136">
        <v>-11.527556702136499</v>
      </c>
      <c r="AB136">
        <v>-7.9665986178387493</v>
      </c>
      <c r="AC136">
        <v>-0.42301550975341146</v>
      </c>
      <c r="AD136">
        <v>8.2509798159244951</v>
      </c>
      <c r="AE136">
        <v>16.016124173467674</v>
      </c>
      <c r="AF136">
        <v>18.927803889335543</v>
      </c>
      <c r="AG136">
        <v>26.853009873882712</v>
      </c>
      <c r="AH136">
        <v>39.207047800101954</v>
      </c>
      <c r="AI136">
        <v>46.425285653606338</v>
      </c>
      <c r="AJ136">
        <v>33.974970625774489</v>
      </c>
      <c r="AK136">
        <v>33.999194783093905</v>
      </c>
    </row>
    <row r="137" spans="1:37">
      <c r="A137" t="s">
        <v>194</v>
      </c>
      <c r="B137" t="s">
        <v>231</v>
      </c>
      <c r="E137">
        <v>-255.4436346</v>
      </c>
      <c r="F137">
        <v>-226.4648468</v>
      </c>
      <c r="G137">
        <v>-152.95118533999999</v>
      </c>
      <c r="H137">
        <v>-271.97320712999999</v>
      </c>
      <c r="I137">
        <v>-454.92587845999998</v>
      </c>
      <c r="J137">
        <v>-400.20967876999998</v>
      </c>
      <c r="K137">
        <v>-395.20481367000002</v>
      </c>
      <c r="L137">
        <v>-387.98783709000003</v>
      </c>
      <c r="M137">
        <v>-365.35845644</v>
      </c>
      <c r="N137">
        <v>-337.78759502000003</v>
      </c>
      <c r="O137">
        <v>-359.59303203212158</v>
      </c>
      <c r="P137">
        <v>-314.78300714084844</v>
      </c>
      <c r="Q137">
        <v>-323.25691403414231</v>
      </c>
      <c r="R137">
        <v>-272.3358513472503</v>
      </c>
      <c r="S137">
        <v>-214.69052455951916</v>
      </c>
      <c r="T137">
        <v>-191.64460850079402</v>
      </c>
      <c r="U137">
        <v>-140.01693422746035</v>
      </c>
      <c r="V137">
        <v>-135.32723799504427</v>
      </c>
      <c r="W137">
        <v>-100.12077294685933</v>
      </c>
      <c r="X137">
        <v>-84.089596702310715</v>
      </c>
      <c r="Y137">
        <v>-141.85452543357923</v>
      </c>
      <c r="Z137">
        <v>-174.85327199838554</v>
      </c>
      <c r="AA137">
        <v>-144.93629025189088</v>
      </c>
      <c r="AB137">
        <v>-117.47776230081391</v>
      </c>
      <c r="AC137">
        <v>-104.49451187800476</v>
      </c>
      <c r="AD137">
        <v>-8.0342655645131344</v>
      </c>
      <c r="AE137">
        <v>47.963453697011985</v>
      </c>
      <c r="AF137">
        <v>-15.543007301612889</v>
      </c>
      <c r="AG137">
        <v>-26.158241397572507</v>
      </c>
      <c r="AH137">
        <v>-27.726805637110946</v>
      </c>
      <c r="AI137">
        <v>-34.794943006593918</v>
      </c>
      <c r="AJ137">
        <v>-31.195464051344992</v>
      </c>
      <c r="AK137">
        <v>-11.046664431172077</v>
      </c>
    </row>
    <row r="138" spans="1:37">
      <c r="A138" t="s">
        <v>195</v>
      </c>
      <c r="B138" t="s">
        <v>231</v>
      </c>
      <c r="E138">
        <v>10.794763354000001</v>
      </c>
      <c r="F138">
        <v>7.4035943594000004</v>
      </c>
      <c r="G138">
        <v>10.496033916</v>
      </c>
      <c r="H138">
        <v>7.2842787736999997</v>
      </c>
      <c r="I138">
        <v>7.6056643336</v>
      </c>
      <c r="J138">
        <v>8.1705252890000004</v>
      </c>
      <c r="K138">
        <v>8.7874929727000008</v>
      </c>
      <c r="L138">
        <v>6.6124678434000002</v>
      </c>
      <c r="M138">
        <v>8.7487096153999993</v>
      </c>
      <c r="N138">
        <v>6.4028098296999998</v>
      </c>
      <c r="O138">
        <v>6.7636273379451648</v>
      </c>
      <c r="P138">
        <v>6.877838936535821</v>
      </c>
      <c r="Q138">
        <v>7.7890091274838706</v>
      </c>
      <c r="R138">
        <v>8.5956265679767991</v>
      </c>
      <c r="S138">
        <v>9.3251132273674422</v>
      </c>
      <c r="T138">
        <v>9.3883996070845352</v>
      </c>
      <c r="U138">
        <v>8.9278733385457407</v>
      </c>
      <c r="V138">
        <v>8.5656920487340731</v>
      </c>
      <c r="W138">
        <v>10.393538275783095</v>
      </c>
      <c r="X138">
        <v>9.7886801073733452</v>
      </c>
      <c r="Y138">
        <v>9.9376889449531358</v>
      </c>
      <c r="Z138">
        <v>10.889453914165699</v>
      </c>
      <c r="AA138">
        <v>10.95603561255632</v>
      </c>
      <c r="AB138">
        <v>10.746530583970323</v>
      </c>
      <c r="AC138">
        <v>10.121311359954948</v>
      </c>
      <c r="AD138">
        <v>12.865234084979077</v>
      </c>
      <c r="AE138">
        <v>12.933612563714943</v>
      </c>
      <c r="AF138">
        <v>10.879016589594219</v>
      </c>
      <c r="AG138">
        <v>9.3358381090528599</v>
      </c>
      <c r="AH138">
        <v>11.175339868314659</v>
      </c>
      <c r="AI138">
        <v>9.0071720567160174</v>
      </c>
      <c r="AJ138">
        <v>9.7360004937231981</v>
      </c>
      <c r="AK138">
        <v>9.0300186506409759</v>
      </c>
    </row>
    <row r="139" spans="1:37">
      <c r="A139" t="s">
        <v>196</v>
      </c>
      <c r="B139" t="s">
        <v>231</v>
      </c>
      <c r="E139">
        <v>8.8892142658999997</v>
      </c>
      <c r="F139">
        <v>10.408644467</v>
      </c>
      <c r="G139">
        <v>12.114918413</v>
      </c>
      <c r="H139">
        <v>12.846735023999999</v>
      </c>
      <c r="I139">
        <v>14.139799425</v>
      </c>
      <c r="J139">
        <v>16.693401801</v>
      </c>
      <c r="K139">
        <v>17.358542065999998</v>
      </c>
      <c r="L139">
        <v>18.562124002000001</v>
      </c>
      <c r="M139">
        <v>18.538386595999999</v>
      </c>
      <c r="N139">
        <v>16.865692514999999</v>
      </c>
      <c r="O139">
        <v>20.977560686582986</v>
      </c>
      <c r="P139">
        <v>19.596757814663778</v>
      </c>
      <c r="Q139">
        <v>18.500644601887078</v>
      </c>
      <c r="R139">
        <v>15.746639661204256</v>
      </c>
      <c r="S139">
        <v>12.468401231277186</v>
      </c>
      <c r="T139">
        <v>14.298947502914739</v>
      </c>
      <c r="U139">
        <v>14.550007646429119</v>
      </c>
      <c r="V139">
        <v>13.496063861675097</v>
      </c>
      <c r="W139">
        <v>10.978807853143358</v>
      </c>
      <c r="X139">
        <v>10.351034320843798</v>
      </c>
      <c r="Y139">
        <v>10.591566085531214</v>
      </c>
      <c r="Z139">
        <v>18.291796674434199</v>
      </c>
      <c r="AA139">
        <v>19.245346136447363</v>
      </c>
      <c r="AB139">
        <v>20.563965284247164</v>
      </c>
      <c r="AC139">
        <v>18.158578049163427</v>
      </c>
      <c r="AD139">
        <v>18.295153669489913</v>
      </c>
      <c r="AE139">
        <v>20.515526485675782</v>
      </c>
      <c r="AF139">
        <v>22.227172700223115</v>
      </c>
      <c r="AG139">
        <v>23.868660807005835</v>
      </c>
      <c r="AH139">
        <v>21.20016240973548</v>
      </c>
      <c r="AI139">
        <v>17.352023126147838</v>
      </c>
      <c r="AJ139">
        <v>9.3225805248891174</v>
      </c>
      <c r="AK139">
        <v>16.975712792261742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01104-0370-4AF5-8EDA-3CE3B37BF216}">
  <sheetPr filterMode="1"/>
  <dimension ref="A1:P176"/>
  <sheetViews>
    <sheetView workbookViewId="0">
      <selection activeCell="K35" sqref="K35"/>
    </sheetView>
  </sheetViews>
  <sheetFormatPr defaultRowHeight="15"/>
  <cols>
    <col min="1" max="1" width="31.140625" bestFit="1" customWidth="1"/>
    <col min="2" max="2" width="5" bestFit="1" customWidth="1"/>
    <col min="3" max="3" width="49.85546875" bestFit="1" customWidth="1"/>
    <col min="4" max="4" width="34.42578125" bestFit="1" customWidth="1"/>
    <col min="5" max="5" width="31.140625" bestFit="1" customWidth="1"/>
    <col min="6" max="6" width="32" bestFit="1" customWidth="1"/>
    <col min="7" max="7" width="34.140625" bestFit="1" customWidth="1"/>
    <col min="8" max="8" width="17.28515625" bestFit="1" customWidth="1"/>
    <col min="9" max="9" width="35.140625" bestFit="1" customWidth="1"/>
    <col min="10" max="10" width="40.140625" bestFit="1" customWidth="1"/>
    <col min="11" max="11" width="12.7109375" bestFit="1" customWidth="1"/>
    <col min="12" max="12" width="14.7109375" bestFit="1" customWidth="1"/>
    <col min="13" max="13" width="15.140625" bestFit="1" customWidth="1"/>
    <col min="14" max="14" width="11" bestFit="1" customWidth="1"/>
    <col min="15" max="15" width="12.7109375" bestFit="1" customWidth="1"/>
    <col min="16" max="16" width="35" customWidth="1"/>
  </cols>
  <sheetData>
    <row r="1" spans="1:16">
      <c r="A1" s="2" t="s">
        <v>0</v>
      </c>
      <c r="B1" s="2" t="s">
        <v>1</v>
      </c>
      <c r="C1" s="2" t="s">
        <v>11</v>
      </c>
      <c r="D1" s="2" t="s">
        <v>13</v>
      </c>
      <c r="E1" s="2" t="s">
        <v>7</v>
      </c>
      <c r="F1" s="2" t="s">
        <v>9</v>
      </c>
      <c r="G1" s="2" t="s">
        <v>10</v>
      </c>
      <c r="H1" s="2" t="s">
        <v>17</v>
      </c>
      <c r="I1" s="2" t="s">
        <v>2</v>
      </c>
      <c r="J1" s="2" t="s">
        <v>14</v>
      </c>
      <c r="K1" s="2" t="s">
        <v>15</v>
      </c>
      <c r="L1" s="2" t="s">
        <v>16</v>
      </c>
      <c r="M1" s="2" t="s">
        <v>18</v>
      </c>
      <c r="N1" s="2" t="s">
        <v>19</v>
      </c>
      <c r="O1" s="2" t="s">
        <v>20</v>
      </c>
      <c r="P1" s="5" t="s">
        <v>231</v>
      </c>
    </row>
    <row r="2" spans="1:16" hidden="1">
      <c r="A2" t="s">
        <v>21</v>
      </c>
      <c r="B2">
        <v>2019</v>
      </c>
      <c r="C2">
        <v>802.61255000000006</v>
      </c>
      <c r="D2">
        <v>6079.9999239999997</v>
      </c>
      <c r="E2">
        <v>0.18</v>
      </c>
      <c r="F2">
        <v>0.89</v>
      </c>
      <c r="G2">
        <v>83.177570000000003</v>
      </c>
      <c r="H2">
        <v>60</v>
      </c>
      <c r="I2">
        <v>97.7</v>
      </c>
      <c r="K2">
        <v>3.911603419</v>
      </c>
      <c r="L2">
        <v>494.17934989999998</v>
      </c>
      <c r="M2">
        <v>652230</v>
      </c>
      <c r="N2">
        <v>33.939109999999999</v>
      </c>
      <c r="O2">
        <v>67.709952999999999</v>
      </c>
      <c r="P2" s="4" t="e">
        <f>VLOOKUP(A2, imports_filtered!$A$2:$C$1000, 2, 0)</f>
        <v>#N/A</v>
      </c>
    </row>
    <row r="3" spans="1:16" hidden="1">
      <c r="A3" t="s">
        <v>22</v>
      </c>
      <c r="B3">
        <v>2019</v>
      </c>
      <c r="C3">
        <v>11585.555</v>
      </c>
      <c r="D3">
        <v>4829.9999239999997</v>
      </c>
      <c r="E3">
        <v>0</v>
      </c>
      <c r="F3">
        <v>5.17</v>
      </c>
      <c r="G3">
        <v>100</v>
      </c>
      <c r="H3">
        <v>105</v>
      </c>
      <c r="I3">
        <v>100</v>
      </c>
      <c r="K3">
        <v>2.1134199819999999</v>
      </c>
      <c r="L3">
        <v>5395.6595319999997</v>
      </c>
      <c r="M3">
        <v>28748</v>
      </c>
      <c r="N3">
        <v>41.153331999999999</v>
      </c>
      <c r="O3">
        <v>20.168330999999998</v>
      </c>
      <c r="P3" s="4">
        <f>VLOOKUP(A3, imports_filtered!$A$2:$C$1000, 2, 0)</f>
        <v>32.231802728054802</v>
      </c>
    </row>
    <row r="4" spans="1:16">
      <c r="A4" t="s">
        <v>23</v>
      </c>
      <c r="B4">
        <v>2019</v>
      </c>
      <c r="C4">
        <v>16259.053</v>
      </c>
      <c r="D4">
        <v>171250</v>
      </c>
      <c r="E4">
        <v>75.849999999999994</v>
      </c>
      <c r="F4">
        <v>0.84</v>
      </c>
      <c r="G4">
        <v>1.0953188</v>
      </c>
      <c r="H4">
        <v>18</v>
      </c>
      <c r="I4">
        <v>99.5</v>
      </c>
      <c r="J4">
        <v>0.29474697</v>
      </c>
      <c r="K4">
        <v>1</v>
      </c>
      <c r="L4">
        <v>3989.6682759999999</v>
      </c>
      <c r="M4">
        <v>2381741</v>
      </c>
      <c r="N4">
        <v>28.033885999999999</v>
      </c>
      <c r="O4">
        <v>1.659626</v>
      </c>
      <c r="P4" s="4">
        <f>VLOOKUP(A4, imports_filtered!$A$2:$C$1000, 2, 0)</f>
        <v>-133.35274649055356</v>
      </c>
    </row>
    <row r="5" spans="1:16" hidden="1">
      <c r="A5" t="s">
        <v>24</v>
      </c>
      <c r="B5">
        <v>2019</v>
      </c>
      <c r="C5">
        <v>3667.4238</v>
      </c>
      <c r="D5">
        <v>25209.999080000001</v>
      </c>
      <c r="E5">
        <v>4.38</v>
      </c>
      <c r="F5">
        <v>11.02</v>
      </c>
      <c r="G5">
        <v>71.558440000000004</v>
      </c>
      <c r="H5">
        <v>26</v>
      </c>
      <c r="I5">
        <v>45.642800000000001</v>
      </c>
      <c r="K5">
        <v>-0.62464431799999998</v>
      </c>
      <c r="L5">
        <v>2809.626088</v>
      </c>
      <c r="M5">
        <v>1246700</v>
      </c>
      <c r="N5">
        <v>-11.202692000000001</v>
      </c>
      <c r="O5">
        <v>17.873887</v>
      </c>
      <c r="P5" s="4">
        <f>VLOOKUP(A5, imports_filtered!$A$2:$C$1000, 2, 0)</f>
        <v>-488.93284268629304</v>
      </c>
    </row>
    <row r="6" spans="1:16" hidden="1">
      <c r="A6" t="s">
        <v>25</v>
      </c>
      <c r="B6">
        <v>2019</v>
      </c>
      <c r="C6">
        <v>33027.516000000003</v>
      </c>
      <c r="D6">
        <v>519.99998089999997</v>
      </c>
      <c r="E6">
        <v>0.33</v>
      </c>
      <c r="F6">
        <v>0.01</v>
      </c>
      <c r="G6">
        <v>2.9411763999999998</v>
      </c>
      <c r="H6">
        <v>223</v>
      </c>
      <c r="I6">
        <v>100</v>
      </c>
      <c r="K6">
        <v>4.8622361659999997</v>
      </c>
      <c r="L6">
        <v>17376.649679999999</v>
      </c>
      <c r="M6">
        <v>443</v>
      </c>
      <c r="N6">
        <v>17.060815999999999</v>
      </c>
      <c r="O6">
        <v>-61.796427999999999</v>
      </c>
      <c r="P6" s="4" t="e">
        <f>VLOOKUP(A6, imports_filtered!$A$2:$C$1000, 2, 0)</f>
        <v>#N/A</v>
      </c>
    </row>
    <row r="7" spans="1:16">
      <c r="A7" t="s">
        <v>26</v>
      </c>
      <c r="B7">
        <v>2019</v>
      </c>
      <c r="C7">
        <v>20725.168000000001</v>
      </c>
      <c r="D7">
        <v>168100.0061</v>
      </c>
      <c r="E7">
        <v>90.56</v>
      </c>
      <c r="F7">
        <v>34.630000000000003</v>
      </c>
      <c r="G7">
        <v>31.991589000000001</v>
      </c>
      <c r="H7">
        <v>17</v>
      </c>
      <c r="I7">
        <v>100</v>
      </c>
      <c r="J7">
        <v>11.926772</v>
      </c>
      <c r="K7">
        <v>-2.025934237</v>
      </c>
      <c r="L7">
        <v>10056.637940000001</v>
      </c>
      <c r="M7">
        <v>2780400</v>
      </c>
      <c r="N7">
        <v>-38.416097000000001</v>
      </c>
      <c r="O7">
        <v>-63.616672000000001</v>
      </c>
      <c r="P7" s="4">
        <f>VLOOKUP(A7, imports_filtered!$A$2:$C$1000, 2, 0)</f>
        <v>2.4916770796544179</v>
      </c>
    </row>
    <row r="8" spans="1:16" hidden="1">
      <c r="A8" t="s">
        <v>27</v>
      </c>
      <c r="B8">
        <v>2019</v>
      </c>
      <c r="C8">
        <v>16179.096</v>
      </c>
      <c r="D8">
        <v>6170.0000760000003</v>
      </c>
      <c r="E8">
        <v>2.86</v>
      </c>
      <c r="F8">
        <v>2.41</v>
      </c>
      <c r="G8">
        <v>60.821914999999997</v>
      </c>
      <c r="H8">
        <v>104</v>
      </c>
      <c r="I8">
        <v>100</v>
      </c>
      <c r="K8">
        <v>7.5999999989999996</v>
      </c>
      <c r="L8">
        <v>4604.6463240000003</v>
      </c>
      <c r="M8">
        <v>29743</v>
      </c>
      <c r="N8">
        <v>40.069099000000001</v>
      </c>
      <c r="O8">
        <v>45.038189000000003</v>
      </c>
      <c r="P8" s="4">
        <f>VLOOKUP(A8, imports_filtered!$A$2:$C$1000, 2, 0)</f>
        <v>74.170785301844774</v>
      </c>
    </row>
    <row r="9" spans="1:16" hidden="1">
      <c r="A9" t="s">
        <v>28</v>
      </c>
      <c r="B9">
        <v>2019</v>
      </c>
      <c r="C9">
        <v>51107.843999999997</v>
      </c>
      <c r="E9">
        <v>0.77</v>
      </c>
      <c r="F9">
        <v>0.15</v>
      </c>
      <c r="G9">
        <v>16.304348000000001</v>
      </c>
      <c r="H9">
        <v>590</v>
      </c>
      <c r="I9">
        <v>100</v>
      </c>
      <c r="M9">
        <v>179</v>
      </c>
      <c r="N9">
        <v>12.52111</v>
      </c>
      <c r="O9">
        <v>-69.968329999999995</v>
      </c>
      <c r="P9" s="4" t="e">
        <f>VLOOKUP(A9, imports_filtered!$A$2:$C$1000, 2, 0)</f>
        <v>#N/A</v>
      </c>
    </row>
    <row r="10" spans="1:16">
      <c r="A10" t="s">
        <v>29</v>
      </c>
      <c r="B10">
        <v>2019</v>
      </c>
      <c r="C10">
        <v>66263.539999999994</v>
      </c>
      <c r="D10">
        <v>386529.9988</v>
      </c>
      <c r="E10">
        <v>196.45</v>
      </c>
      <c r="F10">
        <v>53.41</v>
      </c>
      <c r="G10">
        <v>21.375969999999999</v>
      </c>
      <c r="H10">
        <v>3</v>
      </c>
      <c r="I10">
        <v>100</v>
      </c>
      <c r="J10">
        <v>8.8807220000000004</v>
      </c>
      <c r="K10">
        <v>2.113149425</v>
      </c>
      <c r="L10">
        <v>54875.285960000001</v>
      </c>
      <c r="M10">
        <v>7741220</v>
      </c>
      <c r="N10">
        <v>-25.274398000000001</v>
      </c>
      <c r="O10">
        <v>133.775136</v>
      </c>
      <c r="P10" s="4">
        <f>VLOOKUP(A10, imports_filtered!$A$2:$C$1000, 2, 0)</f>
        <v>-230.54024812099971</v>
      </c>
    </row>
    <row r="11" spans="1:16">
      <c r="A11" t="s">
        <v>30</v>
      </c>
      <c r="B11">
        <v>2019</v>
      </c>
      <c r="C11">
        <v>48314.258000000002</v>
      </c>
      <c r="D11">
        <v>64769.996639999998</v>
      </c>
      <c r="E11">
        <v>16.22</v>
      </c>
      <c r="F11">
        <v>54.64</v>
      </c>
      <c r="G11">
        <v>77.109795000000005</v>
      </c>
      <c r="H11">
        <v>109</v>
      </c>
      <c r="I11">
        <v>100</v>
      </c>
      <c r="J11">
        <v>35.611378000000002</v>
      </c>
      <c r="K11">
        <v>1.4912108500000001</v>
      </c>
      <c r="L11">
        <v>50114.401109999999</v>
      </c>
      <c r="M11">
        <v>83871</v>
      </c>
      <c r="N11">
        <v>47.516230999999998</v>
      </c>
      <c r="O11">
        <v>14.550072</v>
      </c>
      <c r="P11" s="4">
        <f>VLOOKUP(A11, imports_filtered!$A$2:$C$1000, 2, 0)</f>
        <v>74.476281896077239</v>
      </c>
    </row>
    <row r="12" spans="1:16">
      <c r="A12" t="s">
        <v>31</v>
      </c>
      <c r="B12">
        <v>2019</v>
      </c>
      <c r="C12">
        <v>17546.780999999999</v>
      </c>
      <c r="D12">
        <v>35509.998319999999</v>
      </c>
      <c r="E12">
        <v>22.91</v>
      </c>
      <c r="F12">
        <v>1.69</v>
      </c>
      <c r="G12">
        <v>6.8699190000000003</v>
      </c>
      <c r="H12">
        <v>123</v>
      </c>
      <c r="I12">
        <v>100</v>
      </c>
      <c r="J12">
        <v>2.6745839999999999</v>
      </c>
      <c r="K12">
        <v>2.5</v>
      </c>
      <c r="L12">
        <v>4805.7537179999999</v>
      </c>
      <c r="M12">
        <v>86600</v>
      </c>
      <c r="N12">
        <v>40.143104999999998</v>
      </c>
      <c r="O12">
        <v>47.576926999999998</v>
      </c>
      <c r="P12" s="4">
        <f>VLOOKUP(A12, imports_filtered!$A$2:$C$1000, 2, 0)</f>
        <v>-274.4174564968165</v>
      </c>
    </row>
    <row r="13" spans="1:16" hidden="1">
      <c r="A13" t="s">
        <v>32</v>
      </c>
      <c r="B13">
        <v>2019</v>
      </c>
      <c r="C13">
        <v>39636.065999999999</v>
      </c>
      <c r="E13">
        <v>2.1</v>
      </c>
      <c r="F13">
        <v>0</v>
      </c>
      <c r="G13">
        <v>0</v>
      </c>
      <c r="H13">
        <v>41</v>
      </c>
      <c r="I13">
        <v>100</v>
      </c>
      <c r="M13">
        <v>13878</v>
      </c>
      <c r="N13">
        <v>25.025884999999999</v>
      </c>
      <c r="O13">
        <v>-78.035888999999997</v>
      </c>
      <c r="P13" s="4" t="e">
        <f>VLOOKUP(A13, imports_filtered!$A$2:$C$1000, 2, 0)</f>
        <v>#N/A</v>
      </c>
    </row>
    <row r="14" spans="1:16" hidden="1">
      <c r="A14" t="s">
        <v>33</v>
      </c>
      <c r="B14">
        <v>2019</v>
      </c>
      <c r="C14">
        <v>155398.47</v>
      </c>
      <c r="D14">
        <v>33259.998319999999</v>
      </c>
      <c r="E14">
        <v>31.43</v>
      </c>
      <c r="F14">
        <v>0.01</v>
      </c>
      <c r="G14">
        <v>3.1806613999999997E-2</v>
      </c>
      <c r="H14">
        <v>2239</v>
      </c>
      <c r="I14">
        <v>100</v>
      </c>
      <c r="K14">
        <v>2.1413767840000002</v>
      </c>
      <c r="L14">
        <v>23551.930090000002</v>
      </c>
      <c r="M14">
        <v>765</v>
      </c>
      <c r="N14">
        <v>26.066700000000001</v>
      </c>
      <c r="O14">
        <v>50.557699999999997</v>
      </c>
      <c r="P14" s="4">
        <f>VLOOKUP(A14, imports_filtered!$A$2:$C$1000, 2, 0)</f>
        <v>-53.430626621253673</v>
      </c>
    </row>
    <row r="15" spans="1:16">
      <c r="A15" t="s">
        <v>34</v>
      </c>
      <c r="B15">
        <v>2019</v>
      </c>
      <c r="C15">
        <v>2916.3175999999999</v>
      </c>
      <c r="D15">
        <v>90739.997860000003</v>
      </c>
      <c r="E15">
        <v>78.37</v>
      </c>
      <c r="F15">
        <v>1.1399999999999999</v>
      </c>
      <c r="G15">
        <v>1.4337819000000001</v>
      </c>
      <c r="H15">
        <v>1265</v>
      </c>
      <c r="I15">
        <v>92.2</v>
      </c>
      <c r="J15">
        <v>0.67512870000000003</v>
      </c>
      <c r="K15">
        <v>8.1526841490000006</v>
      </c>
      <c r="L15">
        <v>1855.740094</v>
      </c>
      <c r="M15">
        <v>148460</v>
      </c>
      <c r="N15">
        <v>23.684994</v>
      </c>
      <c r="O15">
        <v>90.356330999999997</v>
      </c>
      <c r="P15" s="4">
        <f>VLOOKUP(A15, imports_filtered!$A$2:$C$1000, 2, 0)</f>
        <v>30.297494089433673</v>
      </c>
    </row>
    <row r="16" spans="1:16" hidden="1">
      <c r="A16" t="s">
        <v>35</v>
      </c>
      <c r="B16">
        <v>2019</v>
      </c>
      <c r="C16">
        <v>25172.026999999998</v>
      </c>
      <c r="D16">
        <v>1250</v>
      </c>
      <c r="E16">
        <v>0.98</v>
      </c>
      <c r="F16">
        <v>0.04</v>
      </c>
      <c r="G16">
        <v>3.9215686000000001</v>
      </c>
      <c r="H16">
        <v>668</v>
      </c>
      <c r="I16">
        <v>100</v>
      </c>
      <c r="K16">
        <v>-9.6135552999999999E-2</v>
      </c>
      <c r="L16">
        <v>18148.49785</v>
      </c>
      <c r="M16">
        <v>430</v>
      </c>
      <c r="N16">
        <v>13.193887</v>
      </c>
      <c r="O16">
        <v>-59.543197999999997</v>
      </c>
      <c r="P16" s="4" t="e">
        <f>VLOOKUP(A16, imports_filtered!$A$2:$C$1000, 2, 0)</f>
        <v>#N/A</v>
      </c>
    </row>
    <row r="17" spans="1:16">
      <c r="A17" t="s">
        <v>36</v>
      </c>
      <c r="B17">
        <v>2019</v>
      </c>
      <c r="C17">
        <v>31923.436000000002</v>
      </c>
      <c r="D17">
        <v>57669.998169999999</v>
      </c>
      <c r="E17">
        <v>36.74</v>
      </c>
      <c r="F17">
        <v>0.94</v>
      </c>
      <c r="G17">
        <v>2.4946920000000001</v>
      </c>
      <c r="H17">
        <v>47</v>
      </c>
      <c r="I17">
        <v>100</v>
      </c>
      <c r="J17">
        <v>0.70776963000000004</v>
      </c>
      <c r="K17">
        <v>1.4</v>
      </c>
      <c r="L17">
        <v>6837.7178260000001</v>
      </c>
      <c r="M17">
        <v>207600</v>
      </c>
      <c r="N17">
        <v>53.709806999999998</v>
      </c>
      <c r="O17">
        <v>27.953389000000001</v>
      </c>
      <c r="P17" s="4">
        <f>VLOOKUP(A17, imports_filtered!$A$2:$C$1000, 2, 0)</f>
        <v>85.255535181284188</v>
      </c>
    </row>
    <row r="18" spans="1:16">
      <c r="A18" t="s">
        <v>37</v>
      </c>
      <c r="B18">
        <v>2019</v>
      </c>
      <c r="C18">
        <v>64152.26</v>
      </c>
      <c r="D18">
        <v>93010.002139999997</v>
      </c>
      <c r="E18">
        <v>29.32</v>
      </c>
      <c r="F18">
        <v>19.47</v>
      </c>
      <c r="G18">
        <v>68.237465</v>
      </c>
      <c r="H18">
        <v>383</v>
      </c>
      <c r="I18">
        <v>100</v>
      </c>
      <c r="J18">
        <v>7.9593819999999997</v>
      </c>
      <c r="K18">
        <v>2.1495596809999999</v>
      </c>
      <c r="L18">
        <v>46591.491609999997</v>
      </c>
      <c r="M18">
        <v>30528</v>
      </c>
      <c r="N18">
        <v>50.503886999999999</v>
      </c>
      <c r="O18">
        <v>4.4699359999999997</v>
      </c>
      <c r="P18" s="4">
        <f>VLOOKUP(A18, imports_filtered!$A$2:$C$1000, 2, 0)</f>
        <v>90.93022607944684</v>
      </c>
    </row>
    <row r="19" spans="1:16" hidden="1">
      <c r="A19" t="s">
        <v>38</v>
      </c>
      <c r="B19">
        <v>2019</v>
      </c>
      <c r="C19">
        <v>9883.7369999999992</v>
      </c>
      <c r="D19">
        <v>639.99998570000002</v>
      </c>
      <c r="E19">
        <v>0.41</v>
      </c>
      <c r="F19">
        <v>0.47</v>
      </c>
      <c r="G19">
        <v>53.409092000000001</v>
      </c>
      <c r="H19">
        <v>17</v>
      </c>
      <c r="I19">
        <v>92.72</v>
      </c>
      <c r="K19">
        <v>1.762797913</v>
      </c>
      <c r="L19">
        <v>5078.8099439999996</v>
      </c>
      <c r="M19">
        <v>22966</v>
      </c>
      <c r="N19">
        <v>17.189876999999999</v>
      </c>
      <c r="O19">
        <v>-88.497649999999993</v>
      </c>
      <c r="P19" s="4" t="e">
        <f>VLOOKUP(A19, imports_filtered!$A$2:$C$1000, 2, 0)</f>
        <v>#N/A</v>
      </c>
    </row>
    <row r="20" spans="1:16" hidden="1">
      <c r="A20" t="s">
        <v>39</v>
      </c>
      <c r="B20">
        <v>2019</v>
      </c>
      <c r="C20">
        <v>2416.1619999999998</v>
      </c>
      <c r="D20">
        <v>7300.0001910000001</v>
      </c>
      <c r="E20">
        <v>0.19</v>
      </c>
      <c r="F20">
        <v>0.01</v>
      </c>
      <c r="G20">
        <v>5</v>
      </c>
      <c r="H20">
        <v>108</v>
      </c>
      <c r="I20">
        <v>40.328690000000002</v>
      </c>
      <c r="K20">
        <v>6.8656873359999997</v>
      </c>
      <c r="L20">
        <v>1219.515506</v>
      </c>
      <c r="M20">
        <v>112622</v>
      </c>
      <c r="N20">
        <v>9.3076899999999991</v>
      </c>
      <c r="O20">
        <v>2.3158340000000002</v>
      </c>
      <c r="P20" s="4">
        <f>VLOOKUP(A20, imports_filtered!$A$2:$C$1000, 2, 0)</f>
        <v>46.04164120115712</v>
      </c>
    </row>
    <row r="21" spans="1:16" hidden="1">
      <c r="A21" t="s">
        <v>40</v>
      </c>
      <c r="B21">
        <v>2019</v>
      </c>
      <c r="C21">
        <v>50639.292999999998</v>
      </c>
      <c r="E21">
        <v>0</v>
      </c>
      <c r="F21">
        <v>0</v>
      </c>
      <c r="H21">
        <v>1281</v>
      </c>
      <c r="I21">
        <v>100</v>
      </c>
      <c r="K21">
        <v>0.45988994300000002</v>
      </c>
      <c r="L21">
        <v>117098.4463</v>
      </c>
      <c r="M21">
        <v>54</v>
      </c>
      <c r="N21">
        <v>32.299506999999998</v>
      </c>
      <c r="O21">
        <v>-64.790336999999994</v>
      </c>
      <c r="P21" s="4" t="e">
        <f>VLOOKUP(A21, imports_filtered!$A$2:$C$1000, 2, 0)</f>
        <v>#N/A</v>
      </c>
    </row>
    <row r="22" spans="1:16" hidden="1">
      <c r="A22" t="s">
        <v>41</v>
      </c>
      <c r="B22">
        <v>2019</v>
      </c>
      <c r="C22">
        <v>27251.601999999999</v>
      </c>
      <c r="D22">
        <v>1049.9999519999999</v>
      </c>
      <c r="E22">
        <v>0</v>
      </c>
      <c r="F22">
        <v>8.9499999999999993</v>
      </c>
      <c r="G22">
        <v>100</v>
      </c>
      <c r="H22">
        <v>20</v>
      </c>
      <c r="I22">
        <v>100</v>
      </c>
      <c r="K22">
        <v>5.7551699950000001</v>
      </c>
      <c r="L22">
        <v>3322.8633289999998</v>
      </c>
      <c r="M22">
        <v>38394</v>
      </c>
      <c r="N22">
        <v>27.514161999999999</v>
      </c>
      <c r="O22">
        <v>90.433600999999996</v>
      </c>
      <c r="P22" s="4" t="e">
        <f>VLOOKUP(A22, imports_filtered!$A$2:$C$1000, 2, 0)</f>
        <v>#N/A</v>
      </c>
    </row>
    <row r="23" spans="1:16" hidden="1">
      <c r="A23" t="s">
        <v>42</v>
      </c>
      <c r="B23">
        <v>2019</v>
      </c>
      <c r="C23">
        <v>20694.338</v>
      </c>
      <c r="D23">
        <v>21069.999690000001</v>
      </c>
      <c r="E23">
        <v>10.36</v>
      </c>
      <c r="F23">
        <v>6.31</v>
      </c>
      <c r="G23">
        <v>37.852429999999998</v>
      </c>
      <c r="H23">
        <v>64</v>
      </c>
      <c r="I23">
        <v>100</v>
      </c>
      <c r="K23">
        <v>2.831002603</v>
      </c>
      <c r="L23">
        <v>6119.7623450000001</v>
      </c>
      <c r="M23">
        <v>51197</v>
      </c>
      <c r="N23">
        <v>43.915886</v>
      </c>
      <c r="O23">
        <v>17.679075999999998</v>
      </c>
      <c r="P23" s="4">
        <f>VLOOKUP(A23, imports_filtered!$A$2:$C$1000, 2, 0)</f>
        <v>27.394096607584313</v>
      </c>
    </row>
    <row r="24" spans="1:16" hidden="1">
      <c r="A24" t="s">
        <v>43</v>
      </c>
      <c r="B24">
        <v>2019</v>
      </c>
      <c r="C24">
        <v>9467.9840000000004</v>
      </c>
      <c r="D24">
        <v>7250</v>
      </c>
      <c r="E24">
        <v>3.05</v>
      </c>
      <c r="F24">
        <v>0.01</v>
      </c>
      <c r="G24">
        <v>0.32679740000000002</v>
      </c>
      <c r="H24">
        <v>4</v>
      </c>
      <c r="I24">
        <v>69.959739999999996</v>
      </c>
      <c r="K24">
        <v>2.9927376350000001</v>
      </c>
      <c r="L24">
        <v>7203.0642209999996</v>
      </c>
      <c r="M24">
        <v>581730</v>
      </c>
      <c r="N24">
        <v>-22.328474</v>
      </c>
      <c r="O24">
        <v>24.684866</v>
      </c>
      <c r="P24" s="4">
        <f>VLOOKUP(A24, imports_filtered!$A$2:$C$1000, 2, 0)</f>
        <v>33.186238524542915</v>
      </c>
    </row>
    <row r="25" spans="1:16">
      <c r="A25" t="s">
        <v>44</v>
      </c>
      <c r="B25">
        <v>2019</v>
      </c>
      <c r="C25">
        <v>16681.945</v>
      </c>
      <c r="D25">
        <v>434299.9878</v>
      </c>
      <c r="E25">
        <v>90.91</v>
      </c>
      <c r="F25">
        <v>512.59</v>
      </c>
      <c r="G25">
        <v>85.305340000000001</v>
      </c>
      <c r="H25">
        <v>25</v>
      </c>
      <c r="I25">
        <v>99.8</v>
      </c>
      <c r="J25">
        <v>47.304844000000003</v>
      </c>
      <c r="K25">
        <v>1.411152985</v>
      </c>
      <c r="L25">
        <v>8897.5529659999993</v>
      </c>
      <c r="M25">
        <v>8515770</v>
      </c>
      <c r="N25">
        <v>-14.235004</v>
      </c>
      <c r="O25">
        <v>-51.925280000000001</v>
      </c>
      <c r="P25" s="4">
        <f>VLOOKUP(A25, imports_filtered!$A$2:$C$1000, 2, 0)</f>
        <v>-4.0596361235300238</v>
      </c>
    </row>
    <row r="26" spans="1:16">
      <c r="A26" t="s">
        <v>45</v>
      </c>
      <c r="B26">
        <v>2019</v>
      </c>
      <c r="C26">
        <v>29996.026999999998</v>
      </c>
      <c r="D26">
        <v>39139.999389999997</v>
      </c>
      <c r="E26">
        <v>19.75</v>
      </c>
      <c r="F26">
        <v>7.49</v>
      </c>
      <c r="G26">
        <v>54.908676</v>
      </c>
      <c r="H26">
        <v>64</v>
      </c>
      <c r="I26">
        <v>100</v>
      </c>
      <c r="J26">
        <v>9.948385</v>
      </c>
      <c r="K26">
        <v>4.0375920819999997</v>
      </c>
      <c r="L26">
        <v>9879.2685330000004</v>
      </c>
      <c r="M26">
        <v>110879</v>
      </c>
      <c r="N26">
        <v>42.733882999999999</v>
      </c>
      <c r="O26">
        <v>25.48583</v>
      </c>
      <c r="P26" s="4">
        <f>VLOOKUP(A26, imports_filtered!$A$2:$C$1000, 2, 0)</f>
        <v>39.323183297250772</v>
      </c>
    </row>
    <row r="27" spans="1:16" hidden="1">
      <c r="A27" t="s">
        <v>46</v>
      </c>
      <c r="B27">
        <v>2019</v>
      </c>
      <c r="C27">
        <v>946.95734000000004</v>
      </c>
      <c r="D27">
        <v>5000</v>
      </c>
      <c r="E27">
        <v>1.51</v>
      </c>
      <c r="F27">
        <v>0.21</v>
      </c>
      <c r="G27">
        <v>12.209301999999999</v>
      </c>
      <c r="H27">
        <v>76</v>
      </c>
      <c r="I27">
        <v>18.374855</v>
      </c>
      <c r="K27">
        <v>5.6881151489999997</v>
      </c>
      <c r="L27">
        <v>796.11520680000001</v>
      </c>
      <c r="M27">
        <v>274200</v>
      </c>
      <c r="N27">
        <v>12.238333000000001</v>
      </c>
      <c r="O27">
        <v>-1.561593</v>
      </c>
      <c r="P27" s="4" t="e">
        <f>VLOOKUP(A27, imports_filtered!$A$2:$C$1000, 2, 0)</f>
        <v>#N/A</v>
      </c>
    </row>
    <row r="28" spans="1:16" hidden="1">
      <c r="A28" t="s">
        <v>47</v>
      </c>
      <c r="B28">
        <v>2019</v>
      </c>
      <c r="C28">
        <v>309.34055000000001</v>
      </c>
      <c r="D28">
        <v>720.00002859999995</v>
      </c>
      <c r="E28">
        <v>0.12</v>
      </c>
      <c r="F28">
        <v>0.24</v>
      </c>
      <c r="G28">
        <v>66.666663999999997</v>
      </c>
      <c r="H28">
        <v>463</v>
      </c>
      <c r="I28">
        <v>11.356528000000001</v>
      </c>
      <c r="K28">
        <v>1.8424766770000001</v>
      </c>
      <c r="L28">
        <v>228.2135892</v>
      </c>
      <c r="M28">
        <v>27830</v>
      </c>
      <c r="N28">
        <v>-3.3730560000000001</v>
      </c>
      <c r="O28">
        <v>29.918886000000001</v>
      </c>
      <c r="P28" s="4" t="e">
        <f>VLOOKUP(A28, imports_filtered!$A$2:$C$1000, 2, 0)</f>
        <v>#N/A</v>
      </c>
    </row>
    <row r="29" spans="1:16" hidden="1">
      <c r="A29" t="s">
        <v>48</v>
      </c>
      <c r="B29">
        <v>2019</v>
      </c>
      <c r="C29">
        <v>4069.4607000000001</v>
      </c>
      <c r="D29">
        <v>16180.000309999999</v>
      </c>
      <c r="E29">
        <v>3.94</v>
      </c>
      <c r="F29">
        <v>4.51</v>
      </c>
      <c r="G29">
        <v>53.372787000000002</v>
      </c>
      <c r="H29">
        <v>95</v>
      </c>
      <c r="I29">
        <v>84</v>
      </c>
      <c r="K29">
        <v>7.0541069319999998</v>
      </c>
      <c r="L29">
        <v>1643.1213889999999</v>
      </c>
      <c r="M29">
        <v>181035</v>
      </c>
      <c r="N29">
        <v>12.565678999999999</v>
      </c>
      <c r="O29">
        <v>104.99096299999999</v>
      </c>
      <c r="P29" s="4">
        <f>VLOOKUP(A29, imports_filtered!$A$2:$C$1000, 2, 0)</f>
        <v>0</v>
      </c>
    </row>
    <row r="30" spans="1:16" hidden="1">
      <c r="A30" t="s">
        <v>49</v>
      </c>
      <c r="B30">
        <v>2019</v>
      </c>
      <c r="C30">
        <v>1720.2493999999999</v>
      </c>
      <c r="D30">
        <v>9430.0003049999996</v>
      </c>
      <c r="E30">
        <v>2.99</v>
      </c>
      <c r="F30">
        <v>5.36</v>
      </c>
      <c r="G30">
        <v>64.191609999999997</v>
      </c>
      <c r="H30">
        <v>56</v>
      </c>
      <c r="I30">
        <v>63.489879999999999</v>
      </c>
      <c r="K30">
        <v>3.4750599790000001</v>
      </c>
      <c r="L30">
        <v>1533.0956880000001</v>
      </c>
      <c r="M30">
        <v>475440</v>
      </c>
      <c r="N30">
        <v>7.3697220000000003</v>
      </c>
      <c r="O30">
        <v>12.354722000000001</v>
      </c>
      <c r="P30" s="4">
        <f>VLOOKUP(A30, imports_filtered!$A$2:$C$1000, 2, 0)</f>
        <v>-31.903384164690756</v>
      </c>
    </row>
    <row r="31" spans="1:16">
      <c r="A31" t="s">
        <v>50</v>
      </c>
      <c r="B31">
        <v>2019</v>
      </c>
      <c r="C31">
        <v>107980.76</v>
      </c>
      <c r="D31">
        <v>580210.022</v>
      </c>
      <c r="E31">
        <v>110.65</v>
      </c>
      <c r="F31">
        <v>421.8</v>
      </c>
      <c r="G31">
        <v>82.378333999999995</v>
      </c>
      <c r="H31">
        <v>4</v>
      </c>
      <c r="I31">
        <v>100</v>
      </c>
      <c r="J31">
        <v>28.586376000000001</v>
      </c>
      <c r="K31">
        <v>1.879592028</v>
      </c>
      <c r="L31">
        <v>46338.340960000001</v>
      </c>
      <c r="M31">
        <v>9984670</v>
      </c>
      <c r="N31">
        <v>56.130366000000002</v>
      </c>
      <c r="O31">
        <v>-106.346771</v>
      </c>
      <c r="P31" s="4">
        <f>VLOOKUP(A31, imports_filtered!$A$2:$C$1000, 2, 0)</f>
        <v>-75.769176162835052</v>
      </c>
    </row>
    <row r="32" spans="1:16" hidden="1">
      <c r="A32" t="s">
        <v>51</v>
      </c>
      <c r="B32">
        <v>2019</v>
      </c>
      <c r="C32">
        <v>50531.71</v>
      </c>
      <c r="E32">
        <v>0.68</v>
      </c>
      <c r="F32">
        <v>0.02</v>
      </c>
      <c r="G32">
        <v>2.8571430000000002</v>
      </c>
      <c r="H32">
        <v>274</v>
      </c>
      <c r="I32">
        <v>100</v>
      </c>
      <c r="K32">
        <v>3.8171004040000001</v>
      </c>
      <c r="L32">
        <v>91392.642590000003</v>
      </c>
      <c r="M32">
        <v>264</v>
      </c>
      <c r="N32">
        <v>19.329899999999999</v>
      </c>
      <c r="O32">
        <v>81.252399999999994</v>
      </c>
      <c r="P32" s="4" t="e">
        <f>VLOOKUP(A32, imports_filtered!$A$2:$C$1000, 2, 0)</f>
        <v>#N/A</v>
      </c>
    </row>
    <row r="33" spans="1:16" hidden="1">
      <c r="A33" t="s">
        <v>52</v>
      </c>
      <c r="B33">
        <v>2019</v>
      </c>
      <c r="C33">
        <v>299.18007999999998</v>
      </c>
      <c r="D33">
        <v>239.99999460000001</v>
      </c>
      <c r="E33">
        <v>0</v>
      </c>
      <c r="F33">
        <v>0.15</v>
      </c>
      <c r="G33">
        <v>100</v>
      </c>
      <c r="H33">
        <v>8</v>
      </c>
      <c r="I33">
        <v>14.3</v>
      </c>
      <c r="K33">
        <v>3</v>
      </c>
      <c r="L33">
        <v>467.9080323</v>
      </c>
      <c r="M33">
        <v>622984</v>
      </c>
      <c r="N33">
        <v>6.6111110000000002</v>
      </c>
      <c r="O33">
        <v>20.939444000000002</v>
      </c>
      <c r="P33" s="4" t="e">
        <f>VLOOKUP(A33, imports_filtered!$A$2:$C$1000, 2, 0)</f>
        <v>#N/A</v>
      </c>
    </row>
    <row r="34" spans="1:16" hidden="1">
      <c r="A34" t="s">
        <v>53</v>
      </c>
      <c r="B34">
        <v>2019</v>
      </c>
      <c r="C34">
        <v>458.18085000000002</v>
      </c>
      <c r="D34">
        <v>2250</v>
      </c>
      <c r="E34">
        <v>0.3</v>
      </c>
      <c r="F34">
        <v>0.01</v>
      </c>
      <c r="G34">
        <v>3.2258065</v>
      </c>
      <c r="H34">
        <v>13</v>
      </c>
      <c r="I34">
        <v>8.4</v>
      </c>
      <c r="K34">
        <v>3.2471819169999998</v>
      </c>
      <c r="L34">
        <v>709.54004320000001</v>
      </c>
      <c r="M34">
        <v>1284000</v>
      </c>
      <c r="N34">
        <v>15.454166000000001</v>
      </c>
      <c r="O34">
        <v>18.732206999999999</v>
      </c>
      <c r="P34" s="4">
        <f>VLOOKUP(A34, imports_filtered!$A$2:$C$1000, 2, 0)</f>
        <v>-204.99154039929314</v>
      </c>
    </row>
    <row r="35" spans="1:16">
      <c r="A35" t="s">
        <v>54</v>
      </c>
      <c r="B35">
        <v>2019</v>
      </c>
      <c r="C35">
        <v>24894.513999999999</v>
      </c>
      <c r="D35">
        <v>91370.00275</v>
      </c>
      <c r="E35">
        <v>45.16</v>
      </c>
      <c r="F35">
        <v>32.229999999999997</v>
      </c>
      <c r="G35">
        <v>41.646210000000004</v>
      </c>
      <c r="H35">
        <v>26</v>
      </c>
      <c r="I35">
        <v>100</v>
      </c>
      <c r="J35">
        <v>24.144995000000002</v>
      </c>
      <c r="K35">
        <v>0.94200530699999996</v>
      </c>
      <c r="L35">
        <v>14741.714400000001</v>
      </c>
      <c r="M35">
        <v>756096</v>
      </c>
      <c r="N35">
        <v>-35.675147000000003</v>
      </c>
      <c r="O35">
        <v>-71.542968999999999</v>
      </c>
      <c r="P35" s="4">
        <f>VLOOKUP(A35, imports_filtered!$A$2:$C$1000, 2, 0)</f>
        <v>69.22588715228855</v>
      </c>
    </row>
    <row r="36" spans="1:16">
      <c r="A36" t="s">
        <v>55</v>
      </c>
      <c r="B36">
        <v>2019</v>
      </c>
      <c r="C36">
        <v>28277.445</v>
      </c>
      <c r="D36">
        <v>10707219.73</v>
      </c>
      <c r="E36">
        <v>5098.22</v>
      </c>
      <c r="F36">
        <v>2014.57</v>
      </c>
      <c r="G36">
        <v>31.672895</v>
      </c>
      <c r="H36">
        <v>153</v>
      </c>
      <c r="I36">
        <v>100</v>
      </c>
      <c r="J36">
        <v>13.51596</v>
      </c>
      <c r="K36">
        <v>5.9497142329999999</v>
      </c>
      <c r="L36">
        <v>10143.838170000001</v>
      </c>
      <c r="M36">
        <v>9596960</v>
      </c>
      <c r="N36">
        <v>35.861660000000001</v>
      </c>
      <c r="O36">
        <v>104.195397</v>
      </c>
      <c r="P36" s="4">
        <f>VLOOKUP(A36, imports_filtered!$A$2:$C$1000, 2, 0)</f>
        <v>22.220973887868901</v>
      </c>
    </row>
    <row r="37" spans="1:16">
      <c r="A37" t="s">
        <v>56</v>
      </c>
      <c r="B37">
        <v>2019</v>
      </c>
      <c r="C37">
        <v>11221.787</v>
      </c>
      <c r="D37">
        <v>81040.000920000006</v>
      </c>
      <c r="E37">
        <v>23.84</v>
      </c>
      <c r="F37">
        <v>54.31</v>
      </c>
      <c r="G37">
        <v>69.494560000000007</v>
      </c>
      <c r="H37">
        <v>46</v>
      </c>
      <c r="I37">
        <v>99.755920000000003</v>
      </c>
      <c r="J37">
        <v>29.890343000000001</v>
      </c>
      <c r="K37">
        <v>3.2811168049999999</v>
      </c>
      <c r="L37">
        <v>6424.9794920000004</v>
      </c>
      <c r="M37">
        <v>1138910</v>
      </c>
      <c r="N37">
        <v>4.5708679999999999</v>
      </c>
      <c r="O37">
        <v>-74.297332999999995</v>
      </c>
      <c r="P37" s="4">
        <f>VLOOKUP(A37, imports_filtered!$A$2:$C$1000, 2, 0)</f>
        <v>-181.41411240267524</v>
      </c>
    </row>
    <row r="38" spans="1:16" hidden="1">
      <c r="A38" t="s">
        <v>57</v>
      </c>
      <c r="B38">
        <v>2019</v>
      </c>
      <c r="C38">
        <v>1685.7295999999999</v>
      </c>
      <c r="D38">
        <v>319.99999279999997</v>
      </c>
      <c r="E38">
        <v>0.1</v>
      </c>
      <c r="F38">
        <v>0</v>
      </c>
      <c r="G38">
        <v>0</v>
      </c>
      <c r="H38">
        <v>467</v>
      </c>
      <c r="I38">
        <v>84.297775000000001</v>
      </c>
      <c r="K38">
        <v>1.7553282800000001</v>
      </c>
      <c r="L38">
        <v>1401.542312</v>
      </c>
      <c r="M38">
        <v>2235</v>
      </c>
      <c r="N38">
        <v>-11.6455</v>
      </c>
      <c r="O38">
        <v>43.333300000000001</v>
      </c>
      <c r="P38" s="4" t="e">
        <f>VLOOKUP(A38, imports_filtered!$A$2:$C$1000, 2, 0)</f>
        <v>#N/A</v>
      </c>
    </row>
    <row r="39" spans="1:16" hidden="1">
      <c r="A39" t="s">
        <v>58</v>
      </c>
      <c r="B39">
        <v>2019</v>
      </c>
      <c r="C39">
        <v>2873.82</v>
      </c>
      <c r="E39">
        <v>2.72</v>
      </c>
      <c r="F39">
        <v>0.94</v>
      </c>
      <c r="G39">
        <v>25.683060000000001</v>
      </c>
      <c r="H39">
        <v>18</v>
      </c>
      <c r="I39">
        <v>48.407474999999998</v>
      </c>
      <c r="M39">
        <v>2345409</v>
      </c>
      <c r="N39">
        <v>-4.1128</v>
      </c>
      <c r="O39">
        <v>13.728899999999999</v>
      </c>
      <c r="P39" s="4" t="e">
        <f>VLOOKUP(A39, imports_filtered!$A$2:$C$1000, 2, 0)</f>
        <v>#N/A</v>
      </c>
    </row>
    <row r="40" spans="1:16" hidden="1">
      <c r="A40" t="s">
        <v>59</v>
      </c>
      <c r="B40">
        <v>2019</v>
      </c>
      <c r="C40">
        <v>13012.45</v>
      </c>
      <c r="D40">
        <v>8239.9997710000007</v>
      </c>
      <c r="E40">
        <v>0.25</v>
      </c>
      <c r="F40">
        <v>11.18</v>
      </c>
      <c r="G40">
        <v>97.81277</v>
      </c>
      <c r="H40">
        <v>100</v>
      </c>
      <c r="I40">
        <v>99.71</v>
      </c>
      <c r="K40">
        <v>2.2563150790000002</v>
      </c>
      <c r="L40">
        <v>12693.827960000001</v>
      </c>
      <c r="M40">
        <v>51100</v>
      </c>
      <c r="N40">
        <v>9.7489170000000005</v>
      </c>
      <c r="O40">
        <v>-83.753428</v>
      </c>
      <c r="P40" s="4">
        <f>VLOOKUP(A40, imports_filtered!$A$2:$C$1000, 2, 0)</f>
        <v>57.963810665068848</v>
      </c>
    </row>
    <row r="41" spans="1:16">
      <c r="A41" t="s">
        <v>60</v>
      </c>
      <c r="B41">
        <v>2019</v>
      </c>
      <c r="C41">
        <v>23200.728999999999</v>
      </c>
      <c r="D41">
        <v>16520.000459999999</v>
      </c>
      <c r="E41">
        <v>4.3099999999999996</v>
      </c>
      <c r="F41">
        <v>8.35</v>
      </c>
      <c r="G41">
        <v>65.955770000000001</v>
      </c>
      <c r="H41">
        <v>73</v>
      </c>
      <c r="I41">
        <v>100</v>
      </c>
      <c r="J41">
        <v>23.463097000000001</v>
      </c>
      <c r="K41">
        <v>3.4819456029999998</v>
      </c>
      <c r="L41">
        <v>15311.766900000001</v>
      </c>
      <c r="M41">
        <v>56594</v>
      </c>
      <c r="N41">
        <v>45.1</v>
      </c>
      <c r="O41">
        <v>15.2</v>
      </c>
      <c r="P41" s="4">
        <f>VLOOKUP(A41, imports_filtered!$A$2:$C$1000, 2, 0)</f>
        <v>57.796268210215892</v>
      </c>
    </row>
    <row r="42" spans="1:16" hidden="1">
      <c r="A42" t="s">
        <v>61</v>
      </c>
      <c r="B42">
        <v>2019</v>
      </c>
      <c r="C42">
        <v>9606.2129999999997</v>
      </c>
      <c r="D42">
        <v>25909.99985</v>
      </c>
      <c r="E42">
        <v>16.54</v>
      </c>
      <c r="F42">
        <v>2.99</v>
      </c>
      <c r="G42">
        <v>15.309779000000001</v>
      </c>
      <c r="H42">
        <v>106</v>
      </c>
      <c r="I42">
        <v>99.8</v>
      </c>
      <c r="K42">
        <v>-0.164839982</v>
      </c>
      <c r="L42">
        <v>9125.8786789999995</v>
      </c>
      <c r="M42">
        <v>110860</v>
      </c>
      <c r="N42">
        <v>21.521757000000001</v>
      </c>
      <c r="O42">
        <v>-77.781166999999996</v>
      </c>
      <c r="P42" s="4">
        <f>VLOOKUP(A42, imports_filtered!$A$2:$C$1000, 2, 0)</f>
        <v>52.813624618507191</v>
      </c>
    </row>
    <row r="43" spans="1:16" hidden="1">
      <c r="A43" t="s">
        <v>62</v>
      </c>
      <c r="B43">
        <v>2019</v>
      </c>
      <c r="C43">
        <v>26442.418000000001</v>
      </c>
      <c r="D43">
        <v>7190.0000570000002</v>
      </c>
      <c r="E43">
        <v>4.63</v>
      </c>
      <c r="F43">
        <v>0.52</v>
      </c>
      <c r="G43">
        <v>10.097087</v>
      </c>
      <c r="H43">
        <v>131</v>
      </c>
      <c r="I43">
        <v>100</v>
      </c>
      <c r="J43">
        <v>4.2749753000000004</v>
      </c>
      <c r="K43">
        <v>5.2831873959999998</v>
      </c>
      <c r="L43">
        <v>29206.076720000001</v>
      </c>
      <c r="M43">
        <v>9251</v>
      </c>
      <c r="N43">
        <v>35.126412999999999</v>
      </c>
      <c r="O43">
        <v>33.429859</v>
      </c>
      <c r="P43" s="4">
        <f>VLOOKUP(A43, imports_filtered!$A$2:$C$1000, 2, 0)</f>
        <v>0</v>
      </c>
    </row>
    <row r="44" spans="1:16" hidden="1">
      <c r="A44" t="s">
        <v>63</v>
      </c>
      <c r="B44">
        <v>2019</v>
      </c>
      <c r="C44">
        <v>45355.285000000003</v>
      </c>
      <c r="D44">
        <v>96290.000920000006</v>
      </c>
      <c r="E44">
        <v>45.44</v>
      </c>
      <c r="F44">
        <v>10.08</v>
      </c>
      <c r="G44">
        <v>47.021107000000001</v>
      </c>
      <c r="H44">
        <v>136</v>
      </c>
      <c r="I44">
        <v>100</v>
      </c>
      <c r="J44">
        <v>6.1152123999999999</v>
      </c>
      <c r="M44">
        <v>78871</v>
      </c>
      <c r="N44">
        <v>49.817492000000001</v>
      </c>
      <c r="O44">
        <v>15.472962000000001</v>
      </c>
      <c r="P44" s="4" t="e">
        <f>VLOOKUP(A44, imports_filtered!$A$2:$C$1000, 2, 0)</f>
        <v>#N/A</v>
      </c>
    </row>
    <row r="45" spans="1:16">
      <c r="A45" t="s">
        <v>64</v>
      </c>
      <c r="B45">
        <v>2019</v>
      </c>
      <c r="C45">
        <v>33139.277000000002</v>
      </c>
      <c r="D45">
        <v>29700.000759999999</v>
      </c>
      <c r="E45">
        <v>6.44</v>
      </c>
      <c r="F45">
        <v>23.07</v>
      </c>
      <c r="G45">
        <v>78.17689</v>
      </c>
      <c r="H45">
        <v>137</v>
      </c>
      <c r="I45">
        <v>100</v>
      </c>
      <c r="J45">
        <v>32.795659999999998</v>
      </c>
      <c r="K45">
        <v>2.1146642080000002</v>
      </c>
      <c r="L45">
        <v>59775.735099999998</v>
      </c>
      <c r="M45">
        <v>43094</v>
      </c>
      <c r="N45">
        <v>56.263919999999999</v>
      </c>
      <c r="O45">
        <v>9.5017849999999999</v>
      </c>
      <c r="P45" s="4">
        <f>VLOOKUP(A45, imports_filtered!$A$2:$C$1000, 2, 0)</f>
        <v>43.767617174696923</v>
      </c>
    </row>
    <row r="46" spans="1:16" hidden="1">
      <c r="A46" t="s">
        <v>65</v>
      </c>
      <c r="B46">
        <v>2019</v>
      </c>
      <c r="C46">
        <v>2848.7865999999999</v>
      </c>
      <c r="D46">
        <v>419.99998690000001</v>
      </c>
      <c r="E46">
        <v>0.06</v>
      </c>
      <c r="F46">
        <v>0</v>
      </c>
      <c r="G46">
        <v>0</v>
      </c>
      <c r="H46">
        <v>43</v>
      </c>
      <c r="I46">
        <v>61.211930000000002</v>
      </c>
      <c r="K46">
        <v>7.7704972569999997</v>
      </c>
      <c r="L46">
        <v>3414.9161779999999</v>
      </c>
      <c r="M46">
        <v>23200</v>
      </c>
      <c r="N46">
        <v>11.825138000000001</v>
      </c>
      <c r="O46">
        <v>42.590274999999998</v>
      </c>
      <c r="P46" s="4" t="e">
        <f>VLOOKUP(A46, imports_filtered!$A$2:$C$1000, 2, 0)</f>
        <v>#N/A</v>
      </c>
    </row>
    <row r="47" spans="1:16" hidden="1">
      <c r="A47" t="s">
        <v>66</v>
      </c>
      <c r="B47">
        <v>2019</v>
      </c>
      <c r="C47">
        <v>11049.87</v>
      </c>
      <c r="D47">
        <v>170.00000180000001</v>
      </c>
      <c r="E47">
        <v>7.0000000000000007E-2</v>
      </c>
      <c r="F47">
        <v>0.02</v>
      </c>
      <c r="G47">
        <v>22.222221000000001</v>
      </c>
      <c r="H47">
        <v>96</v>
      </c>
      <c r="I47">
        <v>100</v>
      </c>
      <c r="K47">
        <v>7.5713915969999999</v>
      </c>
      <c r="L47">
        <v>8516.2800389999993</v>
      </c>
      <c r="M47">
        <v>751</v>
      </c>
      <c r="N47">
        <v>15.414999</v>
      </c>
      <c r="O47">
        <v>-61.370975999999999</v>
      </c>
      <c r="P47" s="4" t="e">
        <f>VLOOKUP(A47, imports_filtered!$A$2:$C$1000, 2, 0)</f>
        <v>#N/A</v>
      </c>
    </row>
    <row r="48" spans="1:16" hidden="1">
      <c r="A48" t="s">
        <v>67</v>
      </c>
      <c r="B48">
        <v>2019</v>
      </c>
      <c r="C48">
        <v>11098.332</v>
      </c>
      <c r="D48">
        <v>27229.999540000001</v>
      </c>
      <c r="E48">
        <v>16.91</v>
      </c>
      <c r="F48">
        <v>2.36</v>
      </c>
      <c r="G48">
        <v>12.247014999999999</v>
      </c>
      <c r="H48">
        <v>225</v>
      </c>
      <c r="I48">
        <v>99</v>
      </c>
      <c r="K48">
        <v>5.0521680199999999</v>
      </c>
      <c r="L48">
        <v>8282.1171310000009</v>
      </c>
      <c r="M48">
        <v>48670</v>
      </c>
      <c r="N48">
        <v>18.735693000000001</v>
      </c>
      <c r="O48">
        <v>-70.162650999999997</v>
      </c>
      <c r="P48" s="4">
        <f>VLOOKUP(A48, imports_filtered!$A$2:$C$1000, 2, 0)</f>
        <v>93.940653914164784</v>
      </c>
    </row>
    <row r="49" spans="1:16">
      <c r="A49" t="s">
        <v>68</v>
      </c>
      <c r="B49">
        <v>2019</v>
      </c>
      <c r="C49">
        <v>12160.402</v>
      </c>
      <c r="D49">
        <v>39290.000919999999</v>
      </c>
      <c r="E49">
        <v>7.09</v>
      </c>
      <c r="F49">
        <v>25.2</v>
      </c>
      <c r="G49">
        <v>78.042730000000006</v>
      </c>
      <c r="H49">
        <v>71</v>
      </c>
      <c r="I49">
        <v>99.09</v>
      </c>
      <c r="J49">
        <v>31.769020000000001</v>
      </c>
      <c r="K49">
        <v>1.2105103000000001E-2</v>
      </c>
      <c r="L49">
        <v>6222.5246530000004</v>
      </c>
      <c r="M49">
        <v>283561</v>
      </c>
      <c r="N49">
        <v>-1.8312390000000001</v>
      </c>
      <c r="O49">
        <v>-78.183406000000005</v>
      </c>
      <c r="P49" s="4">
        <f>VLOOKUP(A49, imports_filtered!$A$2:$C$1000, 2, 0)</f>
        <v>-95.754231825890443</v>
      </c>
    </row>
    <row r="50" spans="1:16" hidden="1">
      <c r="A50" t="s">
        <v>69</v>
      </c>
      <c r="B50">
        <v>2019</v>
      </c>
      <c r="C50">
        <v>9919.5439999999999</v>
      </c>
      <c r="E50">
        <v>173.86</v>
      </c>
      <c r="F50">
        <v>20.75</v>
      </c>
      <c r="G50">
        <v>10.662350999999999</v>
      </c>
      <c r="H50">
        <v>103</v>
      </c>
      <c r="I50">
        <v>100</v>
      </c>
      <c r="J50">
        <v>5.1698975999999996</v>
      </c>
      <c r="M50">
        <v>1001450</v>
      </c>
      <c r="N50">
        <v>26.820553</v>
      </c>
      <c r="O50">
        <v>30.802498</v>
      </c>
      <c r="P50" s="4" t="e">
        <f>VLOOKUP(A50, imports_filtered!$A$2:$C$1000, 2, 0)</f>
        <v>#N/A</v>
      </c>
    </row>
    <row r="51" spans="1:16" hidden="1">
      <c r="A51" t="s">
        <v>70</v>
      </c>
      <c r="B51">
        <v>2019</v>
      </c>
      <c r="C51">
        <v>7271.5204999999996</v>
      </c>
      <c r="D51">
        <v>7800.0001910000001</v>
      </c>
      <c r="E51">
        <v>1.84</v>
      </c>
      <c r="F51">
        <v>4.1500000000000004</v>
      </c>
      <c r="G51">
        <v>69.282139999999998</v>
      </c>
      <c r="H51">
        <v>313</v>
      </c>
      <c r="I51">
        <v>97.36</v>
      </c>
      <c r="K51">
        <v>2.3825813980000001</v>
      </c>
      <c r="L51">
        <v>4167.730939</v>
      </c>
      <c r="M51">
        <v>21041</v>
      </c>
      <c r="N51">
        <v>13.794185000000001</v>
      </c>
      <c r="O51">
        <v>-88.896529999999998</v>
      </c>
      <c r="P51" s="4">
        <f>VLOOKUP(A51, imports_filtered!$A$2:$C$1000, 2, 0)</f>
        <v>61.322794993417816</v>
      </c>
    </row>
    <row r="52" spans="1:16" hidden="1">
      <c r="A52" t="s">
        <v>71</v>
      </c>
      <c r="B52">
        <v>2019</v>
      </c>
      <c r="C52">
        <v>17644.692999999999</v>
      </c>
      <c r="D52">
        <v>5349.9999049999997</v>
      </c>
      <c r="E52">
        <v>0.95</v>
      </c>
      <c r="F52">
        <v>0.45</v>
      </c>
      <c r="G52">
        <v>32.142856999999999</v>
      </c>
      <c r="H52">
        <v>50</v>
      </c>
      <c r="I52">
        <v>66.600043999999997</v>
      </c>
      <c r="K52">
        <v>-5.9789369050000003</v>
      </c>
      <c r="L52">
        <v>8419.9333360000001</v>
      </c>
      <c r="M52">
        <v>28051</v>
      </c>
      <c r="N52">
        <v>1.650801</v>
      </c>
      <c r="O52">
        <v>10.267894999999999</v>
      </c>
      <c r="P52" s="4" t="e">
        <f>VLOOKUP(A52, imports_filtered!$A$2:$C$1000, 2, 0)</f>
        <v>#N/A</v>
      </c>
    </row>
    <row r="53" spans="1:16" hidden="1">
      <c r="A53" t="s">
        <v>72</v>
      </c>
      <c r="B53">
        <v>2019</v>
      </c>
      <c r="C53">
        <v>936.47850000000005</v>
      </c>
      <c r="D53">
        <v>879.99999519999994</v>
      </c>
      <c r="E53">
        <v>0.43</v>
      </c>
      <c r="F53">
        <v>0.01</v>
      </c>
      <c r="G53">
        <v>2.2727273000000001</v>
      </c>
      <c r="H53">
        <v>35</v>
      </c>
      <c r="I53">
        <v>50.936993000000001</v>
      </c>
      <c r="M53">
        <v>117600</v>
      </c>
      <c r="N53">
        <v>15.179384000000001</v>
      </c>
      <c r="O53">
        <v>39.782333999999999</v>
      </c>
      <c r="P53" s="4">
        <f>VLOOKUP(A53, imports_filtered!$A$2:$C$1000, 2, 0)</f>
        <v>0</v>
      </c>
    </row>
    <row r="54" spans="1:16">
      <c r="A54" t="s">
        <v>73</v>
      </c>
      <c r="B54">
        <v>2019</v>
      </c>
      <c r="C54">
        <v>47295.336000000003</v>
      </c>
      <c r="D54">
        <v>10180.000309999999</v>
      </c>
      <c r="E54">
        <v>5.47</v>
      </c>
      <c r="F54">
        <v>2.14</v>
      </c>
      <c r="G54">
        <v>28.120895000000001</v>
      </c>
      <c r="H54">
        <v>31</v>
      </c>
      <c r="I54">
        <v>100</v>
      </c>
      <c r="J54">
        <v>9.9129900000000006</v>
      </c>
      <c r="K54">
        <v>4.0963426439999999</v>
      </c>
      <c r="L54">
        <v>23397.120009999999</v>
      </c>
      <c r="M54">
        <v>45228</v>
      </c>
      <c r="N54">
        <v>58.595272000000001</v>
      </c>
      <c r="O54">
        <v>25.013607</v>
      </c>
      <c r="P54" s="4">
        <f>VLOOKUP(A54, imports_filtered!$A$2:$C$1000, 2, 0)</f>
        <v>5.1176670124326771</v>
      </c>
    </row>
    <row r="55" spans="1:16" hidden="1">
      <c r="A55" t="s">
        <v>74</v>
      </c>
      <c r="B55">
        <v>2019</v>
      </c>
      <c r="C55">
        <v>5780.2520000000004</v>
      </c>
      <c r="D55">
        <v>959.9999785</v>
      </c>
      <c r="E55">
        <v>0.04</v>
      </c>
      <c r="F55">
        <v>0.67</v>
      </c>
      <c r="G55">
        <v>94.366200000000006</v>
      </c>
      <c r="H55">
        <v>67</v>
      </c>
      <c r="I55">
        <v>76.869439999999997</v>
      </c>
      <c r="K55">
        <v>2.61303529</v>
      </c>
      <c r="L55">
        <v>3915.6434669999999</v>
      </c>
      <c r="M55">
        <v>17364</v>
      </c>
      <c r="N55">
        <v>-26.522503</v>
      </c>
      <c r="O55">
        <v>31.465865999999998</v>
      </c>
      <c r="P55" s="4">
        <f>VLOOKUP(A55, imports_filtered!$A$2:$C$1000, 2, 0)</f>
        <v>31.478770131771565</v>
      </c>
    </row>
    <row r="56" spans="1:16" hidden="1">
      <c r="A56" t="s">
        <v>75</v>
      </c>
      <c r="B56">
        <v>2019</v>
      </c>
      <c r="C56">
        <v>921.99114999999995</v>
      </c>
      <c r="D56">
        <v>18360.000609999999</v>
      </c>
      <c r="E56">
        <v>0.01</v>
      </c>
      <c r="F56">
        <v>14.22</v>
      </c>
      <c r="G56">
        <v>99.929726000000002</v>
      </c>
      <c r="H56">
        <v>115</v>
      </c>
      <c r="I56">
        <v>48.063589999999998</v>
      </c>
      <c r="K56">
        <v>8.3640856990000003</v>
      </c>
      <c r="L56">
        <v>855.76088519999996</v>
      </c>
      <c r="M56">
        <v>1104300</v>
      </c>
      <c r="N56">
        <v>9.1449999999999996</v>
      </c>
      <c r="O56">
        <v>40.489673000000003</v>
      </c>
      <c r="P56" s="4" t="e">
        <f>VLOOKUP(A56, imports_filtered!$A$2:$C$1000, 2, 0)</f>
        <v>#N/A</v>
      </c>
    </row>
    <row r="57" spans="1:16" hidden="1">
      <c r="A57" t="s">
        <v>76</v>
      </c>
      <c r="B57">
        <v>2019</v>
      </c>
      <c r="C57">
        <v>9417.6319999999996</v>
      </c>
      <c r="D57">
        <v>1629.9999949999999</v>
      </c>
      <c r="E57">
        <v>0.42</v>
      </c>
      <c r="F57">
        <v>0.71</v>
      </c>
      <c r="G57">
        <v>62.831859999999999</v>
      </c>
      <c r="H57">
        <v>49</v>
      </c>
      <c r="I57">
        <v>99.715879999999999</v>
      </c>
      <c r="K57">
        <v>-0.44556304400000002</v>
      </c>
      <c r="L57">
        <v>6175.8906530000004</v>
      </c>
      <c r="M57">
        <v>18274</v>
      </c>
      <c r="N57">
        <v>-17.713370999999999</v>
      </c>
      <c r="O57">
        <v>178.065032</v>
      </c>
      <c r="P57" s="4" t="e">
        <f>VLOOKUP(A57, imports_filtered!$A$2:$C$1000, 2, 0)</f>
        <v>#N/A</v>
      </c>
    </row>
    <row r="58" spans="1:16">
      <c r="A58" t="s">
        <v>77</v>
      </c>
      <c r="B58">
        <v>2019</v>
      </c>
      <c r="C58">
        <v>59219.417999999998</v>
      </c>
      <c r="D58">
        <v>40709.999080000001</v>
      </c>
      <c r="E58">
        <v>12.63</v>
      </c>
      <c r="F58">
        <v>31.88</v>
      </c>
      <c r="G58">
        <v>81.529690000000002</v>
      </c>
      <c r="H58">
        <v>18</v>
      </c>
      <c r="I58">
        <v>100</v>
      </c>
      <c r="J58">
        <v>29.214561</v>
      </c>
      <c r="K58">
        <v>1.220754143</v>
      </c>
      <c r="L58">
        <v>48628.641759999999</v>
      </c>
      <c r="M58">
        <v>338145</v>
      </c>
      <c r="N58">
        <v>61.924109999999999</v>
      </c>
      <c r="O58">
        <v>25.748151</v>
      </c>
      <c r="P58" s="4">
        <f>VLOOKUP(A58, imports_filtered!$A$2:$C$1000, 2, 0)</f>
        <v>44.403710301262898</v>
      </c>
    </row>
    <row r="59" spans="1:16">
      <c r="A59" t="s">
        <v>78</v>
      </c>
      <c r="B59">
        <v>2019</v>
      </c>
      <c r="C59">
        <v>42326.785000000003</v>
      </c>
      <c r="D59">
        <v>300519.989</v>
      </c>
      <c r="E59">
        <v>53.5</v>
      </c>
      <c r="F59">
        <v>113.21</v>
      </c>
      <c r="G59">
        <v>90.543019999999999</v>
      </c>
      <c r="H59">
        <v>119</v>
      </c>
      <c r="I59">
        <v>100</v>
      </c>
      <c r="J59">
        <v>12.384905</v>
      </c>
      <c r="K59">
        <v>1.842971814</v>
      </c>
      <c r="L59">
        <v>40578.644289999997</v>
      </c>
      <c r="M59">
        <v>643801</v>
      </c>
      <c r="N59">
        <v>46.227637999999999</v>
      </c>
      <c r="O59">
        <v>2.213749</v>
      </c>
      <c r="P59" s="4">
        <f>VLOOKUP(A59, imports_filtered!$A$2:$C$1000, 2, 0)</f>
        <v>49.706520625646164</v>
      </c>
    </row>
    <row r="60" spans="1:16" hidden="1">
      <c r="A60" t="s">
        <v>80</v>
      </c>
      <c r="B60">
        <v>2019</v>
      </c>
      <c r="C60">
        <v>7427.6616000000004</v>
      </c>
      <c r="D60">
        <v>5250</v>
      </c>
      <c r="E60">
        <v>1.25</v>
      </c>
      <c r="F60">
        <v>1.01</v>
      </c>
      <c r="G60">
        <v>44.690266000000001</v>
      </c>
      <c r="H60">
        <v>9</v>
      </c>
      <c r="I60">
        <v>90.726294999999993</v>
      </c>
      <c r="K60">
        <v>3.9208087950000001</v>
      </c>
      <c r="L60">
        <v>7766.9965540000003</v>
      </c>
      <c r="M60">
        <v>267667</v>
      </c>
      <c r="N60">
        <v>-0.80368899999999999</v>
      </c>
      <c r="O60">
        <v>11.609444</v>
      </c>
      <c r="P60" s="4">
        <f>VLOOKUP(A60, imports_filtered!$A$2:$C$1000, 2, 0)</f>
        <v>-210.22510218894536</v>
      </c>
    </row>
    <row r="61" spans="1:16" hidden="1">
      <c r="A61" t="s">
        <v>81</v>
      </c>
      <c r="B61">
        <v>2019</v>
      </c>
      <c r="C61">
        <v>972.66790000000003</v>
      </c>
      <c r="E61">
        <v>0.3</v>
      </c>
      <c r="F61">
        <v>0</v>
      </c>
      <c r="G61">
        <v>0</v>
      </c>
      <c r="H61">
        <v>239</v>
      </c>
      <c r="I61">
        <v>62.1</v>
      </c>
      <c r="M61">
        <v>11300</v>
      </c>
      <c r="N61">
        <v>13.466666</v>
      </c>
      <c r="O61">
        <v>-16.566666659999999</v>
      </c>
      <c r="P61" s="4" t="e">
        <f>VLOOKUP(A61, imports_filtered!$A$2:$C$1000, 2, 0)</f>
        <v>#N/A</v>
      </c>
    </row>
    <row r="62" spans="1:16" hidden="1">
      <c r="A62" t="s">
        <v>82</v>
      </c>
      <c r="B62">
        <v>2019</v>
      </c>
      <c r="C62">
        <v>19659.346000000001</v>
      </c>
      <c r="D62">
        <v>10109.999659999999</v>
      </c>
      <c r="E62">
        <v>2.67</v>
      </c>
      <c r="F62">
        <v>8.93</v>
      </c>
      <c r="G62">
        <v>76.982759999999999</v>
      </c>
      <c r="H62">
        <v>57</v>
      </c>
      <c r="I62">
        <v>100</v>
      </c>
      <c r="K62">
        <v>4.9823504749999996</v>
      </c>
      <c r="L62">
        <v>4697.9836519999999</v>
      </c>
      <c r="M62">
        <v>69700</v>
      </c>
      <c r="N62">
        <v>42.315407</v>
      </c>
      <c r="O62">
        <v>43.356892000000002</v>
      </c>
      <c r="P62" s="4">
        <f>VLOOKUP(A62, imports_filtered!$A$2:$C$1000, 2, 0)</f>
        <v>80.722389485365397</v>
      </c>
    </row>
    <row r="63" spans="1:16">
      <c r="A63" t="s">
        <v>83</v>
      </c>
      <c r="B63">
        <v>2019</v>
      </c>
      <c r="C63">
        <v>44467.745999999999</v>
      </c>
      <c r="D63">
        <v>657400.02439999999</v>
      </c>
      <c r="E63">
        <v>284.08999999999997</v>
      </c>
      <c r="F63">
        <v>240.33</v>
      </c>
      <c r="G63">
        <v>52.611384999999999</v>
      </c>
      <c r="H63">
        <v>240</v>
      </c>
      <c r="I63">
        <v>100</v>
      </c>
      <c r="J63">
        <v>18.768305000000002</v>
      </c>
      <c r="K63">
        <v>1.0555082469999999</v>
      </c>
      <c r="L63">
        <v>46794.899290000001</v>
      </c>
      <c r="M63">
        <v>357022</v>
      </c>
      <c r="N63">
        <v>51.165691000000002</v>
      </c>
      <c r="O63">
        <v>10.451525999999999</v>
      </c>
      <c r="P63" s="4">
        <f>VLOOKUP(A63, imports_filtered!$A$2:$C$1000, 2, 0)</f>
        <v>69.924000647515456</v>
      </c>
    </row>
    <row r="64" spans="1:16" hidden="1">
      <c r="A64" t="s">
        <v>84</v>
      </c>
      <c r="B64">
        <v>2019</v>
      </c>
      <c r="C64">
        <v>3135.5949999999998</v>
      </c>
      <c r="D64">
        <v>20040.000919999999</v>
      </c>
      <c r="E64">
        <v>9.3699999999999992</v>
      </c>
      <c r="F64">
        <v>7.32</v>
      </c>
      <c r="G64">
        <v>43.858597000000003</v>
      </c>
      <c r="H64">
        <v>137</v>
      </c>
      <c r="I64">
        <v>83.5</v>
      </c>
      <c r="K64">
        <v>6.5077747940000004</v>
      </c>
      <c r="L64">
        <v>2246.6255780000001</v>
      </c>
      <c r="M64">
        <v>238533</v>
      </c>
      <c r="N64">
        <v>7.9465269999999997</v>
      </c>
      <c r="O64">
        <v>-1.0231939999999999</v>
      </c>
      <c r="P64" s="4">
        <f>VLOOKUP(A64, imports_filtered!$A$2:$C$1000, 2, 0)</f>
        <v>-43.168048177075285</v>
      </c>
    </row>
    <row r="65" spans="1:16">
      <c r="A65" t="s">
        <v>85</v>
      </c>
      <c r="B65">
        <v>2019</v>
      </c>
      <c r="C65">
        <v>29966.309000000001</v>
      </c>
      <c r="D65">
        <v>60000</v>
      </c>
      <c r="E65">
        <v>32.479999999999997</v>
      </c>
      <c r="F65">
        <v>16.100000000000001</v>
      </c>
      <c r="G65">
        <v>33.141210000000001</v>
      </c>
      <c r="H65">
        <v>81</v>
      </c>
      <c r="I65">
        <v>100</v>
      </c>
      <c r="J65">
        <v>13.694194</v>
      </c>
      <c r="K65">
        <v>1.8035952559999999</v>
      </c>
      <c r="L65">
        <v>19133.75776</v>
      </c>
      <c r="M65">
        <v>131957</v>
      </c>
      <c r="N65">
        <v>39.074207999999999</v>
      </c>
      <c r="O65">
        <v>21.824311999999999</v>
      </c>
      <c r="P65" s="4">
        <f>VLOOKUP(A65, imports_filtered!$A$2:$C$1000, 2, 0)</f>
        <v>87.498998984916568</v>
      </c>
    </row>
    <row r="66" spans="1:16" hidden="1">
      <c r="A66" t="s">
        <v>86</v>
      </c>
      <c r="B66">
        <v>2019</v>
      </c>
      <c r="C66">
        <v>10655.754000000001</v>
      </c>
      <c r="D66">
        <v>330.00001309999999</v>
      </c>
      <c r="E66">
        <v>0.21</v>
      </c>
      <c r="F66">
        <v>0</v>
      </c>
      <c r="G66">
        <v>0</v>
      </c>
      <c r="H66">
        <v>331</v>
      </c>
      <c r="I66">
        <v>93.120964000000001</v>
      </c>
      <c r="K66">
        <v>0.73558270000000003</v>
      </c>
      <c r="L66">
        <v>10827.435289999999</v>
      </c>
      <c r="M66">
        <v>349</v>
      </c>
      <c r="N66">
        <v>12.1165</v>
      </c>
      <c r="O66">
        <v>-61.679000000000002</v>
      </c>
      <c r="P66" s="4" t="e">
        <f>VLOOKUP(A66, imports_filtered!$A$2:$C$1000, 2, 0)</f>
        <v>#N/A</v>
      </c>
    </row>
    <row r="67" spans="1:16" hidden="1">
      <c r="A67" t="s">
        <v>87</v>
      </c>
      <c r="B67">
        <v>2019</v>
      </c>
      <c r="C67">
        <v>5851.7349999999997</v>
      </c>
      <c r="D67">
        <v>19309.999469999999</v>
      </c>
      <c r="E67">
        <v>5.51</v>
      </c>
      <c r="F67">
        <v>8.3000000000000007</v>
      </c>
      <c r="G67">
        <v>60.101376000000002</v>
      </c>
      <c r="H67">
        <v>167</v>
      </c>
      <c r="I67">
        <v>95.742003999999994</v>
      </c>
      <c r="K67">
        <v>3.8668565749999999</v>
      </c>
      <c r="L67">
        <v>4638.634943</v>
      </c>
      <c r="M67">
        <v>108889</v>
      </c>
      <c r="N67">
        <v>15.783471</v>
      </c>
      <c r="O67">
        <v>-90.230759000000006</v>
      </c>
      <c r="P67" s="4">
        <f>VLOOKUP(A67, imports_filtered!$A$2:$C$1000, 2, 0)</f>
        <v>42.437554934603398</v>
      </c>
    </row>
    <row r="68" spans="1:16" hidden="1">
      <c r="A68" t="s">
        <v>88</v>
      </c>
      <c r="B68">
        <v>2019</v>
      </c>
      <c r="C68">
        <v>1201.7898</v>
      </c>
      <c r="D68">
        <v>3950.0000479999999</v>
      </c>
      <c r="E68">
        <v>0.75</v>
      </c>
      <c r="F68">
        <v>1.31</v>
      </c>
      <c r="G68">
        <v>63.592236</v>
      </c>
      <c r="H68">
        <v>53</v>
      </c>
      <c r="I68">
        <v>42.2</v>
      </c>
      <c r="K68">
        <v>5.6461755680000003</v>
      </c>
      <c r="L68">
        <v>1058.143368</v>
      </c>
      <c r="M68">
        <v>245857</v>
      </c>
      <c r="N68">
        <v>9.9455869999999997</v>
      </c>
      <c r="O68">
        <v>-9.6966450000000002</v>
      </c>
      <c r="P68" s="4" t="e">
        <f>VLOOKUP(A68, imports_filtered!$A$2:$C$1000, 2, 0)</f>
        <v>#N/A</v>
      </c>
    </row>
    <row r="69" spans="1:16" hidden="1">
      <c r="A69" t="s">
        <v>89</v>
      </c>
      <c r="B69">
        <v>2019</v>
      </c>
      <c r="C69">
        <v>703.12729999999999</v>
      </c>
      <c r="D69">
        <v>330.00001309999999</v>
      </c>
      <c r="E69">
        <v>0.08</v>
      </c>
      <c r="F69">
        <v>0</v>
      </c>
      <c r="G69">
        <v>0</v>
      </c>
      <c r="H69">
        <v>70</v>
      </c>
      <c r="I69">
        <v>30.961556999999999</v>
      </c>
      <c r="K69">
        <v>4.4999999920000002</v>
      </c>
      <c r="L69">
        <v>749.45374700000002</v>
      </c>
      <c r="M69">
        <v>36125</v>
      </c>
      <c r="N69">
        <v>11.803749</v>
      </c>
      <c r="O69">
        <v>-15.180413</v>
      </c>
      <c r="P69" s="4" t="e">
        <f>VLOOKUP(A69, imports_filtered!$A$2:$C$1000, 2, 0)</f>
        <v>#N/A</v>
      </c>
    </row>
    <row r="70" spans="1:16" hidden="1">
      <c r="A70" t="s">
        <v>90</v>
      </c>
      <c r="B70">
        <v>2019</v>
      </c>
      <c r="C70">
        <v>14184.611999999999</v>
      </c>
      <c r="D70">
        <v>2849.9999050000001</v>
      </c>
      <c r="E70">
        <v>1.06</v>
      </c>
      <c r="F70">
        <v>0.16</v>
      </c>
      <c r="G70">
        <v>13.114754</v>
      </c>
      <c r="H70">
        <v>4</v>
      </c>
      <c r="I70">
        <v>91.915760000000006</v>
      </c>
      <c r="K70">
        <v>5.3526274259999997</v>
      </c>
      <c r="L70">
        <v>6609.5112799999997</v>
      </c>
      <c r="M70">
        <v>214969</v>
      </c>
      <c r="N70">
        <v>4.8604159999999998</v>
      </c>
      <c r="O70">
        <v>-58.93018</v>
      </c>
      <c r="P70" s="4" t="e">
        <f>VLOOKUP(A70, imports_filtered!$A$2:$C$1000, 2, 0)</f>
        <v>#N/A</v>
      </c>
    </row>
    <row r="71" spans="1:16" hidden="1">
      <c r="A71" t="s">
        <v>91</v>
      </c>
      <c r="B71">
        <v>2019</v>
      </c>
      <c r="C71">
        <v>1184.3462</v>
      </c>
      <c r="D71">
        <v>3319.9999330000001</v>
      </c>
      <c r="E71">
        <v>0.85</v>
      </c>
      <c r="F71">
        <v>0.17</v>
      </c>
      <c r="G71">
        <v>16.666665999999999</v>
      </c>
      <c r="H71">
        <v>414</v>
      </c>
      <c r="I71">
        <v>45.990234000000001</v>
      </c>
      <c r="K71">
        <v>-1.6845950810000001</v>
      </c>
      <c r="L71">
        <v>1312.770636</v>
      </c>
      <c r="M71">
        <v>27750</v>
      </c>
      <c r="N71">
        <v>18.971187</v>
      </c>
      <c r="O71">
        <v>-72.285214999999994</v>
      </c>
      <c r="P71" s="4" t="e">
        <f>VLOOKUP(A71, imports_filtered!$A$2:$C$1000, 2, 0)</f>
        <v>#N/A</v>
      </c>
    </row>
    <row r="72" spans="1:16" hidden="1">
      <c r="A72" t="s">
        <v>92</v>
      </c>
      <c r="B72">
        <v>2019</v>
      </c>
      <c r="C72">
        <v>5640.5680000000002</v>
      </c>
      <c r="D72">
        <v>10220.00027</v>
      </c>
      <c r="E72">
        <v>5.39</v>
      </c>
      <c r="F72">
        <v>5.73</v>
      </c>
      <c r="G72">
        <v>51.528778000000003</v>
      </c>
      <c r="H72">
        <v>89</v>
      </c>
      <c r="I72">
        <v>91.1</v>
      </c>
      <c r="K72">
        <v>2.6530662550000002</v>
      </c>
      <c r="L72">
        <v>2556.4568909999998</v>
      </c>
      <c r="M72">
        <v>112090</v>
      </c>
      <c r="N72">
        <v>15.199999</v>
      </c>
      <c r="O72">
        <v>-86.241905000000003</v>
      </c>
      <c r="P72" s="4">
        <f>VLOOKUP(A72, imports_filtered!$A$2:$C$1000, 2, 0)</f>
        <v>54.048180572190638</v>
      </c>
    </row>
    <row r="73" spans="1:16">
      <c r="A73" t="s">
        <v>93</v>
      </c>
      <c r="B73">
        <v>2019</v>
      </c>
      <c r="C73">
        <v>28131.205000000002</v>
      </c>
      <c r="D73">
        <v>46380.001069999998</v>
      </c>
      <c r="E73">
        <v>13.2</v>
      </c>
      <c r="F73">
        <v>4.7</v>
      </c>
      <c r="G73">
        <v>61.392223000000001</v>
      </c>
      <c r="H73">
        <v>107</v>
      </c>
      <c r="I73">
        <v>100</v>
      </c>
      <c r="J73">
        <v>4.9454612999999998</v>
      </c>
      <c r="K73">
        <v>4.5540630719999999</v>
      </c>
      <c r="L73">
        <v>16735.659780000002</v>
      </c>
      <c r="M73">
        <v>93028</v>
      </c>
      <c r="N73">
        <v>47.162494000000002</v>
      </c>
      <c r="O73">
        <v>19.503304</v>
      </c>
      <c r="P73" s="4">
        <f>VLOOKUP(A73, imports_filtered!$A$2:$C$1000, 2, 0)</f>
        <v>69.812666621860558</v>
      </c>
    </row>
    <row r="74" spans="1:16" hidden="1">
      <c r="A74" t="s">
        <v>94</v>
      </c>
      <c r="B74">
        <v>2019</v>
      </c>
      <c r="C74">
        <v>175527.73</v>
      </c>
      <c r="D74">
        <v>1639.999986</v>
      </c>
      <c r="E74">
        <v>0</v>
      </c>
      <c r="F74">
        <v>19.12</v>
      </c>
      <c r="G74">
        <v>100</v>
      </c>
      <c r="H74">
        <v>3</v>
      </c>
      <c r="I74">
        <v>100</v>
      </c>
      <c r="J74">
        <v>80.097189999999998</v>
      </c>
      <c r="K74">
        <v>2.4348230000000002</v>
      </c>
      <c r="L74">
        <v>68941.462230000005</v>
      </c>
      <c r="M74">
        <v>103000</v>
      </c>
      <c r="N74">
        <v>64.963050999999993</v>
      </c>
      <c r="O74">
        <v>-19.020835000000002</v>
      </c>
      <c r="P74" s="4">
        <f>VLOOKUP(A74, imports_filtered!$A$2:$C$1000, 2, 0)</f>
        <v>0</v>
      </c>
    </row>
    <row r="75" spans="1:16">
      <c r="A75" t="s">
        <v>95</v>
      </c>
      <c r="B75">
        <v>2019</v>
      </c>
      <c r="C75">
        <v>6731.8050000000003</v>
      </c>
      <c r="D75">
        <v>2456300.0490000001</v>
      </c>
      <c r="E75">
        <v>1273.5899999999999</v>
      </c>
      <c r="F75">
        <v>303.16000000000003</v>
      </c>
      <c r="G75">
        <v>21.475914</v>
      </c>
      <c r="H75">
        <v>464</v>
      </c>
      <c r="I75">
        <v>97.308266000000003</v>
      </c>
      <c r="J75">
        <v>8.8496190000000006</v>
      </c>
      <c r="K75">
        <v>4.041554187</v>
      </c>
      <c r="L75">
        <v>2100.7514609999998</v>
      </c>
      <c r="M75">
        <v>3287263</v>
      </c>
      <c r="N75">
        <v>20.593684</v>
      </c>
      <c r="O75">
        <v>78.962879999999998</v>
      </c>
      <c r="P75" s="4">
        <f>VLOOKUP(A75, imports_filtered!$A$2:$C$1000, 2, 0)</f>
        <v>39.299698298591359</v>
      </c>
    </row>
    <row r="76" spans="1:16">
      <c r="A76" t="s">
        <v>96</v>
      </c>
      <c r="B76">
        <v>2019</v>
      </c>
      <c r="C76">
        <v>8474.4794999999995</v>
      </c>
      <c r="D76">
        <v>619840.02690000006</v>
      </c>
      <c r="E76">
        <v>247.39</v>
      </c>
      <c r="F76">
        <v>48.04</v>
      </c>
      <c r="G76">
        <v>16.261043999999998</v>
      </c>
      <c r="H76">
        <v>151</v>
      </c>
      <c r="I76">
        <v>98.85</v>
      </c>
      <c r="J76">
        <v>7.8703089999999998</v>
      </c>
      <c r="K76">
        <v>5.0181597150000004</v>
      </c>
      <c r="L76">
        <v>4135.2015309999997</v>
      </c>
      <c r="M76">
        <v>1904569</v>
      </c>
      <c r="N76">
        <v>-0.78927499999999995</v>
      </c>
      <c r="O76">
        <v>113.92132700000001</v>
      </c>
      <c r="P76" s="4">
        <f>VLOOKUP(A76, imports_filtered!$A$2:$C$1000, 2, 0)</f>
        <v>-99.181648865643822</v>
      </c>
    </row>
    <row r="77" spans="1:16">
      <c r="A77" t="s">
        <v>97</v>
      </c>
      <c r="B77">
        <v>2019</v>
      </c>
      <c r="C77">
        <v>15430.376</v>
      </c>
      <c r="D77">
        <v>174559.9976</v>
      </c>
      <c r="E77">
        <v>83.85</v>
      </c>
      <c r="F77">
        <v>5.34</v>
      </c>
      <c r="G77">
        <v>5.9872180000000004</v>
      </c>
      <c r="H77">
        <v>93</v>
      </c>
      <c r="I77">
        <v>99.992003999999994</v>
      </c>
      <c r="J77">
        <v>2.2772882000000001</v>
      </c>
      <c r="K77">
        <v>5.9573275030000001</v>
      </c>
      <c r="L77">
        <v>5980.6269179999999</v>
      </c>
      <c r="M77">
        <v>438317</v>
      </c>
      <c r="N77">
        <v>33.223191</v>
      </c>
      <c r="O77">
        <v>43.679290999999999</v>
      </c>
      <c r="P77" s="4">
        <f>VLOOKUP(A77, imports_filtered!$A$2:$C$1000, 2, 0)</f>
        <v>-357.47164421788136</v>
      </c>
    </row>
    <row r="78" spans="1:16">
      <c r="A78" t="s">
        <v>98</v>
      </c>
      <c r="B78">
        <v>2019</v>
      </c>
      <c r="C78">
        <v>38270.875</v>
      </c>
      <c r="D78">
        <v>35750</v>
      </c>
      <c r="E78">
        <v>18.920000000000002</v>
      </c>
      <c r="F78">
        <v>11.8</v>
      </c>
      <c r="G78">
        <v>38.411459999999998</v>
      </c>
      <c r="H78">
        <v>73</v>
      </c>
      <c r="I78">
        <v>100</v>
      </c>
      <c r="J78">
        <v>16.911176999999999</v>
      </c>
      <c r="K78">
        <v>4.9170069779999999</v>
      </c>
      <c r="L78">
        <v>80886.615739999994</v>
      </c>
      <c r="M78">
        <v>84421</v>
      </c>
      <c r="N78">
        <v>53.412909999999997</v>
      </c>
      <c r="O78">
        <v>-8.2438900000000004</v>
      </c>
      <c r="P78" s="4">
        <f>VLOOKUP(A78, imports_filtered!$A$2:$C$1000, 2, 0)</f>
        <v>75.413816050316143</v>
      </c>
    </row>
    <row r="79" spans="1:16">
      <c r="A79" t="s">
        <v>99</v>
      </c>
      <c r="B79">
        <v>2019</v>
      </c>
      <c r="C79">
        <v>35085.457000000002</v>
      </c>
      <c r="D79">
        <v>62650.001530000001</v>
      </c>
      <c r="E79">
        <v>68.819999999999993</v>
      </c>
      <c r="F79">
        <v>2.9</v>
      </c>
      <c r="G79">
        <v>4.0435023000000001</v>
      </c>
      <c r="H79">
        <v>400</v>
      </c>
      <c r="I79">
        <v>100</v>
      </c>
      <c r="J79">
        <v>2.9192068999999998</v>
      </c>
      <c r="K79">
        <v>3.7735898099999998</v>
      </c>
      <c r="L79">
        <v>43951.247730000003</v>
      </c>
      <c r="M79">
        <v>20770</v>
      </c>
      <c r="N79">
        <v>31.046050999999999</v>
      </c>
      <c r="O79">
        <v>34.851612000000003</v>
      </c>
      <c r="P79" s="4">
        <f>VLOOKUP(A79, imports_filtered!$A$2:$C$1000, 2, 0)</f>
        <v>70.734379347895015</v>
      </c>
    </row>
    <row r="80" spans="1:16">
      <c r="A80" t="s">
        <v>100</v>
      </c>
      <c r="B80">
        <v>2019</v>
      </c>
      <c r="C80">
        <v>30464.062000000002</v>
      </c>
      <c r="D80">
        <v>317239.9902</v>
      </c>
      <c r="E80">
        <v>175.52</v>
      </c>
      <c r="F80">
        <v>115.83</v>
      </c>
      <c r="G80">
        <v>39.756306000000002</v>
      </c>
      <c r="H80">
        <v>206</v>
      </c>
      <c r="I80">
        <v>100</v>
      </c>
      <c r="J80">
        <v>17.93995</v>
      </c>
      <c r="K80">
        <v>0.41027829399999999</v>
      </c>
      <c r="L80">
        <v>33641.633750000001</v>
      </c>
      <c r="M80">
        <v>301340</v>
      </c>
      <c r="N80">
        <v>41.871940000000002</v>
      </c>
      <c r="O80">
        <v>12.56738</v>
      </c>
      <c r="P80" s="4">
        <f>VLOOKUP(A80, imports_filtered!$A$2:$C$1000, 2, 0)</f>
        <v>82.227964030235896</v>
      </c>
    </row>
    <row r="81" spans="1:16" hidden="1">
      <c r="A81" t="s">
        <v>101</v>
      </c>
      <c r="B81">
        <v>2019</v>
      </c>
      <c r="C81">
        <v>15387.241</v>
      </c>
      <c r="D81">
        <v>8390.0003429999997</v>
      </c>
      <c r="E81">
        <v>3.6</v>
      </c>
      <c r="F81">
        <v>0.65</v>
      </c>
      <c r="G81">
        <v>15.294117999999999</v>
      </c>
      <c r="H81">
        <v>273</v>
      </c>
      <c r="I81">
        <v>99.367620000000002</v>
      </c>
      <c r="K81">
        <v>0.89229165399999999</v>
      </c>
      <c r="L81">
        <v>5369.4983709999997</v>
      </c>
      <c r="M81">
        <v>10991</v>
      </c>
      <c r="N81">
        <v>18.109580999999999</v>
      </c>
      <c r="O81">
        <v>-77.297507999999993</v>
      </c>
      <c r="P81" s="4">
        <f>VLOOKUP(A81, imports_filtered!$A$2:$C$1000, 2, 0)</f>
        <v>111.27757461366021</v>
      </c>
    </row>
    <row r="82" spans="1:16">
      <c r="A82" t="s">
        <v>102</v>
      </c>
      <c r="B82">
        <v>2019</v>
      </c>
      <c r="C82">
        <v>40868.688000000002</v>
      </c>
      <c r="D82">
        <v>1081569.946</v>
      </c>
      <c r="E82">
        <v>735.66</v>
      </c>
      <c r="F82">
        <v>192.72</v>
      </c>
      <c r="G82">
        <v>25.860157000000001</v>
      </c>
      <c r="H82">
        <v>347</v>
      </c>
      <c r="I82">
        <v>100</v>
      </c>
      <c r="J82">
        <v>9.5659270000000003</v>
      </c>
      <c r="K82">
        <v>0.27030464500000001</v>
      </c>
      <c r="L82">
        <v>40777.608699999997</v>
      </c>
      <c r="M82">
        <v>377944</v>
      </c>
      <c r="N82">
        <v>36.204824000000002</v>
      </c>
      <c r="O82">
        <v>138.25292400000001</v>
      </c>
      <c r="P82" s="4">
        <f>VLOOKUP(A82, imports_filtered!$A$2:$C$1000, 2, 0)</f>
        <v>90.559032812018557</v>
      </c>
    </row>
    <row r="83" spans="1:16" hidden="1">
      <c r="A83" t="s">
        <v>103</v>
      </c>
      <c r="B83">
        <v>2019</v>
      </c>
      <c r="C83">
        <v>11258.242</v>
      </c>
      <c r="D83">
        <v>24629.999159999999</v>
      </c>
      <c r="E83">
        <v>16.41</v>
      </c>
      <c r="F83">
        <v>3.02</v>
      </c>
      <c r="G83">
        <v>15.542973999999999</v>
      </c>
      <c r="H83">
        <v>115</v>
      </c>
      <c r="I83">
        <v>100</v>
      </c>
      <c r="K83">
        <v>1.955466358</v>
      </c>
      <c r="L83">
        <v>4405.4871089999997</v>
      </c>
      <c r="M83">
        <v>89342</v>
      </c>
      <c r="N83">
        <v>30.585163999999999</v>
      </c>
      <c r="O83">
        <v>36.238413999999999</v>
      </c>
      <c r="P83" s="4">
        <f>VLOOKUP(A83, imports_filtered!$A$2:$C$1000, 2, 0)</f>
        <v>98.830744793505133</v>
      </c>
    </row>
    <row r="84" spans="1:16">
      <c r="A84" t="s">
        <v>104</v>
      </c>
      <c r="B84">
        <v>2019</v>
      </c>
      <c r="C84">
        <v>43404.29</v>
      </c>
      <c r="D84">
        <v>212110.0006</v>
      </c>
      <c r="E84">
        <v>95.39</v>
      </c>
      <c r="F84">
        <v>11.09</v>
      </c>
      <c r="G84">
        <v>10.415101</v>
      </c>
      <c r="H84">
        <v>7</v>
      </c>
      <c r="I84">
        <v>100</v>
      </c>
      <c r="J84">
        <v>3.468928</v>
      </c>
      <c r="K84">
        <v>4.5</v>
      </c>
      <c r="L84">
        <v>9812.595808</v>
      </c>
      <c r="M84">
        <v>2724900</v>
      </c>
      <c r="N84">
        <v>48.019573000000001</v>
      </c>
      <c r="O84">
        <v>66.923683999999994</v>
      </c>
      <c r="P84" s="4">
        <f>VLOOKUP(A84, imports_filtered!$A$2:$C$1000, 2, 0)</f>
        <v>-129.45109814824136</v>
      </c>
    </row>
    <row r="85" spans="1:16" hidden="1">
      <c r="A85" t="s">
        <v>105</v>
      </c>
      <c r="B85">
        <v>2019</v>
      </c>
      <c r="C85">
        <v>1946.3412000000001</v>
      </c>
      <c r="D85">
        <v>22280.000690000001</v>
      </c>
      <c r="E85">
        <v>1.25</v>
      </c>
      <c r="F85">
        <v>10.24</v>
      </c>
      <c r="G85">
        <v>89.120980000000003</v>
      </c>
      <c r="H85">
        <v>94</v>
      </c>
      <c r="I85">
        <v>69.7</v>
      </c>
      <c r="K85">
        <v>4.9811326280000001</v>
      </c>
      <c r="L85">
        <v>1912.6478669999999</v>
      </c>
      <c r="M85">
        <v>580367</v>
      </c>
      <c r="N85">
        <v>-2.3559E-2</v>
      </c>
      <c r="O85">
        <v>37.906193000000002</v>
      </c>
      <c r="P85" s="4">
        <f>VLOOKUP(A85, imports_filtered!$A$2:$C$1000, 2, 0)</f>
        <v>22.909546251785017</v>
      </c>
    </row>
    <row r="86" spans="1:16" hidden="1">
      <c r="A86" t="s">
        <v>106</v>
      </c>
      <c r="B86">
        <v>2019</v>
      </c>
      <c r="C86">
        <v>2592.4326000000001</v>
      </c>
      <c r="D86">
        <v>90.000003579999998</v>
      </c>
      <c r="E86">
        <v>0.03</v>
      </c>
      <c r="F86">
        <v>0</v>
      </c>
      <c r="G86">
        <v>0</v>
      </c>
      <c r="H86">
        <v>147</v>
      </c>
      <c r="I86">
        <v>90.032849999999996</v>
      </c>
      <c r="K86">
        <v>3.926445438</v>
      </c>
      <c r="L86">
        <v>1601.8618690000001</v>
      </c>
      <c r="M86">
        <v>811</v>
      </c>
      <c r="N86">
        <v>1.8368975999999999</v>
      </c>
      <c r="O86">
        <v>-157.3768317</v>
      </c>
      <c r="P86" s="4" t="e">
        <f>VLOOKUP(A86, imports_filtered!$A$2:$C$1000, 2, 0)</f>
        <v>#N/A</v>
      </c>
    </row>
    <row r="87" spans="1:16">
      <c r="A87" t="s">
        <v>107</v>
      </c>
      <c r="B87">
        <v>2019</v>
      </c>
      <c r="C87">
        <v>94612.554999999993</v>
      </c>
      <c r="D87">
        <v>92650.001529999994</v>
      </c>
      <c r="E87">
        <v>70.45</v>
      </c>
      <c r="F87">
        <v>0.06</v>
      </c>
      <c r="G87">
        <v>8.5094310000000006E-2</v>
      </c>
      <c r="H87">
        <v>240</v>
      </c>
      <c r="I87">
        <v>100</v>
      </c>
      <c r="J87">
        <v>3.4184187999999997E-2</v>
      </c>
      <c r="K87">
        <v>0.42746393999999999</v>
      </c>
      <c r="L87">
        <v>32373.251120000001</v>
      </c>
      <c r="M87">
        <v>17818</v>
      </c>
      <c r="N87">
        <v>29.31166</v>
      </c>
      <c r="O87">
        <v>47.481766</v>
      </c>
      <c r="P87" s="4">
        <f>VLOOKUP(A87, imports_filtered!$A$2:$C$1000, 2, 0)</f>
        <v>-338.02165504483031</v>
      </c>
    </row>
    <row r="88" spans="1:16" hidden="1">
      <c r="A88" t="s">
        <v>108</v>
      </c>
      <c r="B88">
        <v>2019</v>
      </c>
      <c r="C88">
        <v>10582.124</v>
      </c>
      <c r="E88">
        <v>1.1299999999999999</v>
      </c>
      <c r="F88">
        <v>13.71</v>
      </c>
      <c r="G88">
        <v>92.385445000000004</v>
      </c>
      <c r="H88">
        <v>34</v>
      </c>
      <c r="I88">
        <v>99.87424</v>
      </c>
      <c r="M88">
        <v>199951</v>
      </c>
      <c r="N88">
        <v>41.20438</v>
      </c>
      <c r="O88">
        <v>74.766098</v>
      </c>
      <c r="P88" s="4" t="e">
        <f>VLOOKUP(A88, imports_filtered!$A$2:$C$1000, 2, 0)</f>
        <v>#N/A</v>
      </c>
    </row>
    <row r="89" spans="1:16">
      <c r="A89" t="s">
        <v>109</v>
      </c>
      <c r="B89">
        <v>2019</v>
      </c>
      <c r="C89">
        <v>23394.7</v>
      </c>
      <c r="D89">
        <v>7570.000172</v>
      </c>
      <c r="E89">
        <v>3.25</v>
      </c>
      <c r="F89">
        <v>3.19</v>
      </c>
      <c r="G89">
        <v>49.53416</v>
      </c>
      <c r="H89">
        <v>30</v>
      </c>
      <c r="I89">
        <v>100</v>
      </c>
      <c r="J89">
        <v>19.929880000000001</v>
      </c>
      <c r="K89">
        <v>2.4843263549999999</v>
      </c>
      <c r="L89">
        <v>17926.84159</v>
      </c>
      <c r="M89">
        <v>64589</v>
      </c>
      <c r="N89">
        <v>56.879635</v>
      </c>
      <c r="O89">
        <v>24.603189</v>
      </c>
      <c r="P89" s="4">
        <f>VLOOKUP(A89, imports_filtered!$A$2:$C$1000, 2, 0)</f>
        <v>48.418636603277136</v>
      </c>
    </row>
    <row r="90" spans="1:16" hidden="1">
      <c r="A90" t="s">
        <v>110</v>
      </c>
      <c r="B90">
        <v>2019</v>
      </c>
      <c r="C90">
        <v>18447.384999999998</v>
      </c>
      <c r="D90">
        <v>27950.000759999999</v>
      </c>
      <c r="E90">
        <v>19.239999999999998</v>
      </c>
      <c r="F90">
        <v>1.1200000000000001</v>
      </c>
      <c r="G90">
        <v>5.5009823000000004</v>
      </c>
      <c r="H90">
        <v>667</v>
      </c>
      <c r="I90">
        <v>99.974869999999996</v>
      </c>
      <c r="K90">
        <v>-7.1572470700000004</v>
      </c>
      <c r="L90">
        <v>7578.1723679999996</v>
      </c>
      <c r="M90">
        <v>10400</v>
      </c>
      <c r="N90">
        <v>33.854720999999998</v>
      </c>
      <c r="O90">
        <v>35.862285</v>
      </c>
      <c r="P90" s="4">
        <f>VLOOKUP(A90, imports_filtered!$A$2:$C$1000, 2, 0)</f>
        <v>100.20602776799544</v>
      </c>
    </row>
    <row r="91" spans="1:16" hidden="1">
      <c r="A91" t="s">
        <v>111</v>
      </c>
      <c r="B91">
        <v>2019</v>
      </c>
      <c r="C91">
        <v>2188.8589999999999</v>
      </c>
      <c r="D91">
        <v>769.99998089999997</v>
      </c>
      <c r="E91">
        <v>0</v>
      </c>
      <c r="F91">
        <v>0.5</v>
      </c>
      <c r="G91">
        <v>100</v>
      </c>
      <c r="H91">
        <v>71</v>
      </c>
      <c r="I91">
        <v>44.500210000000003</v>
      </c>
      <c r="K91">
        <v>-0.381431982</v>
      </c>
      <c r="L91">
        <v>1113.3721399999999</v>
      </c>
      <c r="M91">
        <v>30355</v>
      </c>
      <c r="N91">
        <v>-29.609988000000001</v>
      </c>
      <c r="O91">
        <v>28.233608</v>
      </c>
      <c r="P91" s="4" t="e">
        <f>VLOOKUP(A91, imports_filtered!$A$2:$C$1000, 2, 0)</f>
        <v>#N/A</v>
      </c>
    </row>
    <row r="92" spans="1:16" hidden="1">
      <c r="A92" t="s">
        <v>112</v>
      </c>
      <c r="B92">
        <v>2019</v>
      </c>
      <c r="C92">
        <v>1100.8312000000001</v>
      </c>
      <c r="D92">
        <v>1179.9999479999999</v>
      </c>
      <c r="E92">
        <v>0.31</v>
      </c>
      <c r="F92">
        <v>0</v>
      </c>
      <c r="G92">
        <v>0</v>
      </c>
      <c r="H92">
        <v>53</v>
      </c>
      <c r="I92">
        <v>23.1</v>
      </c>
      <c r="K92">
        <v>-2.467297635</v>
      </c>
      <c r="L92">
        <v>672.34049919999995</v>
      </c>
      <c r="M92">
        <v>111369</v>
      </c>
      <c r="N92">
        <v>6.4280549999999996</v>
      </c>
      <c r="O92">
        <v>-9.4294989999999999</v>
      </c>
      <c r="P92" s="4" t="e">
        <f>VLOOKUP(A92, imports_filtered!$A$2:$C$1000, 2, 0)</f>
        <v>#N/A</v>
      </c>
    </row>
    <row r="93" spans="1:16" hidden="1">
      <c r="A93" t="s">
        <v>113</v>
      </c>
      <c r="B93">
        <v>2019</v>
      </c>
      <c r="C93">
        <v>32421.873</v>
      </c>
      <c r="D93">
        <v>56799.999239999997</v>
      </c>
      <c r="E93">
        <v>31.68</v>
      </c>
      <c r="F93">
        <v>0.01</v>
      </c>
      <c r="G93">
        <v>3.1555694000000002E-2</v>
      </c>
      <c r="H93">
        <v>4</v>
      </c>
      <c r="I93">
        <v>68.642399999999995</v>
      </c>
      <c r="K93">
        <v>2.5359534780000001</v>
      </c>
      <c r="L93">
        <v>7685.9481320000004</v>
      </c>
      <c r="M93">
        <v>1759540</v>
      </c>
      <c r="N93">
        <v>26.335100000000001</v>
      </c>
      <c r="O93">
        <v>17.228331000000001</v>
      </c>
      <c r="P93" s="4">
        <f>VLOOKUP(A93, imports_filtered!$A$2:$C$1000, 2, 0)</f>
        <v>-228.66015864436676</v>
      </c>
    </row>
    <row r="94" spans="1:16">
      <c r="A94" t="s">
        <v>114</v>
      </c>
      <c r="B94">
        <v>2019</v>
      </c>
      <c r="C94">
        <v>24873.116999999998</v>
      </c>
      <c r="D94">
        <v>11729.999540000001</v>
      </c>
      <c r="E94">
        <v>0.67</v>
      </c>
      <c r="F94">
        <v>2.4700000000000002</v>
      </c>
      <c r="G94">
        <v>78.662414999999996</v>
      </c>
      <c r="H94">
        <v>43</v>
      </c>
      <c r="I94">
        <v>100</v>
      </c>
      <c r="J94">
        <v>9.6979659999999992</v>
      </c>
      <c r="K94">
        <v>4.5737717370000004</v>
      </c>
      <c r="L94">
        <v>19575.768479999999</v>
      </c>
      <c r="M94">
        <v>65300</v>
      </c>
      <c r="N94">
        <v>55.169438</v>
      </c>
      <c r="O94">
        <v>23.881274999999999</v>
      </c>
      <c r="P94" s="4">
        <f>VLOOKUP(A94, imports_filtered!$A$2:$C$1000, 2, 0)</f>
        <v>79.092857523903533</v>
      </c>
    </row>
    <row r="95" spans="1:16">
      <c r="A95" t="s">
        <v>115</v>
      </c>
      <c r="B95">
        <v>2019</v>
      </c>
      <c r="C95">
        <v>76273.7</v>
      </c>
      <c r="D95">
        <v>9489.9997710000007</v>
      </c>
      <c r="E95">
        <v>0.27</v>
      </c>
      <c r="F95">
        <v>0.8</v>
      </c>
      <c r="G95">
        <v>74.766350000000003</v>
      </c>
      <c r="H95">
        <v>242</v>
      </c>
      <c r="I95">
        <v>100</v>
      </c>
      <c r="J95">
        <v>4.7653426999999997</v>
      </c>
      <c r="K95">
        <v>3.2838067560000002</v>
      </c>
      <c r="L95">
        <v>113218.7133</v>
      </c>
      <c r="M95">
        <v>2586</v>
      </c>
      <c r="N95">
        <v>49.815272999999998</v>
      </c>
      <c r="O95">
        <v>6.1295830000000002</v>
      </c>
      <c r="P95" s="4">
        <f>VLOOKUP(A95, imports_filtered!$A$2:$C$1000, 2, 0)</f>
        <v>109.51477659908659</v>
      </c>
    </row>
    <row r="96" spans="1:16" hidden="1">
      <c r="A96" t="s">
        <v>116</v>
      </c>
      <c r="B96">
        <v>2019</v>
      </c>
      <c r="C96">
        <v>678.70403999999996</v>
      </c>
      <c r="D96">
        <v>4119.9998859999996</v>
      </c>
      <c r="E96">
        <v>1.1000000000000001</v>
      </c>
      <c r="F96">
        <v>0.91</v>
      </c>
      <c r="G96">
        <v>45.273631999999999</v>
      </c>
      <c r="H96">
        <v>48</v>
      </c>
      <c r="I96">
        <v>31.04</v>
      </c>
      <c r="K96">
        <v>4.4112321300000001</v>
      </c>
      <c r="L96">
        <v>522.98952429999997</v>
      </c>
      <c r="M96">
        <v>587041</v>
      </c>
      <c r="N96">
        <v>-18.766946999999998</v>
      </c>
      <c r="O96">
        <v>46.869107</v>
      </c>
      <c r="P96" s="4">
        <f>VLOOKUP(A96, imports_filtered!$A$2:$C$1000, 2, 0)</f>
        <v>0</v>
      </c>
    </row>
    <row r="97" spans="1:16" hidden="1">
      <c r="A97" t="s">
        <v>117</v>
      </c>
      <c r="B97">
        <v>2019</v>
      </c>
      <c r="C97">
        <v>537.81979999999999</v>
      </c>
      <c r="D97">
        <v>1450.0000480000001</v>
      </c>
      <c r="E97">
        <v>0.2</v>
      </c>
      <c r="F97">
        <v>1.5</v>
      </c>
      <c r="G97">
        <v>88.235290000000006</v>
      </c>
      <c r="H97">
        <v>203</v>
      </c>
      <c r="I97">
        <v>11.2</v>
      </c>
      <c r="K97">
        <v>5.4481813360000002</v>
      </c>
      <c r="L97">
        <v>591.84638959999995</v>
      </c>
      <c r="M97">
        <v>118484</v>
      </c>
      <c r="N97">
        <v>-13.254308</v>
      </c>
      <c r="O97">
        <v>34.301524999999998</v>
      </c>
      <c r="P97" s="4" t="e">
        <f>VLOOKUP(A97, imports_filtered!$A$2:$C$1000, 2, 0)</f>
        <v>#N/A</v>
      </c>
    </row>
    <row r="98" spans="1:16">
      <c r="A98" t="s">
        <v>118</v>
      </c>
      <c r="B98">
        <v>2019</v>
      </c>
      <c r="C98">
        <v>37823.5</v>
      </c>
      <c r="D98">
        <v>253270.0043</v>
      </c>
      <c r="E98">
        <v>149.69999999999999</v>
      </c>
      <c r="F98">
        <v>28.76</v>
      </c>
      <c r="G98">
        <v>16.115656000000001</v>
      </c>
      <c r="H98">
        <v>99</v>
      </c>
      <c r="I98">
        <v>100</v>
      </c>
      <c r="J98">
        <v>6.1784086</v>
      </c>
      <c r="K98">
        <v>4.439471288</v>
      </c>
      <c r="L98">
        <v>11432.823</v>
      </c>
      <c r="M98">
        <v>329847</v>
      </c>
      <c r="N98">
        <v>4.2104840000000001</v>
      </c>
      <c r="O98">
        <v>101.97576599999999</v>
      </c>
      <c r="P98" s="4">
        <f>VLOOKUP(A98, imports_filtered!$A$2:$C$1000, 2, 0)</f>
        <v>0.41944176997829941</v>
      </c>
    </row>
    <row r="99" spans="1:16" hidden="1">
      <c r="A99" t="s">
        <v>119</v>
      </c>
      <c r="B99">
        <v>2019</v>
      </c>
      <c r="C99">
        <v>18567.896000000001</v>
      </c>
      <c r="D99">
        <v>2109.9998949999999</v>
      </c>
      <c r="E99">
        <v>0.61</v>
      </c>
      <c r="F99">
        <v>0.03</v>
      </c>
      <c r="G99">
        <v>4.6875</v>
      </c>
      <c r="H99">
        <v>1802</v>
      </c>
      <c r="I99">
        <v>100</v>
      </c>
      <c r="K99">
        <v>6.8836888460000001</v>
      </c>
      <c r="L99">
        <v>10561.613509999999</v>
      </c>
      <c r="M99">
        <v>298</v>
      </c>
      <c r="N99">
        <v>3.2027779999999999</v>
      </c>
      <c r="O99">
        <v>73.220680000000002</v>
      </c>
      <c r="P99" s="4" t="e">
        <f>VLOOKUP(A99, imports_filtered!$A$2:$C$1000, 2, 0)</f>
        <v>#N/A</v>
      </c>
    </row>
    <row r="100" spans="1:16" hidden="1">
      <c r="A100" t="s">
        <v>120</v>
      </c>
      <c r="B100">
        <v>2019</v>
      </c>
      <c r="C100">
        <v>1231.7150999999999</v>
      </c>
      <c r="D100">
        <v>5829.9999239999997</v>
      </c>
      <c r="E100">
        <v>2.15</v>
      </c>
      <c r="F100">
        <v>1.17</v>
      </c>
      <c r="G100">
        <v>35.240963000000001</v>
      </c>
      <c r="H100">
        <v>17</v>
      </c>
      <c r="I100">
        <v>47.836277000000003</v>
      </c>
      <c r="K100">
        <v>4.7561608079999997</v>
      </c>
      <c r="L100">
        <v>879.0431873</v>
      </c>
      <c r="M100">
        <v>1240192</v>
      </c>
      <c r="N100">
        <v>17.570692000000001</v>
      </c>
      <c r="O100">
        <v>-3.9961660000000001</v>
      </c>
      <c r="P100" s="4" t="e">
        <f>VLOOKUP(A100, imports_filtered!$A$2:$C$1000, 2, 0)</f>
        <v>#N/A</v>
      </c>
    </row>
    <row r="101" spans="1:16" hidden="1">
      <c r="A101" t="s">
        <v>121</v>
      </c>
      <c r="B101">
        <v>2019</v>
      </c>
      <c r="C101">
        <v>80081.509999999995</v>
      </c>
      <c r="D101">
        <v>1659.999967</v>
      </c>
      <c r="E101">
        <v>1.86</v>
      </c>
      <c r="F101">
        <v>0.21</v>
      </c>
      <c r="G101">
        <v>10.144928</v>
      </c>
      <c r="H101">
        <v>1380</v>
      </c>
      <c r="I101">
        <v>100</v>
      </c>
      <c r="K101">
        <v>5.5395663370000001</v>
      </c>
      <c r="L101">
        <v>30186.195960000001</v>
      </c>
      <c r="M101">
        <v>316</v>
      </c>
      <c r="N101">
        <v>35.937496000000003</v>
      </c>
      <c r="O101">
        <v>14.375416</v>
      </c>
      <c r="P101" s="4">
        <f>VLOOKUP(A101, imports_filtered!$A$2:$C$1000, 2, 0)</f>
        <v>424.20782468493928</v>
      </c>
    </row>
    <row r="102" spans="1:16" hidden="1">
      <c r="A102" t="s">
        <v>122</v>
      </c>
      <c r="B102">
        <v>2019</v>
      </c>
      <c r="C102">
        <v>4149.2290000000003</v>
      </c>
      <c r="D102">
        <v>3950.0000479999999</v>
      </c>
      <c r="E102">
        <v>1.36</v>
      </c>
      <c r="F102">
        <v>0.46</v>
      </c>
      <c r="G102">
        <v>25.274725</v>
      </c>
      <c r="H102">
        <v>5</v>
      </c>
      <c r="I102">
        <v>45.830032000000003</v>
      </c>
      <c r="K102">
        <v>5.7599305899999997</v>
      </c>
      <c r="L102">
        <v>1743.302901</v>
      </c>
      <c r="M102">
        <v>1030700</v>
      </c>
      <c r="N102">
        <v>21.00789</v>
      </c>
      <c r="O102">
        <v>-10.940835</v>
      </c>
      <c r="P102" s="4" t="e">
        <f>VLOOKUP(A102, imports_filtered!$A$2:$C$1000, 2, 0)</f>
        <v>#N/A</v>
      </c>
    </row>
    <row r="103" spans="1:16" hidden="1">
      <c r="A103" t="s">
        <v>123</v>
      </c>
      <c r="B103">
        <v>2019</v>
      </c>
      <c r="C103">
        <v>22800.157999999999</v>
      </c>
      <c r="D103">
        <v>4170.0000760000003</v>
      </c>
      <c r="E103">
        <v>2.5</v>
      </c>
      <c r="F103">
        <v>0.59</v>
      </c>
      <c r="G103">
        <v>19.093851000000001</v>
      </c>
      <c r="H103">
        <v>626</v>
      </c>
      <c r="I103">
        <v>100</v>
      </c>
      <c r="K103">
        <v>3.0123759030000001</v>
      </c>
      <c r="L103">
        <v>11097.16898</v>
      </c>
      <c r="M103">
        <v>2040</v>
      </c>
      <c r="N103">
        <v>-20.348403999999999</v>
      </c>
      <c r="O103">
        <v>57.552152</v>
      </c>
      <c r="P103" s="4" t="e">
        <f>VLOOKUP(A103, imports_filtered!$A$2:$C$1000, 2, 0)</f>
        <v>#N/A</v>
      </c>
    </row>
    <row r="104" spans="1:16">
      <c r="A104" t="s">
        <v>124</v>
      </c>
      <c r="B104">
        <v>2019</v>
      </c>
      <c r="C104">
        <v>17903.294999999998</v>
      </c>
      <c r="D104">
        <v>449269.989</v>
      </c>
      <c r="E104">
        <v>248.2</v>
      </c>
      <c r="F104">
        <v>59</v>
      </c>
      <c r="G104">
        <v>21.969315000000002</v>
      </c>
      <c r="H104">
        <v>66</v>
      </c>
      <c r="I104">
        <v>99.6</v>
      </c>
      <c r="J104">
        <v>7.0507707999999996</v>
      </c>
      <c r="K104">
        <v>-0.17659945599999999</v>
      </c>
      <c r="L104">
        <v>9950.4500800000005</v>
      </c>
      <c r="M104">
        <v>1964375</v>
      </c>
      <c r="N104">
        <v>23.634501</v>
      </c>
      <c r="O104">
        <v>-102.552784</v>
      </c>
      <c r="P104" s="4">
        <f>VLOOKUP(A104, imports_filtered!$A$2:$C$1000, 2, 0)</f>
        <v>18.299439714700004</v>
      </c>
    </row>
    <row r="105" spans="1:16" hidden="1">
      <c r="A105" t="s">
        <v>125</v>
      </c>
      <c r="B105">
        <v>2019</v>
      </c>
      <c r="C105">
        <v>24279.39</v>
      </c>
      <c r="D105">
        <v>23069.999690000001</v>
      </c>
      <c r="E105">
        <v>5.88</v>
      </c>
      <c r="F105">
        <v>0.65</v>
      </c>
      <c r="G105">
        <v>9.9540579999999999</v>
      </c>
      <c r="H105">
        <v>2</v>
      </c>
      <c r="I105">
        <v>97.229910000000004</v>
      </c>
      <c r="K105">
        <v>5.6022442190000001</v>
      </c>
      <c r="L105">
        <v>4404.8458300000002</v>
      </c>
      <c r="M105">
        <v>1564116</v>
      </c>
      <c r="N105">
        <v>46.862496</v>
      </c>
      <c r="O105">
        <v>103.846656</v>
      </c>
      <c r="P105" s="4">
        <f>VLOOKUP(A105, imports_filtered!$A$2:$C$1000, 2, 0)</f>
        <v>-269.08596406725928</v>
      </c>
    </row>
    <row r="106" spans="1:16" hidden="1">
      <c r="A106" t="s">
        <v>126</v>
      </c>
      <c r="B106">
        <v>2019</v>
      </c>
      <c r="C106">
        <v>20460.55</v>
      </c>
      <c r="D106">
        <v>2599.9999050000001</v>
      </c>
      <c r="E106">
        <v>1.5</v>
      </c>
      <c r="F106">
        <v>1.93</v>
      </c>
      <c r="G106">
        <v>56.268219999999999</v>
      </c>
      <c r="H106">
        <v>47</v>
      </c>
      <c r="I106">
        <v>100</v>
      </c>
      <c r="K106">
        <v>4.0629449920000003</v>
      </c>
      <c r="L106">
        <v>8910.650834</v>
      </c>
      <c r="M106">
        <v>13812</v>
      </c>
      <c r="N106">
        <v>42.708677999999999</v>
      </c>
      <c r="O106">
        <v>19.374389999999998</v>
      </c>
      <c r="P106" s="4" t="e">
        <f>VLOOKUP(A106, imports_filtered!$A$2:$C$1000, 2, 0)</f>
        <v>#N/A</v>
      </c>
    </row>
    <row r="107" spans="1:16">
      <c r="A107" t="s">
        <v>127</v>
      </c>
      <c r="B107">
        <v>2019</v>
      </c>
      <c r="C107">
        <v>7267.4639999999999</v>
      </c>
      <c r="D107">
        <v>71480.003360000002</v>
      </c>
      <c r="E107">
        <v>32.380000000000003</v>
      </c>
      <c r="F107">
        <v>7.6</v>
      </c>
      <c r="G107">
        <v>19.009504</v>
      </c>
      <c r="H107">
        <v>83</v>
      </c>
      <c r="I107">
        <v>99.6</v>
      </c>
      <c r="J107">
        <v>7.5470470000000001</v>
      </c>
      <c r="K107">
        <v>2.607935495</v>
      </c>
      <c r="L107">
        <v>3235.0006600000002</v>
      </c>
      <c r="M107">
        <v>446550</v>
      </c>
      <c r="N107">
        <v>31.791702000000001</v>
      </c>
      <c r="O107">
        <v>-7.0926200000000001</v>
      </c>
      <c r="P107" s="4">
        <f>VLOOKUP(A107, imports_filtered!$A$2:$C$1000, 2, 0)</f>
        <v>92.42728367577827</v>
      </c>
    </row>
    <row r="108" spans="1:16" hidden="1">
      <c r="A108" t="s">
        <v>128</v>
      </c>
      <c r="B108">
        <v>2019</v>
      </c>
      <c r="C108">
        <v>2446.9106000000002</v>
      </c>
      <c r="D108">
        <v>7500</v>
      </c>
      <c r="E108">
        <v>3.65</v>
      </c>
      <c r="F108">
        <v>15.06</v>
      </c>
      <c r="G108">
        <v>80.491720000000001</v>
      </c>
      <c r="H108">
        <v>40</v>
      </c>
      <c r="I108">
        <v>29.67445</v>
      </c>
      <c r="K108">
        <v>2.3146060099999999</v>
      </c>
      <c r="L108">
        <v>506.64163910000002</v>
      </c>
      <c r="M108">
        <v>799380</v>
      </c>
      <c r="N108">
        <v>-18.665694999999999</v>
      </c>
      <c r="O108">
        <v>35.529561999999999</v>
      </c>
      <c r="P108" s="4">
        <f>VLOOKUP(A108, imports_filtered!$A$2:$C$1000, 2, 0)</f>
        <v>-82.456795142661051</v>
      </c>
    </row>
    <row r="109" spans="1:16" hidden="1">
      <c r="A109" t="s">
        <v>129</v>
      </c>
      <c r="B109">
        <v>2019</v>
      </c>
      <c r="C109">
        <v>3197.22</v>
      </c>
      <c r="D109">
        <v>36720.001219999998</v>
      </c>
      <c r="E109">
        <v>12.78</v>
      </c>
      <c r="F109">
        <v>10.95</v>
      </c>
      <c r="G109">
        <v>46.144123</v>
      </c>
      <c r="H109">
        <v>83</v>
      </c>
      <c r="I109">
        <v>68.358530000000002</v>
      </c>
      <c r="K109">
        <v>6.750460146</v>
      </c>
      <c r="L109">
        <v>1271.1115749999999</v>
      </c>
      <c r="M109">
        <v>676578</v>
      </c>
      <c r="N109">
        <v>21.916221</v>
      </c>
      <c r="O109">
        <v>95.955973999999998</v>
      </c>
      <c r="P109" s="4">
        <f>VLOOKUP(A109, imports_filtered!$A$2:$C$1000, 2, 0)</f>
        <v>-23.663232736540326</v>
      </c>
    </row>
    <row r="110" spans="1:16" hidden="1">
      <c r="A110" t="s">
        <v>130</v>
      </c>
      <c r="B110">
        <v>2019</v>
      </c>
      <c r="C110">
        <v>9254.4429999999993</v>
      </c>
      <c r="D110">
        <v>4219.9997899999998</v>
      </c>
      <c r="E110">
        <v>0.04</v>
      </c>
      <c r="F110">
        <v>1.32</v>
      </c>
      <c r="G110">
        <v>97.058819999999997</v>
      </c>
      <c r="H110">
        <v>3</v>
      </c>
      <c r="I110">
        <v>55.17709</v>
      </c>
      <c r="K110">
        <v>-0.88809916</v>
      </c>
      <c r="L110">
        <v>5009.6859039999999</v>
      </c>
      <c r="M110">
        <v>824292</v>
      </c>
      <c r="N110">
        <v>-22.957640000000001</v>
      </c>
      <c r="O110">
        <v>18.490410000000001</v>
      </c>
      <c r="P110" s="4">
        <f>VLOOKUP(A110, imports_filtered!$A$2:$C$1000, 2, 0)</f>
        <v>71.534119417962756</v>
      </c>
    </row>
    <row r="111" spans="1:16" hidden="1">
      <c r="A111" t="s">
        <v>131</v>
      </c>
      <c r="B111">
        <v>2019</v>
      </c>
      <c r="C111">
        <v>22405.49</v>
      </c>
      <c r="D111">
        <v>59.999998660000003</v>
      </c>
      <c r="E111">
        <v>0.03</v>
      </c>
      <c r="F111">
        <v>0</v>
      </c>
      <c r="G111">
        <v>0</v>
      </c>
      <c r="H111">
        <v>541</v>
      </c>
      <c r="I111">
        <v>100</v>
      </c>
      <c r="K111">
        <v>0</v>
      </c>
      <c r="L111">
        <v>11029.73558</v>
      </c>
      <c r="M111">
        <v>21</v>
      </c>
      <c r="N111">
        <v>-0.52277799999999996</v>
      </c>
      <c r="O111">
        <v>166.93150299999999</v>
      </c>
      <c r="P111" s="4" t="e">
        <f>VLOOKUP(A111, imports_filtered!$A$2:$C$1000, 2, 0)</f>
        <v>#N/A</v>
      </c>
    </row>
    <row r="112" spans="1:16" hidden="1">
      <c r="A112" t="s">
        <v>132</v>
      </c>
      <c r="B112">
        <v>2019</v>
      </c>
      <c r="C112">
        <v>1700.5831000000001</v>
      </c>
      <c r="D112">
        <v>13449.999809999999</v>
      </c>
      <c r="E112">
        <v>0</v>
      </c>
      <c r="F112">
        <v>6.26</v>
      </c>
      <c r="G112">
        <v>100</v>
      </c>
      <c r="H112">
        <v>203</v>
      </c>
      <c r="I112">
        <v>89.9</v>
      </c>
      <c r="K112">
        <v>6.6570554279999996</v>
      </c>
      <c r="L112">
        <v>1194.956876</v>
      </c>
      <c r="M112">
        <v>147181</v>
      </c>
      <c r="N112">
        <v>28.394856999999998</v>
      </c>
      <c r="O112">
        <v>84.124008000000003</v>
      </c>
      <c r="P112" s="4">
        <f>VLOOKUP(A112, imports_filtered!$A$2:$C$1000, 2, 0)</f>
        <v>26.828448648121565</v>
      </c>
    </row>
    <row r="113" spans="1:16">
      <c r="A113" t="s">
        <v>133</v>
      </c>
      <c r="B113">
        <v>2019</v>
      </c>
      <c r="C113">
        <v>58836.934000000001</v>
      </c>
      <c r="D113">
        <v>146339.9963</v>
      </c>
      <c r="E113">
        <v>94.09</v>
      </c>
      <c r="F113">
        <v>22.79</v>
      </c>
      <c r="G113">
        <v>22.104479000000001</v>
      </c>
      <c r="H113">
        <v>508</v>
      </c>
      <c r="I113">
        <v>100</v>
      </c>
      <c r="J113">
        <v>7.3029875999999998</v>
      </c>
      <c r="K113">
        <v>1.9555884160000001</v>
      </c>
      <c r="L113">
        <v>52476.273249999998</v>
      </c>
      <c r="M113">
        <v>41543</v>
      </c>
      <c r="N113">
        <v>52.132632999999998</v>
      </c>
      <c r="O113">
        <v>5.2912660000000002</v>
      </c>
      <c r="P113" s="4">
        <f>VLOOKUP(A113, imports_filtered!$A$2:$C$1000, 2, 0)</f>
        <v>78.254490110402074</v>
      </c>
    </row>
    <row r="114" spans="1:16" hidden="1">
      <c r="A114" t="s">
        <v>134</v>
      </c>
      <c r="B114">
        <v>2019</v>
      </c>
      <c r="C114">
        <v>79064.88</v>
      </c>
      <c r="E114">
        <v>2.6</v>
      </c>
      <c r="F114">
        <v>0.54</v>
      </c>
      <c r="G114">
        <v>17.197452999999999</v>
      </c>
      <c r="H114">
        <v>16</v>
      </c>
      <c r="I114">
        <v>100</v>
      </c>
      <c r="L114">
        <v>34788.529280000002</v>
      </c>
      <c r="M114">
        <v>19060</v>
      </c>
      <c r="N114">
        <v>-20.904305000000001</v>
      </c>
      <c r="O114">
        <v>165.618042</v>
      </c>
      <c r="P114" s="4" t="e">
        <f>VLOOKUP(A114, imports_filtered!$A$2:$C$1000, 2, 0)</f>
        <v>#N/A</v>
      </c>
    </row>
    <row r="115" spans="1:16">
      <c r="A115" t="s">
        <v>135</v>
      </c>
      <c r="B115">
        <v>2019</v>
      </c>
      <c r="C115">
        <v>53259.336000000003</v>
      </c>
      <c r="D115">
        <v>34009.998319999999</v>
      </c>
      <c r="E115">
        <v>7.84</v>
      </c>
      <c r="F115">
        <v>35.97</v>
      </c>
      <c r="G115">
        <v>82.10454</v>
      </c>
      <c r="H115">
        <v>18</v>
      </c>
      <c r="I115">
        <v>100</v>
      </c>
      <c r="J115">
        <v>36.76238</v>
      </c>
      <c r="K115">
        <v>1.633932613</v>
      </c>
      <c r="L115">
        <v>42755.216260000001</v>
      </c>
      <c r="M115">
        <v>268838</v>
      </c>
      <c r="N115">
        <v>-40.900556999999999</v>
      </c>
      <c r="O115">
        <v>174.88597100000001</v>
      </c>
      <c r="P115" s="4">
        <f>VLOOKUP(A115, imports_filtered!$A$2:$C$1000, 2, 0)</f>
        <v>31.844273155669246</v>
      </c>
    </row>
    <row r="116" spans="1:16" hidden="1">
      <c r="A116" t="s">
        <v>136</v>
      </c>
      <c r="B116">
        <v>2019</v>
      </c>
      <c r="C116">
        <v>4225.4364999999998</v>
      </c>
      <c r="D116">
        <v>5239.9997709999998</v>
      </c>
      <c r="E116">
        <v>2.17</v>
      </c>
      <c r="F116">
        <v>2.31</v>
      </c>
      <c r="G116">
        <v>51.5625</v>
      </c>
      <c r="H116">
        <v>55</v>
      </c>
      <c r="I116">
        <v>88.058329999999998</v>
      </c>
      <c r="K116">
        <v>-3.6747945780000002</v>
      </c>
      <c r="L116">
        <v>1926.6996939999999</v>
      </c>
      <c r="M116">
        <v>130370</v>
      </c>
      <c r="N116">
        <v>12.865416</v>
      </c>
      <c r="O116">
        <v>-85.207228999999998</v>
      </c>
      <c r="P116" s="4">
        <f>VLOOKUP(A116, imports_filtered!$A$2:$C$1000, 2, 0)</f>
        <v>44.588333064289621</v>
      </c>
    </row>
    <row r="117" spans="1:16" hidden="1">
      <c r="A117" t="s">
        <v>137</v>
      </c>
      <c r="B117">
        <v>2019</v>
      </c>
      <c r="C117">
        <v>468.48480000000001</v>
      </c>
      <c r="D117">
        <v>2150.0000949999999</v>
      </c>
      <c r="E117">
        <v>0.56000000000000005</v>
      </c>
      <c r="F117">
        <v>0.05</v>
      </c>
      <c r="G117">
        <v>8.1967210000000001</v>
      </c>
      <c r="H117">
        <v>19</v>
      </c>
      <c r="I117">
        <v>18.974571000000001</v>
      </c>
      <c r="K117">
        <v>5.9413968629999996</v>
      </c>
      <c r="L117">
        <v>554.09938929999998</v>
      </c>
      <c r="M117">
        <v>1267000</v>
      </c>
      <c r="N117">
        <v>17.607789</v>
      </c>
      <c r="O117">
        <v>8.0816660000000002</v>
      </c>
      <c r="P117" s="4">
        <f>VLOOKUP(A117, imports_filtered!$A$2:$C$1000, 2, 0)</f>
        <v>-2.6244967079606143</v>
      </c>
    </row>
    <row r="118" spans="1:16" hidden="1">
      <c r="A118" t="s">
        <v>138</v>
      </c>
      <c r="B118">
        <v>2019</v>
      </c>
      <c r="C118">
        <v>2482.8317999999999</v>
      </c>
      <c r="D118">
        <v>115279.9988</v>
      </c>
      <c r="E118">
        <v>23.16</v>
      </c>
      <c r="F118">
        <v>8.49</v>
      </c>
      <c r="G118">
        <v>26.824643999999999</v>
      </c>
      <c r="H118">
        <v>226</v>
      </c>
      <c r="I118">
        <v>55.4</v>
      </c>
      <c r="K118">
        <v>2.208429277</v>
      </c>
      <c r="L118">
        <v>2229.8586519999999</v>
      </c>
      <c r="M118">
        <v>923768</v>
      </c>
      <c r="N118">
        <v>9.0819989999999997</v>
      </c>
      <c r="O118">
        <v>8.6752769999999995</v>
      </c>
      <c r="P118" s="4">
        <f>VLOOKUP(A118, imports_filtered!$A$2:$C$1000, 2, 0)</f>
        <v>-145.3426255202863</v>
      </c>
    </row>
    <row r="119" spans="1:16">
      <c r="A119" t="s">
        <v>139</v>
      </c>
      <c r="B119">
        <v>2019</v>
      </c>
      <c r="C119">
        <v>14689.626</v>
      </c>
      <c r="D119">
        <v>8300.0001909999992</v>
      </c>
      <c r="E119">
        <v>4.53</v>
      </c>
      <c r="F119">
        <v>1.34</v>
      </c>
      <c r="G119">
        <v>22.827940000000002</v>
      </c>
      <c r="H119">
        <v>83</v>
      </c>
      <c r="I119">
        <v>100</v>
      </c>
      <c r="J119">
        <v>11.504865000000001</v>
      </c>
      <c r="K119">
        <v>3.9104195380000002</v>
      </c>
      <c r="L119">
        <v>6070.388054</v>
      </c>
      <c r="M119">
        <v>25713</v>
      </c>
      <c r="N119">
        <v>41.608635</v>
      </c>
      <c r="O119">
        <v>21.745274999999999</v>
      </c>
      <c r="P119" s="4">
        <f>VLOOKUP(A119, imports_filtered!$A$2:$C$1000, 2, 0)</f>
        <v>58.955710403102287</v>
      </c>
    </row>
    <row r="120" spans="1:16">
      <c r="A120" t="s">
        <v>140</v>
      </c>
      <c r="B120">
        <v>2019</v>
      </c>
      <c r="C120">
        <v>96392.5</v>
      </c>
      <c r="D120">
        <v>35950.000760000003</v>
      </c>
      <c r="E120">
        <v>2.76</v>
      </c>
      <c r="F120">
        <v>131.07</v>
      </c>
      <c r="G120">
        <v>97.937690000000003</v>
      </c>
      <c r="H120">
        <v>15</v>
      </c>
      <c r="I120">
        <v>100</v>
      </c>
      <c r="J120">
        <v>67.085089999999994</v>
      </c>
      <c r="K120">
        <v>0.74579821899999998</v>
      </c>
      <c r="L120">
        <v>75719.752900000007</v>
      </c>
      <c r="M120">
        <v>323802</v>
      </c>
      <c r="N120">
        <v>60.472023999999998</v>
      </c>
      <c r="O120">
        <v>8.4689460000000008</v>
      </c>
      <c r="P120" s="4">
        <f>VLOOKUP(A120, imports_filtered!$A$2:$C$1000, 2, 0)</f>
        <v>-596.95878837444548</v>
      </c>
    </row>
    <row r="121" spans="1:16">
      <c r="A121" t="s">
        <v>141</v>
      </c>
      <c r="B121">
        <v>2019</v>
      </c>
      <c r="C121">
        <v>81070.86</v>
      </c>
      <c r="D121">
        <v>76029.998779999994</v>
      </c>
      <c r="E121">
        <v>36.03</v>
      </c>
      <c r="F121">
        <v>0.02</v>
      </c>
      <c r="G121">
        <v>5.5478501999999999E-2</v>
      </c>
      <c r="H121">
        <v>16</v>
      </c>
      <c r="I121">
        <v>100</v>
      </c>
      <c r="J121">
        <v>1.7586905999999999E-2</v>
      </c>
      <c r="K121">
        <v>-1.129206457</v>
      </c>
      <c r="L121">
        <v>17700.70349</v>
      </c>
      <c r="M121">
        <v>309500</v>
      </c>
      <c r="N121">
        <v>21.473532899999999</v>
      </c>
      <c r="O121">
        <v>55.975413000000003</v>
      </c>
      <c r="P121" s="4">
        <f>VLOOKUP(A121, imports_filtered!$A$2:$C$1000, 2, 0)</f>
        <v>-240.70024022854827</v>
      </c>
    </row>
    <row r="122" spans="1:16">
      <c r="A122" t="s">
        <v>142</v>
      </c>
      <c r="B122">
        <v>2019</v>
      </c>
      <c r="C122">
        <v>4400.1157000000003</v>
      </c>
      <c r="D122">
        <v>190570.0073</v>
      </c>
      <c r="E122">
        <v>86.44</v>
      </c>
      <c r="F122">
        <v>40.520000000000003</v>
      </c>
      <c r="G122">
        <v>36.455193000000001</v>
      </c>
      <c r="H122">
        <v>287</v>
      </c>
      <c r="I122">
        <v>74.127690000000001</v>
      </c>
      <c r="J122">
        <v>11.015738000000001</v>
      </c>
      <c r="K122">
        <v>1.1447496049999999</v>
      </c>
      <c r="L122">
        <v>1288.556325</v>
      </c>
      <c r="M122">
        <v>796095</v>
      </c>
      <c r="N122">
        <v>30.375321</v>
      </c>
      <c r="O122">
        <v>69.345116000000004</v>
      </c>
      <c r="P122" s="4">
        <f>VLOOKUP(A122, imports_filtered!$A$2:$C$1000, 2, 0)</f>
        <v>33.516243302154521</v>
      </c>
    </row>
    <row r="123" spans="1:16" hidden="1">
      <c r="A123" t="s">
        <v>143</v>
      </c>
      <c r="B123">
        <v>2019</v>
      </c>
      <c r="C123">
        <v>27875.5</v>
      </c>
      <c r="D123">
        <v>13340.00015</v>
      </c>
      <c r="E123">
        <v>4.1500000000000004</v>
      </c>
      <c r="F123">
        <v>6.24</v>
      </c>
      <c r="G123">
        <v>60.057746999999999</v>
      </c>
      <c r="H123">
        <v>58</v>
      </c>
      <c r="I123">
        <v>95.816329999999994</v>
      </c>
      <c r="K123">
        <v>2.9797154610000001</v>
      </c>
      <c r="L123">
        <v>15774.254940000001</v>
      </c>
      <c r="M123">
        <v>75420</v>
      </c>
      <c r="N123">
        <v>8.5379810000000003</v>
      </c>
      <c r="O123">
        <v>-80.782127000000003</v>
      </c>
      <c r="P123" s="4">
        <f>VLOOKUP(A123, imports_filtered!$A$2:$C$1000, 2, 0)</f>
        <v>203.13480688173286</v>
      </c>
    </row>
    <row r="124" spans="1:16" hidden="1">
      <c r="A124" t="s">
        <v>144</v>
      </c>
      <c r="B124">
        <v>2019</v>
      </c>
      <c r="C124">
        <v>3159.5165999999999</v>
      </c>
      <c r="D124">
        <v>7579.9999239999997</v>
      </c>
      <c r="E124">
        <v>3.16</v>
      </c>
      <c r="F124">
        <v>1.28</v>
      </c>
      <c r="G124">
        <v>28.828828999999999</v>
      </c>
      <c r="H124">
        <v>20</v>
      </c>
      <c r="I124">
        <v>59.662975000000003</v>
      </c>
      <c r="K124">
        <v>4.4804306079999998</v>
      </c>
      <c r="L124">
        <v>2820.3063969999998</v>
      </c>
      <c r="M124">
        <v>462840</v>
      </c>
      <c r="N124">
        <v>-6.3149930000000003</v>
      </c>
      <c r="O124">
        <v>143.95554999999999</v>
      </c>
      <c r="P124" s="4" t="e">
        <f>VLOOKUP(A124, imports_filtered!$A$2:$C$1000, 2, 0)</f>
        <v>#N/A</v>
      </c>
    </row>
    <row r="125" spans="1:16" hidden="1">
      <c r="A125" t="s">
        <v>145</v>
      </c>
      <c r="B125">
        <v>2019</v>
      </c>
      <c r="C125">
        <v>19903.919999999998</v>
      </c>
      <c r="D125">
        <v>8210.0000380000001</v>
      </c>
      <c r="E125">
        <v>7.0000000000000007E-2</v>
      </c>
      <c r="F125">
        <v>48.99</v>
      </c>
      <c r="G125">
        <v>99.857315</v>
      </c>
      <c r="H125">
        <v>18</v>
      </c>
      <c r="I125">
        <v>99.7</v>
      </c>
      <c r="K125">
        <v>-0.40185510099999999</v>
      </c>
      <c r="L125">
        <v>5380.9633219999996</v>
      </c>
      <c r="M125">
        <v>406752</v>
      </c>
      <c r="N125">
        <v>-23.442502999999999</v>
      </c>
      <c r="O125">
        <v>-58.443832</v>
      </c>
      <c r="P125" s="4">
        <f>VLOOKUP(A125, imports_filtered!$A$2:$C$1000, 2, 0)</f>
        <v>-1.476952053772485</v>
      </c>
    </row>
    <row r="126" spans="1:16">
      <c r="A126" t="s">
        <v>146</v>
      </c>
      <c r="B126">
        <v>2019</v>
      </c>
      <c r="C126">
        <v>9949.6319999999996</v>
      </c>
      <c r="D126">
        <v>56750</v>
      </c>
      <c r="E126">
        <v>22.16</v>
      </c>
      <c r="F126">
        <v>34.409999999999997</v>
      </c>
      <c r="G126">
        <v>60.827292999999997</v>
      </c>
      <c r="H126">
        <v>26</v>
      </c>
      <c r="I126">
        <v>95.551360000000003</v>
      </c>
      <c r="J126">
        <v>26.621335999999999</v>
      </c>
      <c r="K126">
        <v>2.2039747489999999</v>
      </c>
      <c r="L126">
        <v>7027.6122070000001</v>
      </c>
      <c r="M126">
        <v>1285216</v>
      </c>
      <c r="N126">
        <v>-9.1899669999999993</v>
      </c>
      <c r="O126">
        <v>-75.015152</v>
      </c>
      <c r="P126" s="4">
        <f>VLOOKUP(A126, imports_filtered!$A$2:$C$1000, 2, 0)</f>
        <v>4.6886379350081144</v>
      </c>
    </row>
    <row r="127" spans="1:16">
      <c r="A127" t="s">
        <v>147</v>
      </c>
      <c r="B127">
        <v>2019</v>
      </c>
      <c r="C127">
        <v>5104.3909999999996</v>
      </c>
      <c r="D127">
        <v>145419.9982</v>
      </c>
      <c r="E127">
        <v>83.3</v>
      </c>
      <c r="F127">
        <v>22.78</v>
      </c>
      <c r="G127">
        <v>21.474360000000001</v>
      </c>
      <c r="H127">
        <v>368</v>
      </c>
      <c r="I127">
        <v>95.645079999999993</v>
      </c>
      <c r="J127">
        <v>10.227247999999999</v>
      </c>
      <c r="K127">
        <v>6.1185256629999998</v>
      </c>
      <c r="L127">
        <v>3485.3408439999998</v>
      </c>
      <c r="M127">
        <v>300000</v>
      </c>
      <c r="N127">
        <v>12.879721</v>
      </c>
      <c r="O127">
        <v>121.774017</v>
      </c>
      <c r="P127" s="4">
        <f>VLOOKUP(A127, imports_filtered!$A$2:$C$1000, 2, 0)</f>
        <v>48.61614489163567</v>
      </c>
    </row>
    <row r="128" spans="1:16">
      <c r="A128" t="s">
        <v>148</v>
      </c>
      <c r="B128">
        <v>2019</v>
      </c>
      <c r="C128">
        <v>30777.798999999999</v>
      </c>
      <c r="D128">
        <v>295130.0049</v>
      </c>
      <c r="E128">
        <v>137.58000000000001</v>
      </c>
      <c r="F128">
        <v>25.46</v>
      </c>
      <c r="G128">
        <v>15.615800999999999</v>
      </c>
      <c r="H128">
        <v>124</v>
      </c>
      <c r="I128">
        <v>100</v>
      </c>
      <c r="J128">
        <v>6.989287</v>
      </c>
      <c r="K128">
        <v>4.7449501559999998</v>
      </c>
      <c r="L128">
        <v>15732.20313</v>
      </c>
      <c r="M128">
        <v>312685</v>
      </c>
      <c r="N128">
        <v>51.919438</v>
      </c>
      <c r="O128">
        <v>19.145136000000001</v>
      </c>
      <c r="P128" s="4">
        <f>VLOOKUP(A128, imports_filtered!$A$2:$C$1000, 2, 0)</f>
        <v>45.881670996217302</v>
      </c>
    </row>
    <row r="129" spans="1:16">
      <c r="A129" t="s">
        <v>149</v>
      </c>
      <c r="B129">
        <v>2019</v>
      </c>
      <c r="C129">
        <v>28468.560000000001</v>
      </c>
      <c r="D129">
        <v>44639.999389999997</v>
      </c>
      <c r="E129">
        <v>24.32</v>
      </c>
      <c r="F129">
        <v>27.41</v>
      </c>
      <c r="G129">
        <v>52.986663999999998</v>
      </c>
      <c r="H129">
        <v>111</v>
      </c>
      <c r="I129">
        <v>100</v>
      </c>
      <c r="J129">
        <v>26.401812</v>
      </c>
      <c r="K129">
        <v>2.6827599210000002</v>
      </c>
      <c r="L129">
        <v>23330.817289999999</v>
      </c>
      <c r="M129">
        <v>92212</v>
      </c>
      <c r="N129">
        <v>39.399872000000002</v>
      </c>
      <c r="O129">
        <v>-8.2244539999999997</v>
      </c>
      <c r="P129" s="4">
        <f>VLOOKUP(A129, imports_filtered!$A$2:$C$1000, 2, 0)</f>
        <v>84.356547159682876</v>
      </c>
    </row>
    <row r="130" spans="1:16" hidden="1">
      <c r="A130" t="s">
        <v>150</v>
      </c>
      <c r="B130">
        <v>2019</v>
      </c>
      <c r="C130">
        <v>24532.93</v>
      </c>
      <c r="E130">
        <v>16.8</v>
      </c>
      <c r="F130">
        <v>0.46</v>
      </c>
      <c r="G130">
        <v>2.6651216</v>
      </c>
      <c r="H130">
        <v>368</v>
      </c>
      <c r="I130">
        <v>100</v>
      </c>
      <c r="K130">
        <v>1.484814635</v>
      </c>
      <c r="L130">
        <v>32850.548609999998</v>
      </c>
      <c r="M130">
        <v>9104</v>
      </c>
      <c r="N130">
        <v>18.25</v>
      </c>
      <c r="O130">
        <v>-66.5</v>
      </c>
      <c r="P130" s="4" t="e">
        <f>VLOOKUP(A130, imports_filtered!$A$2:$C$1000, 2, 0)</f>
        <v>#N/A</v>
      </c>
    </row>
    <row r="131" spans="1:16">
      <c r="A131" t="s">
        <v>151</v>
      </c>
      <c r="B131">
        <v>2019</v>
      </c>
      <c r="C131">
        <v>208021.3</v>
      </c>
      <c r="D131">
        <v>91970.001220000006</v>
      </c>
      <c r="E131">
        <v>46.98</v>
      </c>
      <c r="F131">
        <v>0.03</v>
      </c>
      <c r="G131">
        <v>6.3816209999999998E-2</v>
      </c>
      <c r="H131">
        <v>248</v>
      </c>
      <c r="I131">
        <v>100</v>
      </c>
      <c r="J131">
        <v>6.641917E-2</v>
      </c>
      <c r="K131">
        <v>0.68824096000000001</v>
      </c>
      <c r="L131">
        <v>62276.428690000001</v>
      </c>
      <c r="M131">
        <v>11586</v>
      </c>
      <c r="N131">
        <v>25.354825999999999</v>
      </c>
      <c r="O131">
        <v>51.183883999999999</v>
      </c>
      <c r="P131" s="4">
        <f>VLOOKUP(A131, imports_filtered!$A$2:$C$1000, 2, 0)</f>
        <v>-420.35295766299964</v>
      </c>
    </row>
    <row r="132" spans="1:16" hidden="1">
      <c r="A132" t="s">
        <v>152</v>
      </c>
      <c r="B132">
        <v>2019</v>
      </c>
      <c r="C132">
        <v>19839.046999999999</v>
      </c>
      <c r="D132">
        <v>73949.996950000001</v>
      </c>
      <c r="E132">
        <v>23.27</v>
      </c>
      <c r="F132">
        <v>24.63</v>
      </c>
      <c r="G132">
        <v>60.679282999999998</v>
      </c>
      <c r="H132">
        <v>84</v>
      </c>
      <c r="I132">
        <v>100</v>
      </c>
      <c r="J132">
        <v>16.837948000000001</v>
      </c>
      <c r="K132">
        <v>4.1882603410000003</v>
      </c>
      <c r="L132">
        <v>12899.34611</v>
      </c>
      <c r="M132">
        <v>238391</v>
      </c>
      <c r="N132">
        <v>45.943161000000003</v>
      </c>
      <c r="O132">
        <v>24.966760000000001</v>
      </c>
      <c r="P132" s="4" t="e">
        <f>VLOOKUP(A132, imports_filtered!$A$2:$C$1000, 2, 0)</f>
        <v>#N/A</v>
      </c>
    </row>
    <row r="133" spans="1:16" hidden="1">
      <c r="A133" t="s">
        <v>153</v>
      </c>
      <c r="B133">
        <v>2019</v>
      </c>
      <c r="C133">
        <v>525.5729</v>
      </c>
      <c r="D133">
        <v>1330.000043</v>
      </c>
      <c r="E133">
        <v>0.55000000000000004</v>
      </c>
      <c r="F133">
        <v>0.47</v>
      </c>
      <c r="G133">
        <v>46.078434000000001</v>
      </c>
      <c r="H133">
        <v>525</v>
      </c>
      <c r="I133">
        <v>40.368606999999997</v>
      </c>
      <c r="K133">
        <v>9.4606824819999993</v>
      </c>
      <c r="L133">
        <v>820.14928859999998</v>
      </c>
      <c r="M133">
        <v>26338</v>
      </c>
      <c r="N133">
        <v>-1.9402779999999999</v>
      </c>
      <c r="O133">
        <v>29.873888000000001</v>
      </c>
      <c r="P133" s="4">
        <f>VLOOKUP(A133, imports_filtered!$A$2:$C$1000, 2, 0)</f>
        <v>9.9944033851674128</v>
      </c>
    </row>
    <row r="134" spans="1:16" hidden="1">
      <c r="A134" t="s">
        <v>154</v>
      </c>
      <c r="B134">
        <v>2019</v>
      </c>
      <c r="C134">
        <v>23235.219000000001</v>
      </c>
      <c r="E134">
        <v>0.21</v>
      </c>
      <c r="F134">
        <v>0.01</v>
      </c>
      <c r="G134">
        <v>4.5454545</v>
      </c>
      <c r="H134">
        <v>205</v>
      </c>
      <c r="I134">
        <v>100</v>
      </c>
      <c r="M134">
        <v>261</v>
      </c>
      <c r="N134">
        <v>17.357821999999999</v>
      </c>
      <c r="O134">
        <v>-62.782997999999999</v>
      </c>
      <c r="P134" s="4" t="e">
        <f>VLOOKUP(A134, imports_filtered!$A$2:$C$1000, 2, 0)</f>
        <v>#N/A</v>
      </c>
    </row>
    <row r="135" spans="1:16" hidden="1">
      <c r="A135" t="s">
        <v>155</v>
      </c>
      <c r="B135">
        <v>2019</v>
      </c>
      <c r="C135">
        <v>15259.877</v>
      </c>
      <c r="E135">
        <v>0.35</v>
      </c>
      <c r="F135">
        <v>0</v>
      </c>
      <c r="G135">
        <v>0</v>
      </c>
      <c r="H135">
        <v>301</v>
      </c>
      <c r="I135">
        <v>99.502179999999996</v>
      </c>
      <c r="M135">
        <v>616</v>
      </c>
      <c r="N135">
        <v>13.909444000000001</v>
      </c>
      <c r="O135">
        <v>-60.978892999999999</v>
      </c>
      <c r="P135" s="4" t="e">
        <f>VLOOKUP(A135, imports_filtered!$A$2:$C$1000, 2, 0)</f>
        <v>#N/A</v>
      </c>
    </row>
    <row r="136" spans="1:16" hidden="1">
      <c r="A136" t="s">
        <v>156</v>
      </c>
      <c r="B136">
        <v>2019</v>
      </c>
      <c r="C136">
        <v>8642.6749999999993</v>
      </c>
      <c r="E136">
        <v>0.12</v>
      </c>
      <c r="F136">
        <v>0.02</v>
      </c>
      <c r="G136">
        <v>14.285714</v>
      </c>
      <c r="H136">
        <v>284</v>
      </c>
      <c r="I136">
        <v>100</v>
      </c>
      <c r="M136">
        <v>389</v>
      </c>
      <c r="N136">
        <v>12.984305000000001</v>
      </c>
      <c r="O136">
        <v>-61.287227999999999</v>
      </c>
      <c r="P136" s="4" t="e">
        <f>VLOOKUP(A136, imports_filtered!$A$2:$C$1000, 2, 0)</f>
        <v>#N/A</v>
      </c>
    </row>
    <row r="137" spans="1:16" hidden="1">
      <c r="A137" t="s">
        <v>157</v>
      </c>
      <c r="B137">
        <v>2019</v>
      </c>
      <c r="C137">
        <v>7697.9589999999998</v>
      </c>
      <c r="D137">
        <v>300.0000119</v>
      </c>
      <c r="E137">
        <v>0.09</v>
      </c>
      <c r="F137">
        <v>0.06</v>
      </c>
      <c r="G137">
        <v>40</v>
      </c>
      <c r="H137">
        <v>70</v>
      </c>
      <c r="I137">
        <v>99.2</v>
      </c>
      <c r="K137">
        <v>4.3798255450000001</v>
      </c>
      <c r="L137">
        <v>4322.8684569999996</v>
      </c>
      <c r="M137">
        <v>2831</v>
      </c>
      <c r="N137">
        <v>-13.759029</v>
      </c>
      <c r="O137">
        <v>-172.10462899999999</v>
      </c>
      <c r="P137" s="4" t="e">
        <f>VLOOKUP(A137, imports_filtered!$A$2:$C$1000, 2, 0)</f>
        <v>#N/A</v>
      </c>
    </row>
    <row r="138" spans="1:16" hidden="1">
      <c r="A138" t="s">
        <v>158</v>
      </c>
      <c r="B138">
        <v>2019</v>
      </c>
      <c r="C138">
        <v>3418.4949000000001</v>
      </c>
      <c r="D138">
        <v>150.00000600000001</v>
      </c>
      <c r="E138">
        <v>0.08</v>
      </c>
      <c r="F138">
        <v>0.01</v>
      </c>
      <c r="G138">
        <v>11.111110999999999</v>
      </c>
      <c r="H138">
        <v>242</v>
      </c>
      <c r="I138">
        <v>74.967200000000005</v>
      </c>
      <c r="K138">
        <v>2.2108558330000001</v>
      </c>
      <c r="L138">
        <v>1987.579702</v>
      </c>
      <c r="M138">
        <v>836</v>
      </c>
      <c r="N138">
        <v>0.3301924</v>
      </c>
      <c r="O138">
        <v>6.7333429999999996</v>
      </c>
      <c r="P138" s="4" t="e">
        <f>VLOOKUP(A138, imports_filtered!$A$2:$C$1000, 2, 0)</f>
        <v>#N/A</v>
      </c>
    </row>
    <row r="139" spans="1:16">
      <c r="A139" t="s">
        <v>159</v>
      </c>
      <c r="B139">
        <v>2019</v>
      </c>
      <c r="C139">
        <v>82989.266000000003</v>
      </c>
      <c r="D139">
        <v>523780.02929999999</v>
      </c>
      <c r="E139">
        <v>335.24</v>
      </c>
      <c r="F139">
        <v>0.21</v>
      </c>
      <c r="G139">
        <v>6.2602475000000005E-2</v>
      </c>
      <c r="H139">
        <v>16</v>
      </c>
      <c r="I139">
        <v>100</v>
      </c>
      <c r="J139">
        <v>1.8180710999999999E-2</v>
      </c>
      <c r="K139">
        <v>0.33143572900000001</v>
      </c>
      <c r="L139">
        <v>23139.797979999999</v>
      </c>
      <c r="M139">
        <v>2149690</v>
      </c>
      <c r="N139">
        <v>23.885942</v>
      </c>
      <c r="O139">
        <v>45.079161999999997</v>
      </c>
      <c r="P139" s="4">
        <f>VLOOKUP(A139, imports_filtered!$A$2:$C$1000, 2, 0)</f>
        <v>-177.71540547339274</v>
      </c>
    </row>
    <row r="140" spans="1:16" hidden="1">
      <c r="A140" t="s">
        <v>160</v>
      </c>
      <c r="B140">
        <v>2019</v>
      </c>
      <c r="C140">
        <v>2753.3908999999999</v>
      </c>
      <c r="D140">
        <v>10619.999889999999</v>
      </c>
      <c r="E140">
        <v>4.45</v>
      </c>
      <c r="F140">
        <v>0.72</v>
      </c>
      <c r="G140">
        <v>13.926498</v>
      </c>
      <c r="H140">
        <v>87</v>
      </c>
      <c r="I140">
        <v>70.400000000000006</v>
      </c>
      <c r="K140">
        <v>4.4024068359999999</v>
      </c>
      <c r="L140">
        <v>1430.1482590000001</v>
      </c>
      <c r="M140">
        <v>196722</v>
      </c>
      <c r="N140">
        <v>14.497401</v>
      </c>
      <c r="O140">
        <v>-14.452362000000001</v>
      </c>
      <c r="P140" s="4">
        <f>VLOOKUP(A140, imports_filtered!$A$2:$C$1000, 2, 0)</f>
        <v>70.184381619564363</v>
      </c>
    </row>
    <row r="141" spans="1:16" hidden="1">
      <c r="A141" t="s">
        <v>161</v>
      </c>
      <c r="B141">
        <v>2019</v>
      </c>
      <c r="C141">
        <v>26602.787</v>
      </c>
      <c r="D141">
        <v>45950.000760000003</v>
      </c>
      <c r="E141">
        <v>26.35</v>
      </c>
      <c r="F141">
        <v>10.51</v>
      </c>
      <c r="G141">
        <v>28.513292</v>
      </c>
      <c r="H141">
        <v>100</v>
      </c>
      <c r="I141">
        <v>99.8</v>
      </c>
      <c r="K141">
        <v>4.3317349060000003</v>
      </c>
      <c r="L141">
        <v>7417.203649</v>
      </c>
      <c r="M141">
        <v>77474</v>
      </c>
      <c r="N141">
        <v>44.016520999999997</v>
      </c>
      <c r="O141">
        <v>21.005859000000001</v>
      </c>
      <c r="P141" s="4" t="e">
        <f>VLOOKUP(A141, imports_filtered!$A$2:$C$1000, 2, 0)</f>
        <v>#N/A</v>
      </c>
    </row>
    <row r="142" spans="1:16" hidden="1">
      <c r="A142" t="s">
        <v>162</v>
      </c>
      <c r="B142">
        <v>2019</v>
      </c>
      <c r="C142">
        <v>45777.125</v>
      </c>
      <c r="D142">
        <v>610.00001429999998</v>
      </c>
      <c r="E142">
        <v>0.49</v>
      </c>
      <c r="F142">
        <v>0.04</v>
      </c>
      <c r="G142">
        <v>7.5471700000000004</v>
      </c>
      <c r="H142">
        <v>214</v>
      </c>
      <c r="I142">
        <v>100</v>
      </c>
      <c r="K142">
        <v>1.1910057380000001</v>
      </c>
      <c r="L142">
        <v>16213.48076</v>
      </c>
      <c r="M142">
        <v>455</v>
      </c>
      <c r="N142">
        <v>-4.6795739999999997</v>
      </c>
      <c r="O142">
        <v>55.491976999999999</v>
      </c>
      <c r="P142" s="4" t="e">
        <f>VLOOKUP(A142, imports_filtered!$A$2:$C$1000, 2, 0)</f>
        <v>#N/A</v>
      </c>
    </row>
    <row r="143" spans="1:16" hidden="1">
      <c r="A143" t="s">
        <v>163</v>
      </c>
      <c r="B143">
        <v>2019</v>
      </c>
      <c r="C143">
        <v>513.00440000000003</v>
      </c>
      <c r="D143">
        <v>899.99997619999999</v>
      </c>
      <c r="E143">
        <v>0.02</v>
      </c>
      <c r="F143">
        <v>0.19</v>
      </c>
      <c r="G143">
        <v>90.476200000000006</v>
      </c>
      <c r="H143">
        <v>111</v>
      </c>
      <c r="I143">
        <v>22.7</v>
      </c>
      <c r="K143">
        <v>5.2542412030000003</v>
      </c>
      <c r="L143">
        <v>521.75483670000006</v>
      </c>
      <c r="M143">
        <v>71740</v>
      </c>
      <c r="N143">
        <v>8.4605549999999994</v>
      </c>
      <c r="O143">
        <v>-11.779889000000001</v>
      </c>
      <c r="P143" s="4" t="e">
        <f>VLOOKUP(A143, imports_filtered!$A$2:$C$1000, 2, 0)</f>
        <v>#N/A</v>
      </c>
    </row>
    <row r="144" spans="1:16">
      <c r="A144" t="s">
        <v>164</v>
      </c>
      <c r="B144">
        <v>2019</v>
      </c>
      <c r="C144">
        <v>158657.89000000001</v>
      </c>
      <c r="D144">
        <v>47380.001069999998</v>
      </c>
      <c r="E144">
        <v>50.96</v>
      </c>
      <c r="F144">
        <v>0.78</v>
      </c>
      <c r="G144">
        <v>1.5075376</v>
      </c>
      <c r="H144">
        <v>8358</v>
      </c>
      <c r="I144">
        <v>100</v>
      </c>
      <c r="J144">
        <v>0.2995429</v>
      </c>
      <c r="K144">
        <v>1.3452174859999999</v>
      </c>
      <c r="L144">
        <v>65640.707949999996</v>
      </c>
      <c r="M144">
        <v>716</v>
      </c>
      <c r="N144">
        <v>1.3520829999999999</v>
      </c>
      <c r="O144">
        <v>103.819836</v>
      </c>
      <c r="P144" s="4">
        <f>VLOOKUP(A144, imports_filtered!$A$2:$C$1000, 2, 0)</f>
        <v>269.8153069239583</v>
      </c>
    </row>
    <row r="145" spans="1:16" hidden="1">
      <c r="A145" t="s">
        <v>165</v>
      </c>
      <c r="B145">
        <v>2019</v>
      </c>
      <c r="C145">
        <v>33892.78</v>
      </c>
      <c r="E145">
        <v>6.26</v>
      </c>
      <c r="F145">
        <v>6.65</v>
      </c>
      <c r="G145">
        <v>77.793539999999993</v>
      </c>
      <c r="H145">
        <v>114</v>
      </c>
      <c r="I145">
        <v>100</v>
      </c>
      <c r="J145">
        <v>9.9838780000000007</v>
      </c>
      <c r="M145">
        <v>49035</v>
      </c>
      <c r="N145">
        <v>48.669026000000002</v>
      </c>
      <c r="O145">
        <v>19.699024000000001</v>
      </c>
      <c r="P145" s="4" t="e">
        <f>VLOOKUP(A145, imports_filtered!$A$2:$C$1000, 2, 0)</f>
        <v>#N/A</v>
      </c>
    </row>
    <row r="146" spans="1:16">
      <c r="A146" t="s">
        <v>166</v>
      </c>
      <c r="B146">
        <v>2019</v>
      </c>
      <c r="C146">
        <v>37905.919999999998</v>
      </c>
      <c r="D146">
        <v>13600.000379999999</v>
      </c>
      <c r="E146">
        <v>5.03</v>
      </c>
      <c r="F146">
        <v>5.04</v>
      </c>
      <c r="G146">
        <v>68.34487</v>
      </c>
      <c r="H146">
        <v>103</v>
      </c>
      <c r="I146">
        <v>100</v>
      </c>
      <c r="J146">
        <v>16.781369999999999</v>
      </c>
      <c r="K146">
        <v>3.2505313359999999</v>
      </c>
      <c r="L146">
        <v>25942.95477</v>
      </c>
      <c r="M146">
        <v>20273</v>
      </c>
      <c r="N146">
        <v>46.151240999999999</v>
      </c>
      <c r="O146">
        <v>14.995463000000001</v>
      </c>
      <c r="P146" s="4">
        <f>VLOOKUP(A146, imports_filtered!$A$2:$C$1000, 2, 0)</f>
        <v>52.849156926782058</v>
      </c>
    </row>
    <row r="147" spans="1:16" hidden="1">
      <c r="A147" t="s">
        <v>167</v>
      </c>
      <c r="B147">
        <v>2019</v>
      </c>
      <c r="C147">
        <v>2027.3756000000001</v>
      </c>
      <c r="D147">
        <v>360.00001429999998</v>
      </c>
      <c r="E147">
        <v>0.1</v>
      </c>
      <c r="F147">
        <v>0</v>
      </c>
      <c r="G147">
        <v>0</v>
      </c>
      <c r="H147">
        <v>25</v>
      </c>
      <c r="I147">
        <v>69.809420000000003</v>
      </c>
      <c r="K147">
        <v>1.204049986</v>
      </c>
      <c r="L147">
        <v>2344.048976</v>
      </c>
      <c r="M147">
        <v>28896</v>
      </c>
      <c r="N147">
        <v>-9.6457099999999993</v>
      </c>
      <c r="O147">
        <v>160.156194</v>
      </c>
      <c r="P147" s="4" t="e">
        <f>VLOOKUP(A147, imports_filtered!$A$2:$C$1000, 2, 0)</f>
        <v>#N/A</v>
      </c>
    </row>
    <row r="148" spans="1:16" hidden="1">
      <c r="A148" t="s">
        <v>168</v>
      </c>
      <c r="B148">
        <v>2019</v>
      </c>
      <c r="C148">
        <v>227.57283000000001</v>
      </c>
      <c r="D148">
        <v>689.99999760000003</v>
      </c>
      <c r="E148">
        <v>0.33</v>
      </c>
      <c r="F148">
        <v>0.02</v>
      </c>
      <c r="G148">
        <v>5.7142860000000004</v>
      </c>
      <c r="H148">
        <v>25</v>
      </c>
      <c r="I148">
        <v>49.2</v>
      </c>
      <c r="K148">
        <v>8.0814400220000007</v>
      </c>
      <c r="L148">
        <v>419.3948077</v>
      </c>
      <c r="M148">
        <v>637657</v>
      </c>
      <c r="N148">
        <v>5.1521489999999996</v>
      </c>
      <c r="O148">
        <v>46.199615999999999</v>
      </c>
      <c r="P148" s="4" t="e">
        <f>VLOOKUP(A148, imports_filtered!$A$2:$C$1000, 2, 0)</f>
        <v>#N/A</v>
      </c>
    </row>
    <row r="149" spans="1:16">
      <c r="A149" t="s">
        <v>169</v>
      </c>
      <c r="B149">
        <v>2019</v>
      </c>
      <c r="C149">
        <v>25511.208999999999</v>
      </c>
      <c r="D149">
        <v>439640.01459999999</v>
      </c>
      <c r="E149">
        <v>208.39</v>
      </c>
      <c r="F149">
        <v>12.57</v>
      </c>
      <c r="G149">
        <v>11.15706</v>
      </c>
      <c r="H149">
        <v>49</v>
      </c>
      <c r="I149">
        <v>85</v>
      </c>
      <c r="J149">
        <v>2.6449362999999999</v>
      </c>
      <c r="K149">
        <v>0.11305369699999999</v>
      </c>
      <c r="L149">
        <v>6624.7618650000004</v>
      </c>
      <c r="M149">
        <v>1219090</v>
      </c>
      <c r="N149">
        <v>-30.559481999999999</v>
      </c>
      <c r="O149">
        <v>22.937505999999999</v>
      </c>
      <c r="P149" s="4">
        <f>VLOOKUP(A149, imports_filtered!$A$2:$C$1000, 2, 0)</f>
        <v>-13.280382915354775</v>
      </c>
    </row>
    <row r="150" spans="1:16" hidden="1">
      <c r="A150" t="s">
        <v>170</v>
      </c>
      <c r="B150">
        <v>2019</v>
      </c>
      <c r="C150">
        <v>747.48595999999998</v>
      </c>
      <c r="D150">
        <v>1700.0000480000001</v>
      </c>
      <c r="E150">
        <v>0.55000000000000004</v>
      </c>
      <c r="F150">
        <v>0.01</v>
      </c>
      <c r="G150">
        <v>1.7857143</v>
      </c>
      <c r="H150">
        <v>18</v>
      </c>
      <c r="I150">
        <v>6.7070069999999999</v>
      </c>
      <c r="M150">
        <v>644329</v>
      </c>
      <c r="N150">
        <v>6.8769919000000002</v>
      </c>
      <c r="O150">
        <v>31.3069788</v>
      </c>
      <c r="P150" s="4" t="e">
        <f>VLOOKUP(A150, imports_filtered!$A$2:$C$1000, 2, 0)</f>
        <v>#N/A</v>
      </c>
    </row>
    <row r="151" spans="1:16">
      <c r="A151" t="s">
        <v>171</v>
      </c>
      <c r="B151">
        <v>2019</v>
      </c>
      <c r="C151">
        <v>33764.862999999998</v>
      </c>
      <c r="D151">
        <v>239979.9957</v>
      </c>
      <c r="E151">
        <v>111.55</v>
      </c>
      <c r="F151">
        <v>100.99</v>
      </c>
      <c r="G151">
        <v>58.820920000000001</v>
      </c>
      <c r="H151">
        <v>94</v>
      </c>
      <c r="I151">
        <v>100</v>
      </c>
      <c r="J151">
        <v>17.37585</v>
      </c>
      <c r="K151">
        <v>2.0851914210000002</v>
      </c>
      <c r="L151">
        <v>29555.315699999999</v>
      </c>
      <c r="M151">
        <v>505370</v>
      </c>
      <c r="N151">
        <v>40.463667000000001</v>
      </c>
      <c r="O151">
        <v>-3.7492200000000002</v>
      </c>
      <c r="P151" s="4">
        <f>VLOOKUP(A151, imports_filtered!$A$2:$C$1000, 2, 0)</f>
        <v>82.914057950379032</v>
      </c>
    </row>
    <row r="152" spans="1:16" hidden="1">
      <c r="A152" t="s">
        <v>172</v>
      </c>
      <c r="B152">
        <v>2019</v>
      </c>
      <c r="C152">
        <v>4973.5986000000003</v>
      </c>
      <c r="D152">
        <v>23780.000690000001</v>
      </c>
      <c r="E152">
        <v>10.18</v>
      </c>
      <c r="F152">
        <v>5.71</v>
      </c>
      <c r="G152">
        <v>35.934547000000002</v>
      </c>
      <c r="H152">
        <v>341</v>
      </c>
      <c r="I152">
        <v>99.758570000000006</v>
      </c>
      <c r="J152">
        <v>14.141156000000001</v>
      </c>
      <c r="K152">
        <v>2.2551765289999999</v>
      </c>
      <c r="L152">
        <v>3852.2656029999998</v>
      </c>
      <c r="M152">
        <v>65610</v>
      </c>
      <c r="N152">
        <v>7.8730539999999998</v>
      </c>
      <c r="O152">
        <v>80.771797000000007</v>
      </c>
      <c r="P152" s="4">
        <f>VLOOKUP(A152, imports_filtered!$A$2:$C$1000, 2, 0)</f>
        <v>0</v>
      </c>
    </row>
    <row r="153" spans="1:16" hidden="1">
      <c r="A153" t="s">
        <v>173</v>
      </c>
      <c r="B153">
        <v>2019</v>
      </c>
      <c r="C153">
        <v>2459.3627999999999</v>
      </c>
      <c r="D153">
        <v>20620.000840000001</v>
      </c>
      <c r="E153">
        <v>5.98</v>
      </c>
      <c r="F153">
        <v>10.33</v>
      </c>
      <c r="G153">
        <v>63.335380000000001</v>
      </c>
      <c r="H153">
        <v>25</v>
      </c>
      <c r="I153">
        <v>53.962539999999997</v>
      </c>
      <c r="K153">
        <v>-2.1782510450000001</v>
      </c>
      <c r="L153">
        <v>610.92786149999995</v>
      </c>
      <c r="M153">
        <v>1861484</v>
      </c>
      <c r="N153">
        <v>12.862807</v>
      </c>
      <c r="O153">
        <v>30.217635999999999</v>
      </c>
      <c r="P153" s="4" t="e">
        <f>VLOOKUP(A153, imports_filtered!$A$2:$C$1000, 2, 0)</f>
        <v>#N/A</v>
      </c>
    </row>
    <row r="154" spans="1:16" hidden="1">
      <c r="A154" t="s">
        <v>174</v>
      </c>
      <c r="B154">
        <v>2019</v>
      </c>
      <c r="C154">
        <v>21629.324000000001</v>
      </c>
      <c r="D154">
        <v>2650.0000949999999</v>
      </c>
      <c r="E154">
        <v>0.99</v>
      </c>
      <c r="F154">
        <v>0.96</v>
      </c>
      <c r="G154">
        <v>49.230766000000003</v>
      </c>
      <c r="H154">
        <v>4</v>
      </c>
      <c r="I154">
        <v>97.825419999999994</v>
      </c>
      <c r="K154">
        <v>1.0984677780000001</v>
      </c>
      <c r="L154">
        <v>6853.6934110000002</v>
      </c>
      <c r="M154">
        <v>163820</v>
      </c>
      <c r="N154">
        <v>3.919305</v>
      </c>
      <c r="O154">
        <v>-56.027782999999999</v>
      </c>
      <c r="P154" s="4">
        <f>VLOOKUP(A154, imports_filtered!$A$2:$C$1000, 2, 0)</f>
        <v>13.968745728734788</v>
      </c>
    </row>
    <row r="155" spans="1:16">
      <c r="A155" t="s">
        <v>175</v>
      </c>
      <c r="B155">
        <v>2019</v>
      </c>
      <c r="C155">
        <v>63283.47</v>
      </c>
      <c r="D155">
        <v>35000</v>
      </c>
      <c r="E155">
        <v>3.35</v>
      </c>
      <c r="F155">
        <v>98.94</v>
      </c>
      <c r="G155">
        <v>98.010925</v>
      </c>
      <c r="H155">
        <v>25</v>
      </c>
      <c r="I155">
        <v>100</v>
      </c>
      <c r="J155">
        <v>43.813766000000001</v>
      </c>
      <c r="K155">
        <v>1.9861958740000001</v>
      </c>
      <c r="L155">
        <v>51939.42974</v>
      </c>
      <c r="M155">
        <v>450295</v>
      </c>
      <c r="N155">
        <v>60.128160999999999</v>
      </c>
      <c r="O155">
        <v>18.643501000000001</v>
      </c>
      <c r="P155" s="4">
        <f>VLOOKUP(A155, imports_filtered!$A$2:$C$1000, 2, 0)</f>
        <v>32.019703476000679</v>
      </c>
    </row>
    <row r="156" spans="1:16">
      <c r="A156" t="s">
        <v>176</v>
      </c>
      <c r="B156">
        <v>2019</v>
      </c>
      <c r="C156">
        <v>39156.449999999997</v>
      </c>
      <c r="D156">
        <v>37380.001069999998</v>
      </c>
      <c r="E156">
        <v>3.58</v>
      </c>
      <c r="F156">
        <v>37.64</v>
      </c>
      <c r="G156">
        <v>94.616540000000001</v>
      </c>
      <c r="H156">
        <v>219</v>
      </c>
      <c r="I156">
        <v>100</v>
      </c>
      <c r="J156">
        <v>33.137397999999997</v>
      </c>
      <c r="K156">
        <v>1.2109922070000001</v>
      </c>
      <c r="L156">
        <v>85334.519459999996</v>
      </c>
      <c r="M156">
        <v>41277</v>
      </c>
      <c r="N156">
        <v>46.818187999999999</v>
      </c>
      <c r="O156">
        <v>8.2275120000000008</v>
      </c>
      <c r="P156" s="4">
        <f>VLOOKUP(A156, imports_filtered!$A$2:$C$1000, 2, 0)</f>
        <v>55.403219910216926</v>
      </c>
    </row>
    <row r="157" spans="1:16" hidden="1">
      <c r="A157" t="s">
        <v>177</v>
      </c>
      <c r="B157">
        <v>2019</v>
      </c>
      <c r="C157">
        <v>8041.5946999999996</v>
      </c>
      <c r="D157">
        <v>9420.0000760000003</v>
      </c>
      <c r="E157">
        <v>1.42</v>
      </c>
      <c r="F157">
        <v>19.170000000000002</v>
      </c>
      <c r="G157">
        <v>93.103449999999995</v>
      </c>
      <c r="H157">
        <v>68</v>
      </c>
      <c r="I157">
        <v>99.633210000000005</v>
      </c>
      <c r="K157">
        <v>7.3999996379999997</v>
      </c>
      <c r="L157">
        <v>890.54440239999997</v>
      </c>
      <c r="M157">
        <v>144100</v>
      </c>
      <c r="N157">
        <v>38.861033999999997</v>
      </c>
      <c r="O157">
        <v>71.276093000000003</v>
      </c>
      <c r="P157" s="4">
        <f>VLOOKUP(A157, imports_filtered!$A$2:$C$1000, 2, 0)</f>
        <v>28.436336106961491</v>
      </c>
    </row>
    <row r="158" spans="1:16">
      <c r="A158" t="s">
        <v>178</v>
      </c>
      <c r="B158">
        <v>2019</v>
      </c>
      <c r="C158">
        <v>20792.384999999998</v>
      </c>
      <c r="D158">
        <v>267089.9963</v>
      </c>
      <c r="E158">
        <v>162.59</v>
      </c>
      <c r="F158">
        <v>28.02</v>
      </c>
      <c r="G158">
        <v>14.700172999999999</v>
      </c>
      <c r="H158">
        <v>137</v>
      </c>
      <c r="I158">
        <v>99.9</v>
      </c>
      <c r="J158">
        <v>6.9562197000000001</v>
      </c>
      <c r="K158">
        <v>2.2664336719999998</v>
      </c>
      <c r="L158">
        <v>7817.0096709999998</v>
      </c>
      <c r="M158">
        <v>513120</v>
      </c>
      <c r="N158">
        <v>15.870032</v>
      </c>
      <c r="O158">
        <v>100.992541</v>
      </c>
      <c r="P158" s="4">
        <f>VLOOKUP(A158, imports_filtered!$A$2:$C$1000, 2, 0)</f>
        <v>48.631211775079578</v>
      </c>
    </row>
    <row r="159" spans="1:16" hidden="1">
      <c r="A159" t="s">
        <v>179</v>
      </c>
      <c r="B159">
        <v>2019</v>
      </c>
      <c r="C159">
        <v>1304.0579</v>
      </c>
      <c r="D159">
        <v>2369.9998860000001</v>
      </c>
      <c r="E159">
        <v>0.45</v>
      </c>
      <c r="F159">
        <v>0.25</v>
      </c>
      <c r="G159">
        <v>35.714286999999999</v>
      </c>
      <c r="H159">
        <v>152</v>
      </c>
      <c r="I159">
        <v>52.363109999999999</v>
      </c>
      <c r="K159">
        <v>5.4599214480000002</v>
      </c>
      <c r="L159">
        <v>893.35245410000005</v>
      </c>
      <c r="M159">
        <v>56785</v>
      </c>
      <c r="N159">
        <v>8.6195430000000002</v>
      </c>
      <c r="O159">
        <v>0.82478200000000002</v>
      </c>
      <c r="P159" s="4">
        <f>VLOOKUP(A159, imports_filtered!$A$2:$C$1000, 2, 0)</f>
        <v>0</v>
      </c>
    </row>
    <row r="160" spans="1:16" hidden="1">
      <c r="A160" t="s">
        <v>180</v>
      </c>
      <c r="B160">
        <v>2019</v>
      </c>
      <c r="C160">
        <v>6863.2143999999998</v>
      </c>
      <c r="D160">
        <v>159.99999639999999</v>
      </c>
      <c r="E160">
        <v>0.06</v>
      </c>
      <c r="F160">
        <v>0.01</v>
      </c>
      <c r="G160">
        <v>14.285714</v>
      </c>
      <c r="H160">
        <v>147</v>
      </c>
      <c r="I160">
        <v>98.4</v>
      </c>
      <c r="K160">
        <v>0.73403001700000003</v>
      </c>
      <c r="L160">
        <v>4903.012138</v>
      </c>
      <c r="M160">
        <v>747</v>
      </c>
      <c r="N160">
        <v>-21.178985999999998</v>
      </c>
      <c r="O160">
        <v>-175.19824199999999</v>
      </c>
      <c r="P160" s="4" t="e">
        <f>VLOOKUP(A160, imports_filtered!$A$2:$C$1000, 2, 0)</f>
        <v>#N/A</v>
      </c>
    </row>
    <row r="161" spans="1:16">
      <c r="A161" t="s">
        <v>181</v>
      </c>
      <c r="B161">
        <v>2019</v>
      </c>
      <c r="C161">
        <v>123712.94</v>
      </c>
      <c r="D161">
        <v>17190.000530000001</v>
      </c>
      <c r="E161">
        <v>8.6300000000000008</v>
      </c>
      <c r="F161">
        <v>0.01</v>
      </c>
      <c r="G161">
        <v>0.11574073999999999</v>
      </c>
      <c r="H161">
        <v>273</v>
      </c>
      <c r="I161">
        <v>100</v>
      </c>
      <c r="J161">
        <v>6.3736130000000002E-3</v>
      </c>
      <c r="K161">
        <v>-1.246427336</v>
      </c>
      <c r="L161">
        <v>16637.162939999998</v>
      </c>
      <c r="M161">
        <v>5128</v>
      </c>
      <c r="N161">
        <v>10.691803</v>
      </c>
      <c r="O161">
        <v>-61.222503000000003</v>
      </c>
      <c r="P161" s="4">
        <f>VLOOKUP(A161, imports_filtered!$A$2:$C$1000, 2, 0)</f>
        <v>-99.982964296236617</v>
      </c>
    </row>
    <row r="162" spans="1:16" hidden="1">
      <c r="A162" t="s">
        <v>182</v>
      </c>
      <c r="B162">
        <v>2019</v>
      </c>
      <c r="C162">
        <v>10128.142</v>
      </c>
      <c r="D162">
        <v>29909.99985</v>
      </c>
      <c r="E162">
        <v>19.73</v>
      </c>
      <c r="F162">
        <v>0.82</v>
      </c>
      <c r="G162">
        <v>3.9902677999999998</v>
      </c>
      <c r="H162">
        <v>76</v>
      </c>
      <c r="I162">
        <v>100</v>
      </c>
      <c r="K162">
        <v>1.4019766760000001</v>
      </c>
      <c r="L162">
        <v>3574.6540239999999</v>
      </c>
      <c r="M162">
        <v>163610</v>
      </c>
      <c r="N162">
        <v>33.886916999999997</v>
      </c>
      <c r="O162">
        <v>9.5374990000000004</v>
      </c>
      <c r="P162" s="4">
        <f>VLOOKUP(A162, imports_filtered!$A$2:$C$1000, 2, 0)</f>
        <v>57.840137781614231</v>
      </c>
    </row>
    <row r="163" spans="1:16" hidden="1">
      <c r="A163" t="s">
        <v>183</v>
      </c>
      <c r="B163">
        <v>2019</v>
      </c>
      <c r="C163">
        <v>21973.062000000002</v>
      </c>
      <c r="E163">
        <v>170.53</v>
      </c>
      <c r="F163">
        <v>132.26</v>
      </c>
      <c r="G163">
        <v>43.680435000000003</v>
      </c>
      <c r="H163">
        <v>110</v>
      </c>
      <c r="I163">
        <v>100</v>
      </c>
      <c r="J163">
        <v>19.254936000000001</v>
      </c>
      <c r="K163">
        <v>0.88958516099999996</v>
      </c>
      <c r="L163">
        <v>9121.5151669999996</v>
      </c>
      <c r="M163">
        <v>783562</v>
      </c>
      <c r="N163">
        <v>38.963745000000003</v>
      </c>
      <c r="O163">
        <v>35.243321999999999</v>
      </c>
      <c r="P163" s="4">
        <f>VLOOKUP(A163, imports_filtered!$A$2:$C$1000, 2, 0)</f>
        <v>72.197363294463642</v>
      </c>
    </row>
    <row r="164" spans="1:16" hidden="1">
      <c r="A164" t="s">
        <v>184</v>
      </c>
      <c r="B164">
        <v>2019</v>
      </c>
      <c r="C164">
        <v>57961.055</v>
      </c>
      <c r="D164">
        <v>72870.00275</v>
      </c>
      <c r="E164">
        <v>21.18</v>
      </c>
      <c r="F164">
        <v>0</v>
      </c>
      <c r="G164">
        <v>0</v>
      </c>
      <c r="H164">
        <v>13</v>
      </c>
      <c r="I164">
        <v>99.9</v>
      </c>
      <c r="J164">
        <v>6.7476879999999999E-3</v>
      </c>
      <c r="K164">
        <v>6.3</v>
      </c>
      <c r="L164">
        <v>7612.0351799999999</v>
      </c>
      <c r="M164">
        <v>488100</v>
      </c>
      <c r="N164">
        <v>38.969718999999998</v>
      </c>
      <c r="O164">
        <v>59.556277999999999</v>
      </c>
      <c r="P164" s="4">
        <f>VLOOKUP(A164, imports_filtered!$A$2:$C$1000, 2, 0)</f>
        <v>-242.60681687190478</v>
      </c>
    </row>
    <row r="165" spans="1:16" hidden="1">
      <c r="A165" t="s">
        <v>185</v>
      </c>
      <c r="B165">
        <v>2019</v>
      </c>
      <c r="C165">
        <v>0</v>
      </c>
      <c r="D165">
        <v>9.9999997759999992</v>
      </c>
      <c r="H165">
        <v>393</v>
      </c>
      <c r="I165">
        <v>99.7</v>
      </c>
      <c r="K165">
        <v>9.7560975610000007</v>
      </c>
      <c r="L165">
        <v>4055.89561</v>
      </c>
      <c r="M165">
        <v>26</v>
      </c>
      <c r="N165">
        <v>-7.1095350000000002</v>
      </c>
      <c r="O165">
        <v>177.64932999999999</v>
      </c>
      <c r="P165" s="4" t="e">
        <f>VLOOKUP(A165, imports_filtered!$A$2:$C$1000, 2, 0)</f>
        <v>#N/A</v>
      </c>
    </row>
    <row r="166" spans="1:16" hidden="1">
      <c r="A166" t="s">
        <v>186</v>
      </c>
      <c r="B166">
        <v>2019</v>
      </c>
      <c r="C166">
        <v>811.62756000000002</v>
      </c>
      <c r="D166">
        <v>5860.0001339999999</v>
      </c>
      <c r="E166">
        <v>0.09</v>
      </c>
      <c r="F166">
        <v>4.24</v>
      </c>
      <c r="G166">
        <v>97.921469999999999</v>
      </c>
      <c r="H166">
        <v>229</v>
      </c>
      <c r="I166">
        <v>41.3</v>
      </c>
      <c r="K166">
        <v>6.4387450340000001</v>
      </c>
      <c r="L166">
        <v>798.58573409999997</v>
      </c>
      <c r="M166">
        <v>241038</v>
      </c>
      <c r="N166">
        <v>1.3733329999999999</v>
      </c>
      <c r="O166">
        <v>32.290275000000001</v>
      </c>
      <c r="P166" s="4">
        <f>VLOOKUP(A166, imports_filtered!$A$2:$C$1000, 2, 0)</f>
        <v>22.000514697541956</v>
      </c>
    </row>
    <row r="167" spans="1:16">
      <c r="A167" t="s">
        <v>187</v>
      </c>
      <c r="B167">
        <v>2019</v>
      </c>
      <c r="C167">
        <v>21661.146000000001</v>
      </c>
      <c r="D167">
        <v>174729.9957</v>
      </c>
      <c r="E167">
        <v>57.79</v>
      </c>
      <c r="F167">
        <v>11.87</v>
      </c>
      <c r="G167">
        <v>62.144634000000003</v>
      </c>
      <c r="H167">
        <v>75</v>
      </c>
      <c r="I167">
        <v>100</v>
      </c>
      <c r="J167">
        <v>3.2903612</v>
      </c>
      <c r="K167">
        <v>3.1995038619999998</v>
      </c>
      <c r="L167">
        <v>3661.4562040000001</v>
      </c>
      <c r="M167">
        <v>603550</v>
      </c>
      <c r="N167">
        <v>48.379432999999999</v>
      </c>
      <c r="O167">
        <v>31.165579999999999</v>
      </c>
      <c r="P167" s="4">
        <f>VLOOKUP(A167, imports_filtered!$A$2:$C$1000, 2, 0)</f>
        <v>36.781686617143286</v>
      </c>
    </row>
    <row r="168" spans="1:16">
      <c r="A168" t="s">
        <v>188</v>
      </c>
      <c r="B168">
        <v>2019</v>
      </c>
      <c r="C168">
        <v>134878.39000000001</v>
      </c>
      <c r="D168">
        <v>188860.0006</v>
      </c>
      <c r="E168">
        <v>125.85</v>
      </c>
      <c r="F168">
        <v>3.8</v>
      </c>
      <c r="G168">
        <v>2.930968</v>
      </c>
      <c r="H168">
        <v>118</v>
      </c>
      <c r="I168">
        <v>100</v>
      </c>
      <c r="J168">
        <v>0.79182534999999998</v>
      </c>
      <c r="K168">
        <v>3.4115386860000001</v>
      </c>
      <c r="L168">
        <v>42701.443050000002</v>
      </c>
      <c r="M168">
        <v>83600</v>
      </c>
      <c r="N168">
        <v>23.424075999999999</v>
      </c>
      <c r="O168">
        <v>53.847817999999997</v>
      </c>
      <c r="P168" s="4">
        <f>VLOOKUP(A168, imports_filtered!$A$2:$C$1000, 2, 0)</f>
        <v>-157.25158809757821</v>
      </c>
    </row>
    <row r="169" spans="1:16">
      <c r="A169" t="s">
        <v>189</v>
      </c>
      <c r="B169">
        <v>2019</v>
      </c>
      <c r="C169">
        <v>32893.760000000002</v>
      </c>
      <c r="D169">
        <v>348920.0134</v>
      </c>
      <c r="E169">
        <v>144.99</v>
      </c>
      <c r="F169">
        <v>120.48</v>
      </c>
      <c r="G169">
        <v>54.923054</v>
      </c>
      <c r="H169">
        <v>281</v>
      </c>
      <c r="I169">
        <v>100</v>
      </c>
      <c r="J169">
        <v>16.241540000000001</v>
      </c>
      <c r="K169">
        <v>1.671944197</v>
      </c>
      <c r="L169">
        <v>43070.498359999998</v>
      </c>
      <c r="M169">
        <v>243610</v>
      </c>
      <c r="N169">
        <v>55.378050999999999</v>
      </c>
      <c r="O169">
        <v>-3.4359730000000002</v>
      </c>
      <c r="P169" s="4">
        <f>VLOOKUP(A169, imports_filtered!$A$2:$C$1000, 2, 0)</f>
        <v>36.535601100354782</v>
      </c>
    </row>
    <row r="170" spans="1:16">
      <c r="A170" t="s">
        <v>190</v>
      </c>
      <c r="B170">
        <v>2019</v>
      </c>
      <c r="C170">
        <v>79489.016000000003</v>
      </c>
      <c r="D170">
        <v>4817720.2149999999</v>
      </c>
      <c r="E170">
        <v>2588.21</v>
      </c>
      <c r="F170">
        <v>760.76</v>
      </c>
      <c r="G170">
        <v>37.759180000000001</v>
      </c>
      <c r="H170">
        <v>36</v>
      </c>
      <c r="I170">
        <v>100</v>
      </c>
      <c r="J170">
        <v>9.3152629999999998</v>
      </c>
      <c r="K170">
        <v>2.1611765150000002</v>
      </c>
      <c r="L170">
        <v>65279.529029999998</v>
      </c>
      <c r="M170">
        <v>9833517</v>
      </c>
      <c r="N170">
        <v>37.090240000000001</v>
      </c>
      <c r="O170">
        <v>-95.712890999999999</v>
      </c>
      <c r="P170" s="4">
        <f>VLOOKUP(A170, imports_filtered!$A$2:$C$1000, 2, 0)</f>
        <v>-0.89871636880805517</v>
      </c>
    </row>
    <row r="171" spans="1:16" hidden="1">
      <c r="A171" t="s">
        <v>191</v>
      </c>
      <c r="B171">
        <v>2019</v>
      </c>
      <c r="C171">
        <v>19985.009999999998</v>
      </c>
      <c r="D171">
        <v>6489.9997709999998</v>
      </c>
      <c r="E171">
        <v>1.89</v>
      </c>
      <c r="F171">
        <v>14.16</v>
      </c>
      <c r="G171">
        <v>88.224304000000004</v>
      </c>
      <c r="H171">
        <v>20</v>
      </c>
      <c r="I171">
        <v>99.9</v>
      </c>
      <c r="K171">
        <v>0.35044715300000001</v>
      </c>
      <c r="L171">
        <v>17688.015009999999</v>
      </c>
      <c r="M171">
        <v>176215</v>
      </c>
      <c r="N171">
        <v>-32.522779</v>
      </c>
      <c r="O171">
        <v>-55.765835000000003</v>
      </c>
      <c r="P171" s="4">
        <f>VLOOKUP(A171, imports_filtered!$A$2:$C$1000, 2, 0)</f>
        <v>38.909067679053727</v>
      </c>
    </row>
    <row r="172" spans="1:16">
      <c r="A172" t="s">
        <v>192</v>
      </c>
      <c r="B172">
        <v>2019</v>
      </c>
      <c r="C172">
        <v>16212.221</v>
      </c>
      <c r="D172">
        <v>116709.9991</v>
      </c>
      <c r="E172">
        <v>53.64</v>
      </c>
      <c r="F172">
        <v>6.47</v>
      </c>
      <c r="G172">
        <v>10.7636</v>
      </c>
      <c r="H172">
        <v>79</v>
      </c>
      <c r="I172">
        <v>100</v>
      </c>
      <c r="J172">
        <v>3.1970326999999998</v>
      </c>
      <c r="K172">
        <v>5.7096322219999998</v>
      </c>
      <c r="L172">
        <v>1784.009816</v>
      </c>
      <c r="M172">
        <v>447400</v>
      </c>
      <c r="N172">
        <v>41.377490999999999</v>
      </c>
      <c r="O172">
        <v>64.585262</v>
      </c>
      <c r="P172" s="4">
        <f>VLOOKUP(A172, imports_filtered!$A$2:$C$1000, 2, 0)</f>
        <v>-19.679856666711824</v>
      </c>
    </row>
    <row r="173" spans="1:16" hidden="1">
      <c r="A173" t="s">
        <v>193</v>
      </c>
      <c r="B173">
        <v>2019</v>
      </c>
      <c r="C173">
        <v>3154.4717000000001</v>
      </c>
      <c r="D173">
        <v>209.99999339999999</v>
      </c>
      <c r="E173">
        <v>0.05</v>
      </c>
      <c r="F173">
        <v>0.02</v>
      </c>
      <c r="G173">
        <v>28.571428000000001</v>
      </c>
      <c r="H173">
        <v>25</v>
      </c>
      <c r="I173">
        <v>64.590190000000007</v>
      </c>
      <c r="K173">
        <v>3.9125347370000001</v>
      </c>
      <c r="L173">
        <v>3116.297759</v>
      </c>
      <c r="M173">
        <v>12189</v>
      </c>
      <c r="N173">
        <v>-15.376706</v>
      </c>
      <c r="O173">
        <v>166.959158</v>
      </c>
      <c r="P173" s="4" t="e">
        <f>VLOOKUP(A173, imports_filtered!$A$2:$C$1000, 2, 0)</f>
        <v>#N/A</v>
      </c>
    </row>
    <row r="174" spans="1:16" hidden="1">
      <c r="A174" t="s">
        <v>194</v>
      </c>
      <c r="B174">
        <v>2019</v>
      </c>
      <c r="C174">
        <v>1475.9852000000001</v>
      </c>
      <c r="E174">
        <v>2.93</v>
      </c>
      <c r="F174">
        <v>0.48</v>
      </c>
      <c r="G174">
        <v>14.076245999999999</v>
      </c>
      <c r="H174">
        <v>56</v>
      </c>
      <c r="I174">
        <v>72.751075999999998</v>
      </c>
      <c r="M174">
        <v>527968</v>
      </c>
      <c r="N174">
        <v>15.552727000000001</v>
      </c>
      <c r="O174">
        <v>48.516387999999999</v>
      </c>
      <c r="P174" s="4">
        <f>VLOOKUP(A174, imports_filtered!$A$2:$C$1000, 2, 0)</f>
        <v>-27.726805637110946</v>
      </c>
    </row>
    <row r="175" spans="1:16" hidden="1">
      <c r="A175" t="s">
        <v>195</v>
      </c>
      <c r="B175">
        <v>2019</v>
      </c>
      <c r="C175">
        <v>2983.8816000000002</v>
      </c>
      <c r="D175">
        <v>6800.0001910000001</v>
      </c>
      <c r="E175">
        <v>2.0499999999999998</v>
      </c>
      <c r="F175">
        <v>12.62</v>
      </c>
      <c r="G175">
        <v>86.025899999999993</v>
      </c>
      <c r="H175">
        <v>25</v>
      </c>
      <c r="I175">
        <v>43</v>
      </c>
      <c r="K175">
        <v>1.4413060259999999</v>
      </c>
      <c r="L175">
        <v>1305.001031</v>
      </c>
      <c r="M175">
        <v>752618</v>
      </c>
      <c r="N175">
        <v>-13.133896999999999</v>
      </c>
      <c r="O175">
        <v>27.849332</v>
      </c>
      <c r="P175" s="4">
        <f>VLOOKUP(A175, imports_filtered!$A$2:$C$1000, 2, 0)</f>
        <v>11.175339868314659</v>
      </c>
    </row>
    <row r="176" spans="1:16" hidden="1">
      <c r="A176" t="s">
        <v>196</v>
      </c>
      <c r="B176">
        <v>2019</v>
      </c>
      <c r="C176">
        <v>3003.6552999999999</v>
      </c>
      <c r="D176">
        <v>11760.00023</v>
      </c>
      <c r="E176">
        <v>3.66</v>
      </c>
      <c r="F176">
        <v>4.58</v>
      </c>
      <c r="G176">
        <v>55.582526999999999</v>
      </c>
      <c r="H176">
        <v>38</v>
      </c>
      <c r="I176">
        <v>46.781475</v>
      </c>
      <c r="K176">
        <v>-6.1442363139999996</v>
      </c>
      <c r="L176">
        <v>1316.7406570000001</v>
      </c>
      <c r="M176">
        <v>390757</v>
      </c>
      <c r="N176">
        <v>-19.015438</v>
      </c>
      <c r="O176">
        <v>29.154857</v>
      </c>
      <c r="P176" s="4">
        <f>VLOOKUP(A176, imports_filtered!$A$2:$C$1000, 2, 0)</f>
        <v>21.20016240973548</v>
      </c>
    </row>
  </sheetData>
  <autoFilter ref="A1:P176" xr:uid="{92D7A131-AC88-4FCB-B38A-FDC16EBB0180}">
    <filterColumn colId="2">
      <filters>
        <filter val="10128,142"/>
        <filter val="10582,124"/>
        <filter val="10655,754"/>
        <filter val="107980,76"/>
        <filter val="1100,8312"/>
        <filter val="11049,87"/>
        <filter val="11098,332"/>
        <filter val="11221,787"/>
        <filter val="11258,242"/>
        <filter val="11585,555"/>
        <filter val="1184,3462"/>
        <filter val="1201,7898"/>
        <filter val="12160,402"/>
        <filter val="1231,7151"/>
        <filter val="123712,94"/>
        <filter val="13012,45"/>
        <filter val="1304,0579"/>
        <filter val="134878,39"/>
        <filter val="14184,612"/>
        <filter val="14689,626"/>
        <filter val="1475,9852"/>
        <filter val="15259,877"/>
        <filter val="15387,241"/>
        <filter val="15430,376"/>
        <filter val="155398,47"/>
        <filter val="158657,89"/>
        <filter val="16179,096"/>
        <filter val="16212,221"/>
        <filter val="16259,053"/>
        <filter val="16681,945"/>
        <filter val="1685,7296"/>
        <filter val="1700,5831"/>
        <filter val="1720,2494"/>
        <filter val="17546,781"/>
        <filter val="175527,73"/>
        <filter val="17644,693"/>
        <filter val="17903,295"/>
        <filter val="18447,385"/>
        <filter val="18567,896"/>
        <filter val="1946,3412"/>
        <filter val="19659,346"/>
        <filter val="19839,047"/>
        <filter val="19903,92"/>
        <filter val="19985,01"/>
        <filter val="2027,3756"/>
        <filter val="20460,55"/>
        <filter val="20694,338"/>
        <filter val="20725,168"/>
        <filter val="20792,385"/>
        <filter val="208021,3"/>
        <filter val="21629,324"/>
        <filter val="21661,146"/>
        <filter val="2188,859"/>
        <filter val="21973,062"/>
        <filter val="22405,49"/>
        <filter val="227,57283"/>
        <filter val="22800,158"/>
        <filter val="23200,729"/>
        <filter val="23235,219"/>
        <filter val="23394,7"/>
        <filter val="2416,162"/>
        <filter val="24279,39"/>
        <filter val="2446,9106"/>
        <filter val="24532,93"/>
        <filter val="2459,3628"/>
        <filter val="2482,8318"/>
        <filter val="24873,117"/>
        <filter val="24894,514"/>
        <filter val="25172,027"/>
        <filter val="25511,209"/>
        <filter val="2592,4326"/>
        <filter val="26442,418"/>
        <filter val="26602,787"/>
        <filter val="27251,602"/>
        <filter val="2753,3909"/>
        <filter val="27875,5"/>
        <filter val="28131,205"/>
        <filter val="28277,445"/>
        <filter val="28468,56"/>
        <filter val="2848,7866"/>
        <filter val="2873,82"/>
        <filter val="2916,3176"/>
        <filter val="2983,8816"/>
        <filter val="299,18008"/>
        <filter val="29966,309"/>
        <filter val="29996,027"/>
        <filter val="3003,6553"/>
        <filter val="30464,062"/>
        <filter val="30777,799"/>
        <filter val="309,34055"/>
        <filter val="3135,595"/>
        <filter val="3154,4717"/>
        <filter val="3159,5166"/>
        <filter val="31923,436"/>
        <filter val="3197,22"/>
        <filter val="32421,873"/>
        <filter val="32893,76"/>
        <filter val="33027,516"/>
        <filter val="33139,277"/>
        <filter val="33764,863"/>
        <filter val="33892,78"/>
        <filter val="3418,4949"/>
        <filter val="35085,457"/>
        <filter val="3667,4238"/>
        <filter val="37823,5"/>
        <filter val="37905,92"/>
        <filter val="38270,875"/>
        <filter val="39156,45"/>
        <filter val="39636,066"/>
        <filter val="4069,4607"/>
        <filter val="40868,688"/>
        <filter val="4149,229"/>
        <filter val="4225,4365"/>
        <filter val="42326,785"/>
        <filter val="43404,29"/>
        <filter val="4400,1157"/>
        <filter val="44467,746"/>
        <filter val="45355,285"/>
        <filter val="45777,125"/>
        <filter val="458,18085"/>
        <filter val="468,4848"/>
        <filter val="47295,336"/>
        <filter val="48314,258"/>
        <filter val="4973,5986"/>
        <filter val="50531,71"/>
        <filter val="50639,293"/>
        <filter val="5104,391"/>
        <filter val="51107,844"/>
        <filter val="513,0044"/>
        <filter val="525,5729"/>
        <filter val="53259,336"/>
        <filter val="537,8198"/>
        <filter val="5640,568"/>
        <filter val="5780,252"/>
        <filter val="57961,055"/>
        <filter val="5851,735"/>
        <filter val="58836,934"/>
        <filter val="59219,418"/>
        <filter val="63283,47"/>
        <filter val="64152,26"/>
        <filter val="66263,54"/>
        <filter val="6731,805"/>
        <filter val="678,70404"/>
        <filter val="6863,2144"/>
        <filter val="703,1273"/>
        <filter val="7267,464"/>
        <filter val="7271,5205"/>
        <filter val="7427,6616"/>
        <filter val="747,48596"/>
        <filter val="76273,7"/>
        <filter val="7697,959"/>
        <filter val="79064,88"/>
        <filter val="79489,016"/>
        <filter val="80081,51"/>
        <filter val="802,61255"/>
        <filter val="8041,5947"/>
        <filter val="81070,86"/>
        <filter val="811,62756"/>
        <filter val="82989,266"/>
        <filter val="8474,4795"/>
        <filter val="8642,675"/>
        <filter val="921,99115"/>
        <filter val="9254,443"/>
        <filter val="936,4785"/>
        <filter val="9417,632"/>
        <filter val="946,95734"/>
        <filter val="94612,555"/>
        <filter val="9467,984"/>
        <filter val="9606,213"/>
        <filter val="96392,5"/>
        <filter val="972,6679"/>
        <filter val="9883,737"/>
        <filter val="9919,544"/>
        <filter val="9949,632"/>
      </filters>
    </filterColumn>
    <filterColumn colId="3">
      <customFilters>
        <customFilter operator="notEqual" val=" "/>
      </customFilters>
    </filterColumn>
    <filterColumn colId="4">
      <filters>
        <filter val="0,01"/>
        <filter val="0,02"/>
        <filter val="0,03"/>
        <filter val="0,04"/>
        <filter val="0,05"/>
        <filter val="0,06"/>
        <filter val="0,07"/>
        <filter val="0,08"/>
        <filter val="0,09"/>
        <filter val="0,1"/>
        <filter val="0,12"/>
        <filter val="0,18"/>
        <filter val="0,19"/>
        <filter val="0,2"/>
        <filter val="0,21"/>
        <filter val="0,25"/>
        <filter val="0,27"/>
        <filter val="0,3"/>
        <filter val="0,31"/>
        <filter val="0,33"/>
        <filter val="0,41"/>
        <filter val="0,42"/>
        <filter val="0,43"/>
        <filter val="0,45"/>
        <filter val="0,49"/>
        <filter val="0,55"/>
        <filter val="0,56"/>
        <filter val="0,61"/>
        <filter val="0,67"/>
        <filter val="0,75"/>
        <filter val="0,85"/>
        <filter val="0,95"/>
        <filter val="0,98"/>
        <filter val="0,99"/>
        <filter val="1,06"/>
        <filter val="1,1"/>
        <filter val="1,25"/>
        <filter val="1,36"/>
        <filter val="1,42"/>
        <filter val="1,5"/>
        <filter val="1,51"/>
        <filter val="1,84"/>
        <filter val="1,86"/>
        <filter val="1,89"/>
        <filter val="10,18"/>
        <filter val="10,36"/>
        <filter val="110,65"/>
        <filter val="111,55"/>
        <filter val="12,63"/>
        <filter val="12,78"/>
        <filter val="125,85"/>
        <filter val="1273,59"/>
        <filter val="13,2"/>
        <filter val="137,58"/>
        <filter val="144,99"/>
        <filter val="149,7"/>
        <filter val="16,22"/>
        <filter val="16,41"/>
        <filter val="16,54"/>
        <filter val="16,91"/>
        <filter val="162,59"/>
        <filter val="175,52"/>
        <filter val="18,92"/>
        <filter val="19,24"/>
        <filter val="19,73"/>
        <filter val="19,75"/>
        <filter val="196,45"/>
        <filter val="2,05"/>
        <filter val="2,15"/>
        <filter val="2,17"/>
        <filter val="2,5"/>
        <filter val="2,67"/>
        <filter val="2,76"/>
        <filter val="2,86"/>
        <filter val="2,99"/>
        <filter val="208,39"/>
        <filter val="21,18"/>
        <filter val="22,16"/>
        <filter val="22,91"/>
        <filter val="23,16"/>
        <filter val="23,27"/>
        <filter val="23,84"/>
        <filter val="24,32"/>
        <filter val="247,39"/>
        <filter val="248,2"/>
        <filter val="2588,21"/>
        <filter val="26,35"/>
        <filter val="284,09"/>
        <filter val="29,32"/>
        <filter val="3,05"/>
        <filter val="3,16"/>
        <filter val="3,25"/>
        <filter val="3,35"/>
        <filter val="3,58"/>
        <filter val="3,6"/>
        <filter val="3,65"/>
        <filter val="3,66"/>
        <filter val="3,94"/>
        <filter val="31,43"/>
        <filter val="31,68"/>
        <filter val="32,38"/>
        <filter val="32,48"/>
        <filter val="335,24"/>
        <filter val="36,03"/>
        <filter val="36,74"/>
        <filter val="4,15"/>
        <filter val="4,31"/>
        <filter val="4,38"/>
        <filter val="4,45"/>
        <filter val="4,53"/>
        <filter val="4,63"/>
        <filter val="45,16"/>
        <filter val="45,44"/>
        <filter val="46,98"/>
        <filter val="5,03"/>
        <filter val="5,39"/>
        <filter val="5,47"/>
        <filter val="5,51"/>
        <filter val="5,88"/>
        <filter val="5,98"/>
        <filter val="50,96"/>
        <filter val="5098,22"/>
        <filter val="53,5"/>
        <filter val="53,64"/>
        <filter val="57,79"/>
        <filter val="6,44"/>
        <filter val="68,82"/>
        <filter val="7,09"/>
        <filter val="7,84"/>
        <filter val="70,45"/>
        <filter val="735,66"/>
        <filter val="75,85"/>
        <filter val="78,37"/>
        <filter val="8,63"/>
        <filter val="83,3"/>
        <filter val="83,85"/>
        <filter val="86,44"/>
        <filter val="9,37"/>
        <filter val="90,56"/>
        <filter val="90,91"/>
        <filter val="94,09"/>
        <filter val="95,39"/>
      </filters>
    </filterColumn>
    <filterColumn colId="5">
      <filters>
        <filter val="0,01"/>
        <filter val="0,02"/>
        <filter val="0,03"/>
        <filter val="0,04"/>
        <filter val="0,05"/>
        <filter val="0,06"/>
        <filter val="0,16"/>
        <filter val="0,17"/>
        <filter val="0,19"/>
        <filter val="0,21"/>
        <filter val="0,24"/>
        <filter val="0,25"/>
        <filter val="0,45"/>
        <filter val="0,46"/>
        <filter val="0,47"/>
        <filter val="0,52"/>
        <filter val="0,59"/>
        <filter val="0,65"/>
        <filter val="0,67"/>
        <filter val="0,71"/>
        <filter val="0,72"/>
        <filter val="0,78"/>
        <filter val="0,8"/>
        <filter val="0,82"/>
        <filter val="0,84"/>
        <filter val="0,89"/>
        <filter val="0,91"/>
        <filter val="0,94"/>
        <filter val="0,96"/>
        <filter val="1,01"/>
        <filter val="1,12"/>
        <filter val="1,14"/>
        <filter val="1,17"/>
        <filter val="1,28"/>
        <filter val="1,31"/>
        <filter val="1,32"/>
        <filter val="1,34"/>
        <filter val="1,5"/>
        <filter val="1,69"/>
        <filter val="1,93"/>
        <filter val="10,08"/>
        <filter val="10,24"/>
        <filter val="10,33"/>
        <filter val="10,51"/>
        <filter val="10,95"/>
        <filter val="100,99"/>
        <filter val="11,02"/>
        <filter val="11,09"/>
        <filter val="11,18"/>
        <filter val="11,8"/>
        <filter val="11,87"/>
        <filter val="113,21"/>
        <filter val="115,83"/>
        <filter val="12,57"/>
        <filter val="12,62"/>
        <filter val="120,48"/>
        <filter val="131,07"/>
        <filter val="14,16"/>
        <filter val="14,22"/>
        <filter val="15,06"/>
        <filter val="16,1"/>
        <filter val="19,17"/>
        <filter val="19,47"/>
        <filter val="192,72"/>
        <filter val="2,14"/>
        <filter val="2,31"/>
        <filter val="2,36"/>
        <filter val="2,41"/>
        <filter val="2,47"/>
        <filter val="2,9"/>
        <filter val="2,99"/>
        <filter val="2014,57"/>
        <filter val="22,78"/>
        <filter val="22,79"/>
        <filter val="23,07"/>
        <filter val="24,63"/>
        <filter val="240,33"/>
        <filter val="25,2"/>
        <filter val="25,46"/>
        <filter val="27,41"/>
        <filter val="28,02"/>
        <filter val="28,76"/>
        <filter val="3,02"/>
        <filter val="3,19"/>
        <filter val="3,8"/>
        <filter val="303,16"/>
        <filter val="31,88"/>
        <filter val="32,23"/>
        <filter val="34,41"/>
        <filter val="34,63"/>
        <filter val="35,97"/>
        <filter val="37,64"/>
        <filter val="4,15"/>
        <filter val="4,24"/>
        <filter val="4,51"/>
        <filter val="4,58"/>
        <filter val="4,7"/>
        <filter val="40,52"/>
        <filter val="421,8"/>
        <filter val="48,04"/>
        <filter val="48,99"/>
        <filter val="5,04"/>
        <filter val="5,34"/>
        <filter val="5,36"/>
        <filter val="5,71"/>
        <filter val="5,73"/>
        <filter val="512,59"/>
        <filter val="53,41"/>
        <filter val="54,31"/>
        <filter val="54,64"/>
        <filter val="59"/>
        <filter val="6,24"/>
        <filter val="6,31"/>
        <filter val="6,47"/>
        <filter val="7,32"/>
        <filter val="7,49"/>
        <filter val="7,6"/>
        <filter val="760,76"/>
        <filter val="8,3"/>
        <filter val="8,35"/>
        <filter val="8,49"/>
        <filter val="8,93"/>
        <filter val="98,94"/>
      </filters>
    </filterColumn>
    <filterColumn colId="9">
      <customFilters>
        <customFilter operator="notEqual" val=" "/>
      </customFilters>
    </filterColumn>
    <filterColumn colId="10">
      <customFilters>
        <customFilter operator="notEqual" val=" "/>
      </customFilters>
    </filterColumn>
    <filterColumn colId="15">
      <filters>
        <filter val="0,41944177"/>
        <filter val="-0,898716369"/>
        <filter val="109,5147766"/>
        <filter val="-129,4510981"/>
        <filter val="-13,28038292"/>
        <filter val="-133,3527465"/>
        <filter val="-157,2515881"/>
        <filter val="-177,7154055"/>
        <filter val="18,29943971"/>
        <filter val="-181,4141124"/>
        <filter val="-19,67985667"/>
        <filter val="2,49167708"/>
        <filter val="22,22097389"/>
        <filter val="-230,5402481"/>
        <filter val="-240,7002402"/>
        <filter val="269,8153069"/>
        <filter val="-274,4174565"/>
        <filter val="30,29749409"/>
        <filter val="31,84427316"/>
        <filter val="32,01970348"/>
        <filter val="33,5162433"/>
        <filter val="-338,021655"/>
        <filter val="-357,4716442"/>
        <filter val="36,5356011"/>
        <filter val="36,78168662"/>
        <filter val="39,2996983"/>
        <filter val="39,3231833"/>
        <filter val="-4,059636124"/>
        <filter val="4,688637935"/>
        <filter val="-420,3529577"/>
        <filter val="43,76761717"/>
        <filter val="44,4037103"/>
        <filter val="45,881671"/>
        <filter val="48,4186366"/>
        <filter val="48,61614489"/>
        <filter val="48,63121178"/>
        <filter val="49,70652063"/>
        <filter val="5,117667012"/>
        <filter val="52,84915693"/>
        <filter val="55,40321991"/>
        <filter val="57,79626821"/>
        <filter val="58,9557104"/>
        <filter val="-596,9587884"/>
        <filter val="69,22588715"/>
        <filter val="69,81266662"/>
        <filter val="69,92400065"/>
        <filter val="70,73437935"/>
        <filter val="74,4762819"/>
        <filter val="75,41381605"/>
        <filter val="-75,76917616"/>
        <filter val="78,25449011"/>
        <filter val="79,09285752"/>
        <filter val="82,22796403"/>
        <filter val="82,91405795"/>
        <filter val="84,35654716"/>
        <filter val="85,25553518"/>
        <filter val="87,49899898"/>
        <filter val="90,55903281"/>
        <filter val="90,93022608"/>
        <filter val="92,42728368"/>
        <filter val="-95,75423183"/>
        <filter val="-99,18164887"/>
        <filter val="-99,9829643"/>
      </filters>
    </filterColumn>
  </autoFilter>
  <conditionalFormatting sqref="A177:O1045102 A1:O176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AA10-A390-4069-8B1E-DDF25DD88EE4}">
  <dimension ref="A1:B139"/>
  <sheetViews>
    <sheetView workbookViewId="0">
      <selection activeCell="A4" sqref="A4:B4"/>
    </sheetView>
  </sheetViews>
  <sheetFormatPr defaultRowHeight="15"/>
  <cols>
    <col min="1" max="1" width="24.28515625" bestFit="1" customWidth="1"/>
    <col min="2" max="2" width="12.7109375" bestFit="1" customWidth="1"/>
  </cols>
  <sheetData>
    <row r="1" spans="1:2">
      <c r="A1" s="1" t="s">
        <v>197</v>
      </c>
      <c r="B1" s="1" t="s">
        <v>230</v>
      </c>
    </row>
    <row r="2" spans="1:2">
      <c r="A2" t="s">
        <v>22</v>
      </c>
      <c r="B2">
        <v>32.231802728054802</v>
      </c>
    </row>
    <row r="3" spans="1:2">
      <c r="A3" t="s">
        <v>23</v>
      </c>
      <c r="B3">
        <v>-133.35274649055356</v>
      </c>
    </row>
    <row r="4" spans="1:2">
      <c r="A4" t="s">
        <v>24</v>
      </c>
      <c r="B4">
        <v>-488.93284268629304</v>
      </c>
    </row>
    <row r="5" spans="1:2">
      <c r="A5" t="s">
        <v>26</v>
      </c>
      <c r="B5">
        <v>2.4916770796544179</v>
      </c>
    </row>
    <row r="6" spans="1:2">
      <c r="A6" t="s">
        <v>27</v>
      </c>
      <c r="B6">
        <v>74.170785301844774</v>
      </c>
    </row>
    <row r="7" spans="1:2">
      <c r="A7" t="s">
        <v>29</v>
      </c>
      <c r="B7">
        <v>-230.54024812099971</v>
      </c>
    </row>
    <row r="8" spans="1:2">
      <c r="A8" t="s">
        <v>30</v>
      </c>
      <c r="B8">
        <v>74.476281896077239</v>
      </c>
    </row>
    <row r="9" spans="1:2">
      <c r="A9" t="s">
        <v>31</v>
      </c>
      <c r="B9">
        <v>-274.4174564968165</v>
      </c>
    </row>
    <row r="10" spans="1:2">
      <c r="A10" t="s">
        <v>33</v>
      </c>
      <c r="B10">
        <v>-53.430626621253673</v>
      </c>
    </row>
    <row r="11" spans="1:2">
      <c r="A11" t="s">
        <v>34</v>
      </c>
      <c r="B11">
        <v>30.297494089433673</v>
      </c>
    </row>
    <row r="12" spans="1:2">
      <c r="A12" t="s">
        <v>36</v>
      </c>
      <c r="B12">
        <v>85.255535181284188</v>
      </c>
    </row>
    <row r="13" spans="1:2">
      <c r="A13" t="s">
        <v>37</v>
      </c>
      <c r="B13">
        <v>90.93022607944684</v>
      </c>
    </row>
    <row r="14" spans="1:2">
      <c r="A14" t="s">
        <v>39</v>
      </c>
      <c r="B14">
        <v>46.04164120115712</v>
      </c>
    </row>
    <row r="15" spans="1:2">
      <c r="A15" t="s">
        <v>232</v>
      </c>
      <c r="B15">
        <v>-90.754164651650655</v>
      </c>
    </row>
    <row r="16" spans="1:2">
      <c r="A16" t="s">
        <v>42</v>
      </c>
      <c r="B16">
        <v>27.394096607584313</v>
      </c>
    </row>
    <row r="17" spans="1:2">
      <c r="A17" t="s">
        <v>43</v>
      </c>
      <c r="B17">
        <v>33.186238524542915</v>
      </c>
    </row>
    <row r="18" spans="1:2">
      <c r="A18" t="s">
        <v>44</v>
      </c>
      <c r="B18">
        <v>-4.0596361235300238</v>
      </c>
    </row>
    <row r="19" spans="1:2">
      <c r="A19" t="s">
        <v>233</v>
      </c>
      <c r="B19">
        <v>-266.99691598246801</v>
      </c>
    </row>
    <row r="20" spans="1:2">
      <c r="A20" t="s">
        <v>45</v>
      </c>
      <c r="B20">
        <v>39.323183297250772</v>
      </c>
    </row>
    <row r="21" spans="1:2">
      <c r="A21" t="s">
        <v>48</v>
      </c>
    </row>
    <row r="22" spans="1:2">
      <c r="A22" t="s">
        <v>49</v>
      </c>
      <c r="B22">
        <v>-31.903384164690756</v>
      </c>
    </row>
    <row r="23" spans="1:2">
      <c r="A23" t="s">
        <v>50</v>
      </c>
      <c r="B23">
        <v>-75.769176162835052</v>
      </c>
    </row>
    <row r="24" spans="1:2">
      <c r="A24" t="s">
        <v>53</v>
      </c>
      <c r="B24">
        <v>-204.99154039929314</v>
      </c>
    </row>
    <row r="25" spans="1:2">
      <c r="A25" t="s">
        <v>54</v>
      </c>
      <c r="B25">
        <v>69.22588715228855</v>
      </c>
    </row>
    <row r="26" spans="1:2">
      <c r="A26" t="s">
        <v>55</v>
      </c>
      <c r="B26">
        <v>22.220973887868901</v>
      </c>
    </row>
    <row r="27" spans="1:2">
      <c r="A27" t="s">
        <v>56</v>
      </c>
      <c r="B27">
        <v>-181.41411240267524</v>
      </c>
    </row>
    <row r="28" spans="1:2">
      <c r="A28" t="s">
        <v>234</v>
      </c>
      <c r="B28">
        <v>-511.22992700729799</v>
      </c>
    </row>
    <row r="29" spans="1:2">
      <c r="A29" t="s">
        <v>59</v>
      </c>
      <c r="B29">
        <v>57.963810665068848</v>
      </c>
    </row>
    <row r="30" spans="1:2">
      <c r="A30" t="s">
        <v>235</v>
      </c>
      <c r="B30">
        <v>4.6010464431865197</v>
      </c>
    </row>
    <row r="31" spans="1:2">
      <c r="A31" t="s">
        <v>60</v>
      </c>
      <c r="B31">
        <v>57.796268210215892</v>
      </c>
    </row>
    <row r="32" spans="1:2">
      <c r="A32" t="s">
        <v>61</v>
      </c>
      <c r="B32">
        <v>52.813624618507191</v>
      </c>
    </row>
    <row r="33" spans="1:2">
      <c r="A33" t="s">
        <v>236</v>
      </c>
    </row>
    <row r="34" spans="1:2">
      <c r="A34" t="s">
        <v>62</v>
      </c>
    </row>
    <row r="35" spans="1:2">
      <c r="A35" t="s">
        <v>237</v>
      </c>
      <c r="B35">
        <v>41.017300221502353</v>
      </c>
    </row>
    <row r="36" spans="1:2">
      <c r="A36" t="s">
        <v>64</v>
      </c>
      <c r="B36">
        <v>43.767617174696923</v>
      </c>
    </row>
    <row r="37" spans="1:2">
      <c r="A37" t="s">
        <v>67</v>
      </c>
      <c r="B37">
        <v>93.940653914164784</v>
      </c>
    </row>
    <row r="38" spans="1:2">
      <c r="A38" t="s">
        <v>68</v>
      </c>
      <c r="B38">
        <v>-95.754231825890443</v>
      </c>
    </row>
    <row r="39" spans="1:2">
      <c r="A39" t="s">
        <v>238</v>
      </c>
      <c r="B39">
        <v>-0.53103398238945687</v>
      </c>
    </row>
    <row r="40" spans="1:2">
      <c r="A40" t="s">
        <v>70</v>
      </c>
      <c r="B40">
        <v>61.322794993417816</v>
      </c>
    </row>
    <row r="41" spans="1:2">
      <c r="A41" t="s">
        <v>72</v>
      </c>
    </row>
    <row r="42" spans="1:2">
      <c r="A42" t="s">
        <v>73</v>
      </c>
      <c r="B42">
        <v>5.1176670124326771</v>
      </c>
    </row>
    <row r="43" spans="1:2">
      <c r="A43" t="s">
        <v>74</v>
      </c>
      <c r="B43">
        <v>31.478770131771565</v>
      </c>
    </row>
    <row r="44" spans="1:2">
      <c r="A44" t="s">
        <v>239</v>
      </c>
      <c r="B44">
        <v>12.044911617787465</v>
      </c>
    </row>
    <row r="45" spans="1:2">
      <c r="A45" t="s">
        <v>77</v>
      </c>
      <c r="B45">
        <v>44.403710301262898</v>
      </c>
    </row>
    <row r="46" spans="1:2">
      <c r="A46" t="s">
        <v>240</v>
      </c>
      <c r="B46">
        <v>15.655636221739408</v>
      </c>
    </row>
    <row r="47" spans="1:2">
      <c r="A47" t="s">
        <v>78</v>
      </c>
      <c r="B47">
        <v>49.706520625646164</v>
      </c>
    </row>
    <row r="48" spans="1:2">
      <c r="A48" t="s">
        <v>80</v>
      </c>
      <c r="B48">
        <v>-210.22510218894536</v>
      </c>
    </row>
    <row r="49" spans="1:2">
      <c r="A49" t="s">
        <v>82</v>
      </c>
      <c r="B49">
        <v>80.722389485365397</v>
      </c>
    </row>
    <row r="50" spans="1:2">
      <c r="A50" t="s">
        <v>83</v>
      </c>
      <c r="B50">
        <v>69.924000647515456</v>
      </c>
    </row>
    <row r="51" spans="1:2">
      <c r="A51" t="s">
        <v>84</v>
      </c>
      <c r="B51">
        <v>-43.168048177075285</v>
      </c>
    </row>
    <row r="52" spans="1:2">
      <c r="A52" t="s">
        <v>85</v>
      </c>
      <c r="B52">
        <v>87.498998984916568</v>
      </c>
    </row>
    <row r="53" spans="1:2">
      <c r="A53" t="s">
        <v>87</v>
      </c>
      <c r="B53">
        <v>42.437554934603398</v>
      </c>
    </row>
    <row r="54" spans="1:2">
      <c r="A54" t="s">
        <v>92</v>
      </c>
      <c r="B54">
        <v>54.048180572190638</v>
      </c>
    </row>
    <row r="55" spans="1:2">
      <c r="A55" t="s">
        <v>241</v>
      </c>
      <c r="B55">
        <v>220.53671914195459</v>
      </c>
    </row>
    <row r="56" spans="1:2">
      <c r="A56" t="s">
        <v>93</v>
      </c>
      <c r="B56">
        <v>69.812666621860558</v>
      </c>
    </row>
    <row r="57" spans="1:2">
      <c r="A57" t="s">
        <v>94</v>
      </c>
    </row>
    <row r="58" spans="1:2">
      <c r="A58" t="s">
        <v>95</v>
      </c>
      <c r="B58">
        <v>39.299698298591359</v>
      </c>
    </row>
    <row r="59" spans="1:2">
      <c r="A59" t="s">
        <v>96</v>
      </c>
      <c r="B59">
        <v>-99.181648865643822</v>
      </c>
    </row>
    <row r="60" spans="1:2">
      <c r="A60" t="s">
        <v>242</v>
      </c>
      <c r="B60">
        <v>-27.242127434948621</v>
      </c>
    </row>
    <row r="61" spans="1:2">
      <c r="A61" t="s">
        <v>97</v>
      </c>
      <c r="B61">
        <v>-357.47164421788136</v>
      </c>
    </row>
    <row r="62" spans="1:2">
      <c r="A62" t="s">
        <v>98</v>
      </c>
      <c r="B62">
        <v>75.413816050316143</v>
      </c>
    </row>
    <row r="63" spans="1:2">
      <c r="A63" t="s">
        <v>99</v>
      </c>
      <c r="B63">
        <v>70.734379347895015</v>
      </c>
    </row>
    <row r="64" spans="1:2">
      <c r="A64" t="s">
        <v>100</v>
      </c>
      <c r="B64">
        <v>82.227964030235896</v>
      </c>
    </row>
    <row r="65" spans="1:2">
      <c r="A65" t="s">
        <v>101</v>
      </c>
      <c r="B65">
        <v>111.27757461366021</v>
      </c>
    </row>
    <row r="66" spans="1:2">
      <c r="A66" t="s">
        <v>102</v>
      </c>
      <c r="B66">
        <v>90.559032812018557</v>
      </c>
    </row>
    <row r="67" spans="1:2">
      <c r="A67" t="s">
        <v>103</v>
      </c>
      <c r="B67">
        <v>98.830744793505133</v>
      </c>
    </row>
    <row r="68" spans="1:2">
      <c r="A68" t="s">
        <v>104</v>
      </c>
      <c r="B68">
        <v>-129.45109814824136</v>
      </c>
    </row>
    <row r="69" spans="1:2">
      <c r="A69" t="s">
        <v>105</v>
      </c>
      <c r="B69">
        <v>22.909546251785017</v>
      </c>
    </row>
    <row r="70" spans="1:2">
      <c r="A70" t="s">
        <v>243</v>
      </c>
      <c r="B70">
        <v>88.156299076015927</v>
      </c>
    </row>
    <row r="71" spans="1:2">
      <c r="A71" t="s">
        <v>107</v>
      </c>
      <c r="B71">
        <v>-338.02165504483031</v>
      </c>
    </row>
    <row r="72" spans="1:2">
      <c r="A72" t="s">
        <v>244</v>
      </c>
      <c r="B72">
        <v>38.862477566883328</v>
      </c>
    </row>
    <row r="73" spans="1:2">
      <c r="A73" t="s">
        <v>245</v>
      </c>
      <c r="B73">
        <v>-20.588594919363423</v>
      </c>
    </row>
    <row r="74" spans="1:2">
      <c r="A74" t="s">
        <v>109</v>
      </c>
      <c r="B74">
        <v>48.418636603277136</v>
      </c>
    </row>
    <row r="75" spans="1:2">
      <c r="A75" t="s">
        <v>110</v>
      </c>
      <c r="B75">
        <v>100.20602776799544</v>
      </c>
    </row>
    <row r="76" spans="1:2">
      <c r="A76" t="s">
        <v>113</v>
      </c>
      <c r="B76">
        <v>-228.66015864436676</v>
      </c>
    </row>
    <row r="77" spans="1:2">
      <c r="A77" t="s">
        <v>114</v>
      </c>
      <c r="B77">
        <v>79.092857523903533</v>
      </c>
    </row>
    <row r="78" spans="1:2">
      <c r="A78" t="s">
        <v>115</v>
      </c>
      <c r="B78">
        <v>109.51477659908659</v>
      </c>
    </row>
    <row r="79" spans="1:2">
      <c r="A79" t="s">
        <v>116</v>
      </c>
    </row>
    <row r="80" spans="1:2">
      <c r="A80" t="s">
        <v>118</v>
      </c>
      <c r="B80">
        <v>0.41944176997829941</v>
      </c>
    </row>
    <row r="81" spans="1:2">
      <c r="A81" t="s">
        <v>121</v>
      </c>
      <c r="B81">
        <v>424.20782468493928</v>
      </c>
    </row>
    <row r="82" spans="1:2">
      <c r="A82" t="s">
        <v>124</v>
      </c>
      <c r="B82">
        <v>18.299439714700004</v>
      </c>
    </row>
    <row r="83" spans="1:2">
      <c r="A83" t="s">
        <v>246</v>
      </c>
      <c r="B83">
        <v>84.157587420737144</v>
      </c>
    </row>
    <row r="84" spans="1:2">
      <c r="A84" t="s">
        <v>125</v>
      </c>
      <c r="B84">
        <v>-269.08596406725928</v>
      </c>
    </row>
    <row r="85" spans="1:2">
      <c r="A85" t="s">
        <v>127</v>
      </c>
      <c r="B85">
        <v>92.42728367577827</v>
      </c>
    </row>
    <row r="86" spans="1:2">
      <c r="A86" t="s">
        <v>128</v>
      </c>
      <c r="B86">
        <v>-82.456795142661051</v>
      </c>
    </row>
    <row r="87" spans="1:2">
      <c r="A87" t="s">
        <v>129</v>
      </c>
      <c r="B87">
        <v>-23.663232736540326</v>
      </c>
    </row>
    <row r="88" spans="1:2">
      <c r="A88" t="s">
        <v>130</v>
      </c>
      <c r="B88">
        <v>71.534119417962756</v>
      </c>
    </row>
    <row r="89" spans="1:2">
      <c r="A89" t="s">
        <v>132</v>
      </c>
      <c r="B89">
        <v>26.828448648121565</v>
      </c>
    </row>
    <row r="90" spans="1:2">
      <c r="A90" t="s">
        <v>133</v>
      </c>
      <c r="B90">
        <v>78.254490110402074</v>
      </c>
    </row>
    <row r="91" spans="1:2">
      <c r="A91" t="s">
        <v>135</v>
      </c>
      <c r="B91">
        <v>31.844273155669246</v>
      </c>
    </row>
    <row r="92" spans="1:2">
      <c r="A92" t="s">
        <v>136</v>
      </c>
      <c r="B92">
        <v>44.588333064289621</v>
      </c>
    </row>
    <row r="93" spans="1:2">
      <c r="A93" t="s">
        <v>137</v>
      </c>
      <c r="B93">
        <v>-2.6244967079606143</v>
      </c>
    </row>
    <row r="94" spans="1:2">
      <c r="A94" t="s">
        <v>138</v>
      </c>
      <c r="B94">
        <v>-145.3426255202863</v>
      </c>
    </row>
    <row r="95" spans="1:2">
      <c r="A95" t="s">
        <v>139</v>
      </c>
      <c r="B95">
        <v>58.955710403102287</v>
      </c>
    </row>
    <row r="96" spans="1:2">
      <c r="A96" t="s">
        <v>140</v>
      </c>
      <c r="B96">
        <v>-596.95878837444548</v>
      </c>
    </row>
    <row r="97" spans="1:2">
      <c r="A97" t="s">
        <v>141</v>
      </c>
      <c r="B97">
        <v>-240.70024022854827</v>
      </c>
    </row>
    <row r="98" spans="1:2">
      <c r="A98" t="s">
        <v>142</v>
      </c>
      <c r="B98">
        <v>33.516243302154521</v>
      </c>
    </row>
    <row r="99" spans="1:2">
      <c r="A99" t="s">
        <v>143</v>
      </c>
      <c r="B99">
        <v>203.13480688173286</v>
      </c>
    </row>
    <row r="100" spans="1:2">
      <c r="A100" t="s">
        <v>145</v>
      </c>
      <c r="B100">
        <v>-1.476952053772485</v>
      </c>
    </row>
    <row r="101" spans="1:2">
      <c r="A101" t="s">
        <v>146</v>
      </c>
      <c r="B101">
        <v>4.6886379350081144</v>
      </c>
    </row>
    <row r="102" spans="1:2">
      <c r="A102" t="s">
        <v>147</v>
      </c>
      <c r="B102">
        <v>48.61614489163567</v>
      </c>
    </row>
    <row r="103" spans="1:2">
      <c r="A103" t="s">
        <v>148</v>
      </c>
      <c r="B103">
        <v>45.881670996217302</v>
      </c>
    </row>
    <row r="104" spans="1:2">
      <c r="A104" t="s">
        <v>149</v>
      </c>
      <c r="B104">
        <v>84.356547159682876</v>
      </c>
    </row>
    <row r="105" spans="1:2">
      <c r="A105" t="s">
        <v>151</v>
      </c>
      <c r="B105">
        <v>-420.35295766299964</v>
      </c>
    </row>
    <row r="106" spans="1:2">
      <c r="A106" t="s">
        <v>247</v>
      </c>
      <c r="B106">
        <v>-99.051703216378513</v>
      </c>
    </row>
    <row r="107" spans="1:2">
      <c r="A107" t="s">
        <v>153</v>
      </c>
      <c r="B107">
        <v>9.9944033851674128</v>
      </c>
    </row>
    <row r="108" spans="1:2">
      <c r="A108" t="s">
        <v>159</v>
      </c>
      <c r="B108">
        <v>-177.71540547339274</v>
      </c>
    </row>
    <row r="109" spans="1:2">
      <c r="A109" t="s">
        <v>160</v>
      </c>
      <c r="B109">
        <v>70.184381619564363</v>
      </c>
    </row>
    <row r="110" spans="1:2">
      <c r="A110" t="s">
        <v>164</v>
      </c>
      <c r="B110">
        <v>269.8153069239583</v>
      </c>
    </row>
    <row r="111" spans="1:2">
      <c r="A111" t="s">
        <v>248</v>
      </c>
      <c r="B111">
        <v>69.472895888014207</v>
      </c>
    </row>
    <row r="112" spans="1:2">
      <c r="A112" t="s">
        <v>166</v>
      </c>
      <c r="B112">
        <v>52.849156926782058</v>
      </c>
    </row>
    <row r="113" spans="1:2">
      <c r="A113" t="s">
        <v>169</v>
      </c>
      <c r="B113">
        <v>-13.280382915354775</v>
      </c>
    </row>
    <row r="114" spans="1:2">
      <c r="A114" t="s">
        <v>171</v>
      </c>
      <c r="B114">
        <v>82.914057950379032</v>
      </c>
    </row>
    <row r="115" spans="1:2">
      <c r="A115" t="s">
        <v>172</v>
      </c>
    </row>
    <row r="116" spans="1:2">
      <c r="A116" t="s">
        <v>174</v>
      </c>
      <c r="B116">
        <v>13.968745728734788</v>
      </c>
    </row>
    <row r="117" spans="1:2">
      <c r="A117" t="s">
        <v>175</v>
      </c>
      <c r="B117">
        <v>32.019703476000679</v>
      </c>
    </row>
    <row r="118" spans="1:2">
      <c r="A118" t="s">
        <v>176</v>
      </c>
      <c r="B118">
        <v>55.403219910216926</v>
      </c>
    </row>
    <row r="119" spans="1:2">
      <c r="A119" t="s">
        <v>249</v>
      </c>
      <c r="B119">
        <v>63.098756878274941</v>
      </c>
    </row>
    <row r="120" spans="1:2">
      <c r="A120" t="s">
        <v>177</v>
      </c>
      <c r="B120">
        <v>28.436336106961491</v>
      </c>
    </row>
    <row r="121" spans="1:2">
      <c r="A121" t="s">
        <v>250</v>
      </c>
      <c r="B121">
        <v>13.136835463866909</v>
      </c>
    </row>
    <row r="122" spans="1:2">
      <c r="A122" t="s">
        <v>178</v>
      </c>
      <c r="B122">
        <v>48.631211775079578</v>
      </c>
    </row>
    <row r="123" spans="1:2">
      <c r="A123" t="s">
        <v>179</v>
      </c>
    </row>
    <row r="124" spans="1:2">
      <c r="A124" t="s">
        <v>181</v>
      </c>
      <c r="B124">
        <v>-99.982964296236617</v>
      </c>
    </row>
    <row r="125" spans="1:2">
      <c r="A125" t="s">
        <v>182</v>
      </c>
      <c r="B125">
        <v>57.840137781614231</v>
      </c>
    </row>
    <row r="126" spans="1:2">
      <c r="A126" t="s">
        <v>183</v>
      </c>
      <c r="B126">
        <v>72.197363294463642</v>
      </c>
    </row>
    <row r="127" spans="1:2">
      <c r="A127" t="s">
        <v>184</v>
      </c>
      <c r="B127">
        <v>-242.60681687190478</v>
      </c>
    </row>
    <row r="128" spans="1:2">
      <c r="A128" t="s">
        <v>186</v>
      </c>
      <c r="B128">
        <v>22.000514697541956</v>
      </c>
    </row>
    <row r="129" spans="1:2">
      <c r="A129" t="s">
        <v>187</v>
      </c>
      <c r="B129">
        <v>36.781686617143286</v>
      </c>
    </row>
    <row r="130" spans="1:2">
      <c r="A130" t="s">
        <v>188</v>
      </c>
      <c r="B130">
        <v>-157.25158809757821</v>
      </c>
    </row>
    <row r="131" spans="1:2">
      <c r="A131" t="s">
        <v>189</v>
      </c>
      <c r="B131">
        <v>36.535601100354782</v>
      </c>
    </row>
    <row r="132" spans="1:2">
      <c r="A132" t="s">
        <v>190</v>
      </c>
      <c r="B132">
        <v>-0.89871636880805517</v>
      </c>
    </row>
    <row r="133" spans="1:2">
      <c r="A133" t="s">
        <v>191</v>
      </c>
      <c r="B133">
        <v>38.909067679053727</v>
      </c>
    </row>
    <row r="134" spans="1:2">
      <c r="A134" t="s">
        <v>192</v>
      </c>
      <c r="B134">
        <v>-19.679856666711824</v>
      </c>
    </row>
    <row r="135" spans="1:2">
      <c r="A135" t="s">
        <v>251</v>
      </c>
      <c r="B135">
        <v>-114.74842035231445</v>
      </c>
    </row>
    <row r="136" spans="1:2">
      <c r="A136" t="s">
        <v>252</v>
      </c>
      <c r="B136">
        <v>39.207047800101954</v>
      </c>
    </row>
    <row r="137" spans="1:2">
      <c r="A137" t="s">
        <v>194</v>
      </c>
      <c r="B137">
        <v>-27.726805637110946</v>
      </c>
    </row>
    <row r="138" spans="1:2">
      <c r="A138" t="s">
        <v>195</v>
      </c>
      <c r="B138">
        <v>11.175339868314659</v>
      </c>
    </row>
    <row r="139" spans="1:2">
      <c r="A139" t="s">
        <v>196</v>
      </c>
      <c r="B139">
        <v>21.20016240973548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597A4-992C-49B0-9478-2F338E3D6065}">
  <dimension ref="A1:U5"/>
  <sheetViews>
    <sheetView zoomScale="85" zoomScaleNormal="85" workbookViewId="0">
      <selection activeCell="F2" sqref="F2"/>
    </sheetView>
  </sheetViews>
  <sheetFormatPr defaultRowHeight="15"/>
  <cols>
    <col min="1" max="1" width="8.140625" bestFit="1" customWidth="1"/>
    <col min="2" max="2" width="9.140625" customWidth="1"/>
    <col min="3" max="3" width="49.85546875" bestFit="1" customWidth="1"/>
    <col min="4" max="4" width="34.42578125" bestFit="1" customWidth="1"/>
    <col min="5" max="5" width="31.140625" bestFit="1" customWidth="1"/>
    <col min="6" max="6" width="32" bestFit="1" customWidth="1"/>
    <col min="7" max="7" width="34.140625" bestFit="1" customWidth="1"/>
    <col min="8" max="8" width="49.7109375" bestFit="1" customWidth="1"/>
    <col min="9" max="9" width="61.140625" bestFit="1" customWidth="1"/>
    <col min="10" max="10" width="17.28515625" bestFit="1" customWidth="1"/>
    <col min="11" max="11" width="35.140625" bestFit="1" customWidth="1"/>
    <col min="12" max="12" width="30.140625" bestFit="1" customWidth="1"/>
    <col min="13" max="13" width="40.140625" bestFit="1" customWidth="1"/>
    <col min="14" max="14" width="42.42578125" bestFit="1" customWidth="1"/>
    <col min="15" max="15" width="11.5703125" bestFit="1" customWidth="1"/>
    <col min="16" max="16" width="14.7109375" bestFit="1" customWidth="1"/>
    <col min="17" max="17" width="56.28515625" bestFit="1" customWidth="1"/>
    <col min="18" max="18" width="15.140625" bestFit="1" customWidth="1"/>
    <col min="19" max="19" width="8.28515625" bestFit="1" customWidth="1"/>
    <col min="20" max="20" width="9.85546875" bestFit="1" customWidth="1"/>
  </cols>
  <sheetData>
    <row r="1" spans="1:21">
      <c r="A1" s="2" t="s">
        <v>0</v>
      </c>
      <c r="B1" s="2" t="s">
        <v>1</v>
      </c>
      <c r="C1" s="2" t="s">
        <v>11</v>
      </c>
      <c r="D1" s="2" t="s">
        <v>13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4</v>
      </c>
      <c r="J1" s="2" t="s">
        <v>6</v>
      </c>
      <c r="K1" s="2" t="s">
        <v>17</v>
      </c>
      <c r="L1" s="2" t="s">
        <v>2</v>
      </c>
      <c r="M1" s="2" t="s">
        <v>3</v>
      </c>
      <c r="N1" s="2" t="s">
        <v>14</v>
      </c>
      <c r="O1" s="2" t="s">
        <v>5</v>
      </c>
      <c r="P1" s="2" t="s">
        <v>15</v>
      </c>
      <c r="Q1" s="2" t="s">
        <v>16</v>
      </c>
      <c r="R1" s="2" t="s">
        <v>12</v>
      </c>
      <c r="S1" s="2" t="s">
        <v>18</v>
      </c>
      <c r="T1" s="2" t="s">
        <v>19</v>
      </c>
      <c r="U1" s="2" t="s">
        <v>20</v>
      </c>
    </row>
    <row r="2" spans="1:21">
      <c r="A2">
        <f>COUNTIF(energy!A:A, 0) + COUNTIF(energy!A:A, ЕПУСТО)</f>
        <v>0</v>
      </c>
      <c r="B2">
        <f>COUNTIF(energy!B:B, 0) + COUNTIF(energy!B:B, ЕПУСТО)</f>
        <v>0</v>
      </c>
      <c r="C2">
        <f>COUNTIF(energy!C:C, 0) + COUNTIF(energy!C:C, ЕПУСТО)</f>
        <v>21</v>
      </c>
      <c r="D2">
        <f>COUNTIF(energy!D:D, 0) + COUNTIF(energy!D:D, ЕПУСТО)</f>
        <v>0</v>
      </c>
      <c r="E2">
        <f>COUNTIF(energy!E:E, 0) + COUNTIF(energy!E:E, ЕПУСТО)</f>
        <v>141</v>
      </c>
      <c r="F2">
        <f>COUNTIF(energy!F:F, 0) + COUNTIF(energy!F:F, ЕПУСТО)</f>
        <v>2945</v>
      </c>
      <c r="G2">
        <f>COUNTIF(energy!G:G, 0) + COUNTIF(energy!G:G, ЕПУСТО)</f>
        <v>639</v>
      </c>
      <c r="H2">
        <f>COUNTIF(energy!H:H, 0) + COUNTIF(energy!H:H, ЕПУСТО)</f>
        <v>618</v>
      </c>
      <c r="I2">
        <f>COUNTIF(energy!I:I, 0) + COUNTIF(energy!I:I, ЕПУСТО)</f>
        <v>229</v>
      </c>
      <c r="J2">
        <f>COUNTIF(energy!J:J, 0) + COUNTIF(energy!J:J, ЕПУСТО)</f>
        <v>95</v>
      </c>
      <c r="K2">
        <f>COUNTIF(energy!K:K, 0) + COUNTIF(energy!K:K, ЕПУСТО)</f>
        <v>0</v>
      </c>
      <c r="L2">
        <f>COUNTIF(energy!L:L, 0) + COUNTIF(energy!L:L, ЕПУСТО)</f>
        <v>0</v>
      </c>
      <c r="M2">
        <f>COUNTIF(energy!M:M, 0) + COUNTIF(energy!M:M, ЕПУСТО)</f>
        <v>8</v>
      </c>
      <c r="N2">
        <f>COUNTIF(energy!N:N, 0) + COUNTIF(energy!N:N, ЕПУСТО)</f>
        <v>58</v>
      </c>
      <c r="O2">
        <f>COUNTIF(energy!O:O, 0) + COUNTIF(energy!O:O, ЕПУСТО)</f>
        <v>25</v>
      </c>
      <c r="P2">
        <f>COUNTIF(energy!P:P, 0) + COUNTIF(energy!P:P, ЕПУСТО)</f>
        <v>1</v>
      </c>
      <c r="Q2">
        <f>COUNTIF(energy!Q:Q, 0) + COUNTIF(energy!Q:Q, ЕПУСТО)</f>
        <v>0</v>
      </c>
      <c r="R2">
        <f>COUNTIF(energy!R:R, 0) + COUNTIF(energy!R:R, ЕПУСТО)</f>
        <v>0</v>
      </c>
      <c r="S2">
        <f>COUNTIF(energy!S:S, 0) + COUNTIF(energy!S:S, ЕПУСТО)</f>
        <v>0</v>
      </c>
      <c r="T2">
        <f>COUNTIF(energy!T:T, 0) + COUNTIF(energy!T:T, ЕПУСТО)</f>
        <v>0</v>
      </c>
      <c r="U2">
        <f>COUNTIF(energy!U:U, 0) + COUNTIF(energy!U:U, ЕПУСТО)</f>
        <v>0</v>
      </c>
    </row>
    <row r="5" spans="1:21">
      <c r="A5">
        <f>3600/20</f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final</vt:lpstr>
      <vt:lpstr>disp_for_r</vt:lpstr>
      <vt:lpstr>disp_res</vt:lpstr>
      <vt:lpstr>for_disp</vt:lpstr>
      <vt:lpstr>energy</vt:lpstr>
      <vt:lpstr>imports</vt:lpstr>
      <vt:lpstr>glued</vt:lpstr>
      <vt:lpstr>imports_filtered</vt:lpstr>
      <vt:lpstr>count_empty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Домашний</dc:creator>
  <cp:lastModifiedBy>Домашний</cp:lastModifiedBy>
  <dcterms:created xsi:type="dcterms:W3CDTF">2026-03-04T11:09:05Z</dcterms:created>
  <dcterms:modified xsi:type="dcterms:W3CDTF">2026-04-15T11:52:24Z</dcterms:modified>
</cp:coreProperties>
</file>